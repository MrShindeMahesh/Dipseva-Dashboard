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les" sheetId="1" r:id="rId5"/>
    <sheet state="visible" name="Dashboard" sheetId="2" r:id="rId6"/>
    <sheet state="visible" name="ST Cust" sheetId="3" r:id="rId7"/>
    <sheet state="visible" name="ST INV" sheetId="4" r:id="rId8"/>
    <sheet state="visible" name="INV BAL" sheetId="5" r:id="rId9"/>
    <sheet state="visible" name="Pay BAL" sheetId="6" r:id="rId10"/>
    <sheet state="visible" name="Inventory" sheetId="7" r:id="rId11"/>
    <sheet state="visible" name="Customers" sheetId="8" r:id="rId12"/>
    <sheet state="visible" name="Purchases" sheetId="9" r:id="rId13"/>
  </sheets>
  <definedNames>
    <definedName hidden="1" localSheetId="7" name="_xlnm._FilterDatabase">Customers!$A$1:$I$81</definedName>
    <definedName hidden="1" localSheetId="0" name="Z_B51585CC_8073_4133_B0AA_E7D466A67C70_.wvu.FilterData">Sales!$A$1:$L$135</definedName>
    <definedName name="SlicerCache_Table_1_Col_1">#N/A</definedName>
    <definedName name="SlicerCache_Table_1_Col_3">#N/A</definedName>
    <definedName name="SlicerCache_Table_1_Col_7">#N/A</definedName>
  </definedNames>
  <calcPr/>
  <customWorkbookViews>
    <customWorkbookView activeSheetId="0" maximized="1" windowHeight="0" windowWidth="0" guid="{B51585CC-8073-4133-B0AA-E7D466A67C70}" name="Filter 1"/>
  </customWorkbookViews>
  <extLst>
    <ext uri="{46BE6895-7355-4a93-B00E-2C351335B9C9}">
      <x15:slicerCaches>
        <x14:slicerCache r:id="rId14"/>
        <x14:slicerCache r:id="rId15"/>
        <x14:slicerCache r:id="rId16"/>
      </x15:slicerCaches>
    </ext>
  </extLst>
</workbook>
</file>

<file path=xl/sharedStrings.xml><?xml version="1.0" encoding="utf-8"?>
<sst xmlns="http://schemas.openxmlformats.org/spreadsheetml/2006/main" count="570" uniqueCount="310">
  <si>
    <t>STATEMENT</t>
  </si>
  <si>
    <t xml:space="preserve">                                                     </t>
  </si>
  <si>
    <t xml:space="preserve">                                 Date :</t>
  </si>
  <si>
    <t>Select Name :</t>
  </si>
  <si>
    <t>DATE</t>
  </si>
  <si>
    <t>ITEM ID</t>
  </si>
  <si>
    <t>ITEM NAME</t>
  </si>
  <si>
    <t>QUANTITY</t>
  </si>
  <si>
    <t>Jumbo Cooler</t>
  </si>
  <si>
    <t>PRICE</t>
  </si>
  <si>
    <t>TOTAL</t>
  </si>
  <si>
    <t xml:space="preserve">Total </t>
  </si>
  <si>
    <t>CUSTOMER NAME</t>
  </si>
  <si>
    <t xml:space="preserve">PAYMENT METHOD </t>
  </si>
  <si>
    <t xml:space="preserve">PAYMENT RECEIVED </t>
  </si>
  <si>
    <t xml:space="preserve">PAYMENT BALANCE </t>
  </si>
  <si>
    <t xml:space="preserve">RETURN QUANTITY </t>
  </si>
  <si>
    <t>BALANCE QUANTITY</t>
  </si>
  <si>
    <t>Narration</t>
  </si>
  <si>
    <t>CTRNG</t>
  </si>
  <si>
    <t>QTY</t>
  </si>
  <si>
    <t>NAME</t>
  </si>
  <si>
    <t>PAY METHOD</t>
  </si>
  <si>
    <t>PAY RECIEVED</t>
  </si>
  <si>
    <t>PAY BALANCE</t>
  </si>
  <si>
    <t>RETURN QTY</t>
  </si>
  <si>
    <t>BALANCE QTY</t>
  </si>
  <si>
    <t>NARRATION</t>
  </si>
  <si>
    <t>Yogesh Caterers</t>
  </si>
  <si>
    <t>GD</t>
  </si>
  <si>
    <t>Samarth Sound</t>
  </si>
  <si>
    <t>Cumm.           Add</t>
  </si>
  <si>
    <t>AAH</t>
  </si>
  <si>
    <t>CH</t>
  </si>
  <si>
    <t>Tulja Bhavani Mandap</t>
  </si>
  <si>
    <t>TBL</t>
  </si>
  <si>
    <t>CASH</t>
  </si>
  <si>
    <t>Avinash gaikwad</t>
  </si>
  <si>
    <t>DSH</t>
  </si>
  <si>
    <t>Vijay jadhav</t>
  </si>
  <si>
    <t>HLC</t>
  </si>
  <si>
    <t>Sunil Garandwal</t>
  </si>
  <si>
    <t>Abhiman Kharat</t>
  </si>
  <si>
    <t>TOTAL REVENUE</t>
  </si>
  <si>
    <t>Ganesh Mandap T</t>
  </si>
  <si>
    <t>MINIMUM STOCK</t>
  </si>
  <si>
    <t>Atul Salve</t>
  </si>
  <si>
    <t>SMI</t>
  </si>
  <si>
    <t>Date</t>
  </si>
  <si>
    <t>Vishva Mandap</t>
  </si>
  <si>
    <t>CHCVR</t>
  </si>
  <si>
    <t>GROSS REVENUE</t>
  </si>
  <si>
    <t>PLN</t>
  </si>
  <si>
    <t>Ayush Mandap</t>
  </si>
  <si>
    <t>MSF</t>
  </si>
  <si>
    <t xml:space="preserve"> PENDING PAYMENT</t>
  </si>
  <si>
    <t>PAYMENT BALANCE</t>
  </si>
  <si>
    <t xml:space="preserve">SHF </t>
  </si>
  <si>
    <t>PREV MONTH BALANCE</t>
  </si>
  <si>
    <t>FN</t>
  </si>
  <si>
    <t>Ajay Hiwrale</t>
  </si>
  <si>
    <t>GD SET</t>
  </si>
  <si>
    <t>RTBL</t>
  </si>
  <si>
    <t>PRD</t>
  </si>
  <si>
    <t>DRM</t>
  </si>
  <si>
    <t>Pritam patil</t>
  </si>
  <si>
    <t>Prem Pandit</t>
  </si>
  <si>
    <t>MT</t>
  </si>
  <si>
    <t>Vijay Dabhade</t>
  </si>
  <si>
    <t>ASN</t>
  </si>
  <si>
    <t>THRMS</t>
  </si>
  <si>
    <t>Bhagwat Pawar</t>
  </si>
  <si>
    <t>FRL</t>
  </si>
  <si>
    <t>AB</t>
  </si>
  <si>
    <t>Prem Jangale</t>
  </si>
  <si>
    <t>Indriya Jewellers</t>
  </si>
  <si>
    <t>INVENTORY BALANCE</t>
  </si>
  <si>
    <t>SF</t>
  </si>
  <si>
    <t>Shri Decorators</t>
  </si>
  <si>
    <t>Nagve Patil Caterers</t>
  </si>
  <si>
    <t>Dip Mandap</t>
  </si>
  <si>
    <t>Sofa Cover</t>
  </si>
  <si>
    <t>Mahalakshmi Mandap</t>
  </si>
  <si>
    <t>Rajdhani Mandap</t>
  </si>
  <si>
    <t>Pruthviraj Mandap</t>
  </si>
  <si>
    <t xml:space="preserve"> Gautam bagul</t>
  </si>
  <si>
    <t>STOCK  AVAILABLE</t>
  </si>
  <si>
    <t>RENT</t>
  </si>
  <si>
    <t xml:space="preserve">STOCK IN </t>
  </si>
  <si>
    <t>STOCK OUT</t>
  </si>
  <si>
    <t>CURRENT STOCK</t>
  </si>
  <si>
    <t>MINIMUM STOCK LIMIT</t>
  </si>
  <si>
    <t>OP BAL</t>
  </si>
  <si>
    <t>Opening Balance</t>
  </si>
  <si>
    <t>JC</t>
  </si>
  <si>
    <t xml:space="preserve"> </t>
  </si>
  <si>
    <t xml:space="preserve">Chair </t>
  </si>
  <si>
    <t xml:space="preserve">Round Table </t>
  </si>
  <si>
    <t>Fan</t>
  </si>
  <si>
    <t xml:space="preserve">Gadi </t>
  </si>
  <si>
    <t>Drum</t>
  </si>
  <si>
    <t>Table</t>
  </si>
  <si>
    <t>Ahuja Speaker</t>
  </si>
  <si>
    <t>Samai</t>
  </si>
  <si>
    <t>WBS</t>
  </si>
  <si>
    <t>Wash Basin</t>
  </si>
  <si>
    <t>BS</t>
  </si>
  <si>
    <t xml:space="preserve">Bedsheet </t>
  </si>
  <si>
    <t>Palna</t>
  </si>
  <si>
    <t>Sm Culr</t>
  </si>
  <si>
    <t xml:space="preserve">Small Cooler </t>
  </si>
  <si>
    <t>Freel</t>
  </si>
  <si>
    <t>Halad Chair</t>
  </si>
  <si>
    <t xml:space="preserve">Sofa </t>
  </si>
  <si>
    <t>FCS</t>
  </si>
  <si>
    <t>Focus</t>
  </si>
  <si>
    <t>CRNG</t>
  </si>
  <si>
    <t>Chaurang</t>
  </si>
  <si>
    <t>Parda</t>
  </si>
  <si>
    <t>TP</t>
  </si>
  <si>
    <t>Tup</t>
  </si>
  <si>
    <t>Asanpatti</t>
  </si>
  <si>
    <t>VCH</t>
  </si>
  <si>
    <t xml:space="preserve">VIP Chair </t>
  </si>
  <si>
    <t>Chair Cover</t>
  </si>
  <si>
    <t>Shop Name</t>
  </si>
  <si>
    <t>Name</t>
  </si>
  <si>
    <t xml:space="preserve">Maharaja Sofa </t>
  </si>
  <si>
    <t xml:space="preserve">Category </t>
  </si>
  <si>
    <t xml:space="preserve">Contact Number </t>
  </si>
  <si>
    <t xml:space="preserve">Alternate Number </t>
  </si>
  <si>
    <t>Address</t>
  </si>
  <si>
    <t xml:space="preserve">Reference </t>
  </si>
  <si>
    <t xml:space="preserve">O/P balance </t>
  </si>
  <si>
    <t>Column 1</t>
  </si>
  <si>
    <t xml:space="preserve">Ajay Kulkarni </t>
  </si>
  <si>
    <t>STBL</t>
  </si>
  <si>
    <t>Mandap</t>
  </si>
  <si>
    <t>Stage Table</t>
  </si>
  <si>
    <t>US</t>
  </si>
  <si>
    <t xml:space="preserve">Ushi </t>
  </si>
  <si>
    <t>Shyam Thakur</t>
  </si>
  <si>
    <t>CD</t>
  </si>
  <si>
    <t>Chadar</t>
  </si>
  <si>
    <t xml:space="preserve">विष्णु ठाकूर </t>
  </si>
  <si>
    <t>Anand Bansode</t>
  </si>
  <si>
    <t>Caterers</t>
  </si>
  <si>
    <t>BK</t>
  </si>
  <si>
    <t>Blanket</t>
  </si>
  <si>
    <t>Sanju Khoje</t>
  </si>
  <si>
    <t xml:space="preserve">तुळजा भवानी मंडप </t>
  </si>
  <si>
    <t>FG</t>
  </si>
  <si>
    <t>Foam Gadi</t>
  </si>
  <si>
    <t>G S Event</t>
  </si>
  <si>
    <t>TW</t>
  </si>
  <si>
    <t>Guddu Shinde</t>
  </si>
  <si>
    <t xml:space="preserve">Two way </t>
  </si>
  <si>
    <t>FW</t>
  </si>
  <si>
    <t>Four Way</t>
  </si>
  <si>
    <t xml:space="preserve">गुड्डू शिंदे </t>
  </si>
  <si>
    <t>Jay Hari Mandap</t>
  </si>
  <si>
    <t>Krushna Panchal</t>
  </si>
  <si>
    <t>APT</t>
  </si>
  <si>
    <t>Amp Pinto</t>
  </si>
  <si>
    <t xml:space="preserve">पांचाळ महाराज </t>
  </si>
  <si>
    <t>Maitri Mandap</t>
  </si>
  <si>
    <t>Sanket Yeole</t>
  </si>
  <si>
    <t xml:space="preserve">संकेत येवले </t>
  </si>
  <si>
    <t xml:space="preserve">Amp Ahuja </t>
  </si>
  <si>
    <t xml:space="preserve">Kishor Bhalerao </t>
  </si>
  <si>
    <t xml:space="preserve">पृथ्वीराज मंडप </t>
  </si>
  <si>
    <t>Ankit bajaj</t>
  </si>
  <si>
    <t>HLT</t>
  </si>
  <si>
    <t>Halad Tup</t>
  </si>
  <si>
    <t>FGD</t>
  </si>
  <si>
    <t xml:space="preserve">Saileela Caterers </t>
  </si>
  <si>
    <t>Sandeep Sontakke</t>
  </si>
  <si>
    <t xml:space="preserve">संदीप सोनटक्के </t>
  </si>
  <si>
    <t xml:space="preserve">   </t>
  </si>
  <si>
    <t>Sant Shiromani Mandap</t>
  </si>
  <si>
    <t>Babasaheb Dabhade</t>
  </si>
  <si>
    <t>Shafing Dish</t>
  </si>
  <si>
    <t xml:space="preserve">संत शिरोमणी मंडप </t>
  </si>
  <si>
    <t>Ajay Mandap</t>
  </si>
  <si>
    <t>Ajay Kharat</t>
  </si>
  <si>
    <t xml:space="preserve">अजय खरात </t>
  </si>
  <si>
    <t>CSH</t>
  </si>
  <si>
    <t>Sai Pooja Caterers</t>
  </si>
  <si>
    <t>Sunil Nayar</t>
  </si>
  <si>
    <t xml:space="preserve">सुनील नायर </t>
  </si>
  <si>
    <t>Pathare Mandap</t>
  </si>
  <si>
    <t>Sachin Pathare</t>
  </si>
  <si>
    <t>CHD</t>
  </si>
  <si>
    <t xml:space="preserve">पठारे मंडप </t>
  </si>
  <si>
    <t>Golden Mandap</t>
  </si>
  <si>
    <t>Altaf Patel</t>
  </si>
  <si>
    <t>Matt</t>
  </si>
  <si>
    <t xml:space="preserve">गोल्डन मंडप </t>
  </si>
  <si>
    <t>Hotel Ecotel</t>
  </si>
  <si>
    <t>Kshirsagar</t>
  </si>
  <si>
    <t>HW</t>
  </si>
  <si>
    <t>Hawan Kund</t>
  </si>
  <si>
    <t>Nilesh Chaudahary</t>
  </si>
  <si>
    <t>COST</t>
  </si>
  <si>
    <t>Dish</t>
  </si>
  <si>
    <t>Renuka Mandap</t>
  </si>
  <si>
    <t>Rohidas Igve</t>
  </si>
  <si>
    <t>PD</t>
  </si>
  <si>
    <t>Podium</t>
  </si>
  <si>
    <t>Gautam Kirtikar</t>
  </si>
  <si>
    <t>STFRM</t>
  </si>
  <si>
    <t>Stage Frame</t>
  </si>
  <si>
    <t>Pawan Dhakne</t>
  </si>
  <si>
    <t>BFR</t>
  </si>
  <si>
    <t>Buffer</t>
  </si>
  <si>
    <t>Sai Shraddha Caterers</t>
  </si>
  <si>
    <t>Kishor Shinde</t>
  </si>
  <si>
    <t>GDR</t>
  </si>
  <si>
    <t>Grinder</t>
  </si>
  <si>
    <t xml:space="preserve">किशोर शिंदे </t>
  </si>
  <si>
    <t>B R Mandap</t>
  </si>
  <si>
    <t>PArvez Shaikh</t>
  </si>
  <si>
    <t xml:space="preserve">बि आर मंडप </t>
  </si>
  <si>
    <t>BK FRL</t>
  </si>
  <si>
    <t>Abdul Rikshaw</t>
  </si>
  <si>
    <t>Black Freel</t>
  </si>
  <si>
    <t>Matoshree lawns</t>
  </si>
  <si>
    <t>Sachin Wagh</t>
  </si>
  <si>
    <t>Thermos</t>
  </si>
  <si>
    <t>Dipak Nikam</t>
  </si>
  <si>
    <t>PIPE</t>
  </si>
  <si>
    <t>Balaji Mandap G</t>
  </si>
  <si>
    <t>Giriraj Uplenchwar</t>
  </si>
  <si>
    <t>RECPT</t>
  </si>
  <si>
    <t xml:space="preserve">बालाजी मंडप </t>
  </si>
  <si>
    <t>Kishor Mandap</t>
  </si>
  <si>
    <t>Kishor Chaudhari</t>
  </si>
  <si>
    <t>Gadi Set</t>
  </si>
  <si>
    <t>Mahadev Umrikar</t>
  </si>
  <si>
    <t>Balaji Mandap K</t>
  </si>
  <si>
    <t>Table CVR</t>
  </si>
  <si>
    <t xml:space="preserve">Khandre Mama </t>
  </si>
  <si>
    <t>Table Cover</t>
  </si>
  <si>
    <t>Dashrath Caterers</t>
  </si>
  <si>
    <t>Babasaheb Borade</t>
  </si>
  <si>
    <t>STRN</t>
  </si>
  <si>
    <t>Satranji</t>
  </si>
  <si>
    <t>DIAS</t>
  </si>
  <si>
    <t>Dipak Nawale</t>
  </si>
  <si>
    <t>Ganesh Mandap K</t>
  </si>
  <si>
    <t>Ganesh Kale</t>
  </si>
  <si>
    <t>Kshirsagar Mandap R</t>
  </si>
  <si>
    <t>Raju Kshirsagar</t>
  </si>
  <si>
    <t>Kshirsagar Mandap S</t>
  </si>
  <si>
    <t>Shyam Kshirsagar</t>
  </si>
  <si>
    <t xml:space="preserve">Abasaheb Tawar </t>
  </si>
  <si>
    <t>Mauli Mandap</t>
  </si>
  <si>
    <t>Shravan Vaidya</t>
  </si>
  <si>
    <t>Sachin Mandap</t>
  </si>
  <si>
    <t>Jaydave Gande</t>
  </si>
  <si>
    <t>Sandip Gadge</t>
  </si>
  <si>
    <t>Shingare Mandap</t>
  </si>
  <si>
    <t>Amol Shingare</t>
  </si>
  <si>
    <t>Shravan Mandap</t>
  </si>
  <si>
    <t>Dipak Bakal</t>
  </si>
  <si>
    <t>Santosh Bhujbal</t>
  </si>
  <si>
    <t>Shirsath Mandap</t>
  </si>
  <si>
    <t>Ramesh B Shirsath</t>
  </si>
  <si>
    <t>Digambar Nagve</t>
  </si>
  <si>
    <t>Vilas Bhise</t>
  </si>
  <si>
    <t>Muktai Mandap</t>
  </si>
  <si>
    <t>Manohar Thorat</t>
  </si>
  <si>
    <t>Shivshakti Mandap</t>
  </si>
  <si>
    <t>Ajay Tambe</t>
  </si>
  <si>
    <t>Sonu Wankhede</t>
  </si>
  <si>
    <t>Saurabh Gaikwad</t>
  </si>
  <si>
    <t>Krishna Thombre</t>
  </si>
  <si>
    <t>Akash Landage</t>
  </si>
  <si>
    <t>Vighnaharta Events</t>
  </si>
  <si>
    <t>Krushna Hanuwate</t>
  </si>
  <si>
    <t>Amol Prasad</t>
  </si>
  <si>
    <t>Patil Events</t>
  </si>
  <si>
    <t>Lahu Patil</t>
  </si>
  <si>
    <t>Aryash Mandap</t>
  </si>
  <si>
    <t>Pawan Thorat</t>
  </si>
  <si>
    <t>Yogesh Lihinar</t>
  </si>
  <si>
    <t>Akshay Bankar</t>
  </si>
  <si>
    <t>Kundlik Kejgire</t>
  </si>
  <si>
    <t>Dipak Garad</t>
  </si>
  <si>
    <t>Rahul Ambhore</t>
  </si>
  <si>
    <t>Krushna Hotel</t>
  </si>
  <si>
    <t>Aniket Bakal</t>
  </si>
  <si>
    <t>Kiran Sontakke</t>
  </si>
  <si>
    <t>Aarti Mandap</t>
  </si>
  <si>
    <t>Vijay Jadhav</t>
  </si>
  <si>
    <t>Dadasaheb Janjal</t>
  </si>
  <si>
    <t>Amol Lihinar</t>
  </si>
  <si>
    <t>Hiwarde</t>
  </si>
  <si>
    <t>Altaf Pathan</t>
  </si>
  <si>
    <t>Krushna Agwan</t>
  </si>
  <si>
    <t>Ramesh Ghodke</t>
  </si>
  <si>
    <t>Masuraj Kambale</t>
  </si>
  <si>
    <t>Dnyaneshwar Panchal</t>
  </si>
  <si>
    <t>Suresh Patil</t>
  </si>
  <si>
    <t>Balasaheb Raymal</t>
  </si>
  <si>
    <t>Ganesh Karangale</t>
  </si>
  <si>
    <t xml:space="preserve">अतुल साळवे </t>
  </si>
  <si>
    <t>Cash Customer</t>
  </si>
  <si>
    <t>Pramod Pawar</t>
  </si>
  <si>
    <t>Dipak Bagul</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</si>
</sst>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
    <numFmt numFmtId="165" formatCode="dd/mm/yyyy"/>
    <numFmt numFmtId="166" formatCode="dddd&quot;, &quot;d&quot; &quot;mmmm&quot; &quot;yyyy&quot;, &quot;hh&quot;:&quot;mm"/>
    <numFmt numFmtId="167" formatCode="dddd&quot;, &quot;d&quot; &quot;mmmm&quot; &quot;yyyy&quot;,&quot;"/>
    <numFmt numFmtId="168" formatCode="dd mmm yyyy"/>
  </numFmts>
  <fonts count="25">
    <font>
      <sz val="10.0"/>
      <color rgb="FF000000"/>
      <name val="Arial"/>
      <scheme val="minor"/>
    </font>
    <font>
      <sz val="11.0"/>
      <color theme="1"/>
      <name val="Arial"/>
      <scheme val="minor"/>
    </font>
    <font>
      <color theme="1"/>
      <name val="Arial"/>
      <scheme val="minor"/>
    </font>
    <font>
      <sz val="12.0"/>
      <color theme="1"/>
      <name val="Aptos Narrow"/>
    </font>
    <font>
      <sz val="11.0"/>
      <color theme="1"/>
      <name val="Aptos Narrow"/>
    </font>
    <font>
      <b/>
      <sz val="40.0"/>
      <color rgb="FF8E7CC3"/>
      <name val="Playfair Display"/>
    </font>
    <font>
      <sz val="11.0"/>
      <color theme="1"/>
      <name val="Calibri"/>
    </font>
    <font>
      <sz val="12.0"/>
      <color theme="1"/>
      <name val="Arial"/>
    </font>
    <font>
      <b/>
      <color rgb="FFFFFFFF"/>
      <name val="Arial"/>
      <scheme val="minor"/>
    </font>
    <font>
      <b/>
      <sz val="11.0"/>
      <color theme="1"/>
      <name val="Calibri"/>
    </font>
    <font>
      <color theme="1"/>
      <name val="Calibri"/>
    </font>
    <font>
      <b/>
      <sz val="11.0"/>
      <color rgb="FFFFFFFF"/>
      <name val="Arial"/>
      <scheme val="minor"/>
    </font>
    <font>
      <sz val="10.0"/>
      <color theme="1"/>
      <name val="Calibri"/>
    </font>
    <font>
      <sz val="10.0"/>
      <color theme="1"/>
      <name val="Aptos Narrow"/>
    </font>
    <font>
      <sz val="10.0"/>
      <color theme="1"/>
      <name val="Arial"/>
      <scheme val="minor"/>
    </font>
    <font>
      <sz val="11.0"/>
      <color rgb="FF0A0A0A"/>
      <name val="Monospace"/>
    </font>
    <font>
      <sz val="10.0"/>
      <color theme="1"/>
      <name val="Arial"/>
    </font>
    <font>
      <sz val="11.0"/>
      <color rgb="FF0A0A0A"/>
      <name val="Arial"/>
    </font>
    <font>
      <sz val="11.0"/>
      <color theme="1"/>
      <name val="Arial"/>
    </font>
    <font>
      <sz val="11.0"/>
      <color rgb="FF0A0A0A"/>
      <name val="Arial"/>
      <scheme val="minor"/>
    </font>
    <font>
      <sz val="11.0"/>
      <color rgb="FF56595E"/>
      <name val="&quot;Google Sans&quot;"/>
    </font>
    <font>
      <sz val="11.0"/>
      <color rgb="FF0A0A0A"/>
      <name val="&quot;Google Sans&quot;"/>
    </font>
    <font>
      <b/>
      <sz val="17.0"/>
      <color rgb="FF26A69A"/>
      <name val="Oswald"/>
    </font>
    <font>
      <b/>
      <sz val="17.0"/>
      <color rgb="FF4DD0E1"/>
      <name val="Oswald"/>
    </font>
    <font>
      <b/>
      <color theme="1"/>
      <name val="Arial"/>
      <scheme val="minor"/>
    </font>
  </fonts>
  <fills count="9">
    <fill>
      <patternFill patternType="none"/>
    </fill>
    <fill>
      <patternFill patternType="lightGray"/>
    </fill>
    <fill>
      <patternFill patternType="solid">
        <fgColor theme="0"/>
        <bgColor theme="0"/>
      </patternFill>
    </fill>
    <fill>
      <patternFill patternType="solid">
        <fgColor rgb="FF9B28D3"/>
        <bgColor rgb="FF9B28D3"/>
      </patternFill>
    </fill>
    <fill>
      <patternFill patternType="solid">
        <fgColor rgb="FF8E7CC3"/>
        <bgColor rgb="FF8E7CC3"/>
      </patternFill>
    </fill>
    <fill>
      <patternFill patternType="solid">
        <fgColor rgb="FFF0F2F5"/>
        <bgColor rgb="FFF0F2F5"/>
      </patternFill>
    </fill>
    <fill>
      <patternFill patternType="solid">
        <fgColor rgb="FFD9EAD3"/>
        <bgColor rgb="FFD9EAD3"/>
      </patternFill>
    </fill>
    <fill>
      <patternFill patternType="solid">
        <fgColor rgb="FFE9EBF0"/>
        <bgColor rgb="FFE9EBF0"/>
      </patternFill>
    </fill>
    <fill>
      <patternFill patternType="solid">
        <fgColor rgb="FFFFFFFF"/>
        <bgColor rgb="FFFFFFFF"/>
      </patternFill>
    </fill>
  </fills>
  <borders count="3">
    <border/>
    <border>
      <bottom style="medium">
        <color theme="1"/>
      </bottom>
    </border>
    <border>
      <top style="medium">
        <color theme="1"/>
      </top>
    </border>
  </borders>
  <cellStyleXfs count="1">
    <xf borderId="0" fillId="0" fontId="0" numFmtId="0" applyAlignment="1" applyFont="1"/>
  </cellStyleXfs>
  <cellXfs count="123">
    <xf borderId="0" fillId="0" fontId="0" numFmtId="0" xfId="0" applyAlignment="1" applyFont="1">
      <alignment readingOrder="0" shrinkToFit="0" vertical="bottom" wrapText="0"/>
    </xf>
    <xf borderId="0" fillId="0" fontId="1" numFmtId="0" xfId="0" applyAlignment="1" applyFont="1">
      <alignment horizontal="left"/>
    </xf>
    <xf borderId="0" fillId="0" fontId="2" numFmtId="164" xfId="0" applyFont="1" applyNumberFormat="1"/>
    <xf borderId="0" fillId="0" fontId="3" numFmtId="0" xfId="0" applyAlignment="1" applyFont="1">
      <alignment vertical="bottom"/>
    </xf>
    <xf borderId="0" fillId="0" fontId="4" numFmtId="0" xfId="0" applyAlignment="1" applyFont="1">
      <alignment horizontal="left" vertical="bottom"/>
    </xf>
    <xf borderId="0" fillId="0" fontId="3" numFmtId="164" xfId="0" applyAlignment="1" applyFont="1" applyNumberFormat="1">
      <alignment vertical="bottom"/>
    </xf>
    <xf borderId="0" fillId="0" fontId="5" numFmtId="0" xfId="0" applyAlignment="1" applyFont="1">
      <alignment horizontal="left" readingOrder="0" vertical="top"/>
    </xf>
    <xf borderId="0" fillId="0" fontId="6" numFmtId="164" xfId="0" applyAlignment="1" applyFont="1" applyNumberFormat="1">
      <alignment readingOrder="0" shrinkToFit="0" wrapText="1"/>
    </xf>
    <xf borderId="0" fillId="0" fontId="6" numFmtId="0" xfId="0" applyAlignment="1" applyFont="1">
      <alignment horizontal="left" readingOrder="0" shrinkToFit="0" wrapText="1"/>
    </xf>
    <xf borderId="0" fillId="0" fontId="6" numFmtId="165" xfId="0" applyAlignment="1" applyFont="1" applyNumberFormat="1">
      <alignment readingOrder="0" shrinkToFit="0" wrapText="1"/>
    </xf>
    <xf borderId="0" fillId="0" fontId="7" numFmtId="164" xfId="0" applyAlignment="1" applyFont="1" applyNumberFormat="1">
      <alignment readingOrder="0" vertical="bottom"/>
    </xf>
    <xf borderId="0" fillId="2" fontId="2" numFmtId="0" xfId="0" applyFill="1" applyFont="1"/>
    <xf borderId="0" fillId="0" fontId="6" numFmtId="0" xfId="0" applyAlignment="1" applyFont="1">
      <alignment readingOrder="0" shrinkToFit="0" wrapText="1"/>
    </xf>
    <xf borderId="0" fillId="0" fontId="1" numFmtId="0" xfId="0" applyAlignment="1" applyFont="1">
      <alignment horizontal="right" readingOrder="0"/>
    </xf>
    <xf borderId="0" fillId="3" fontId="8" numFmtId="166" xfId="0" applyAlignment="1" applyFill="1" applyFont="1" applyNumberFormat="1">
      <alignment horizontal="left" readingOrder="0"/>
    </xf>
    <xf borderId="0" fillId="3" fontId="8" numFmtId="0" xfId="0" applyAlignment="1" applyFill="1" applyFont="1">
      <alignment readingOrder="0"/>
    </xf>
    <xf borderId="0" fillId="3" fontId="8" numFmtId="164" xfId="0" applyAlignment="1" applyFill="1" applyFont="1" applyNumberFormat="1">
      <alignment readingOrder="0"/>
    </xf>
    <xf borderId="0" fillId="0" fontId="9" numFmtId="164" xfId="0" applyAlignment="1" applyFont="1" applyNumberFormat="1">
      <alignment readingOrder="0" shrinkToFit="0" wrapText="1"/>
    </xf>
    <xf borderId="0" fillId="0" fontId="2" numFmtId="0" xfId="0" applyAlignment="1" applyFont="1">
      <alignment readingOrder="0"/>
    </xf>
    <xf borderId="0" fillId="3" fontId="8" numFmtId="0" xfId="0" applyAlignment="1" applyFill="1" applyFont="1">
      <alignment readingOrder="0" shrinkToFit="0" wrapText="1"/>
    </xf>
    <xf borderId="0" fillId="3" fontId="8" numFmtId="164" xfId="0" applyAlignment="1" applyFill="1" applyFont="1" applyNumberFormat="1">
      <alignment readingOrder="0" shrinkToFit="0" wrapText="1"/>
    </xf>
    <xf borderId="0" fillId="0" fontId="2" numFmtId="167" xfId="0" applyAlignment="1" applyFont="1" applyNumberFormat="1">
      <alignment horizontal="left" readingOrder="0"/>
    </xf>
    <xf borderId="0" fillId="0" fontId="10" numFmtId="0" xfId="0" applyFont="1"/>
    <xf borderId="0" fillId="4" fontId="11" numFmtId="0" xfId="0" applyAlignment="1" applyFill="1" applyFont="1">
      <alignment horizontal="left" readingOrder="0"/>
    </xf>
    <xf borderId="0" fillId="4" fontId="11" numFmtId="0" xfId="0" applyAlignment="1" applyFill="1" applyFont="1">
      <alignment readingOrder="0"/>
    </xf>
    <xf borderId="0" fillId="4" fontId="11" numFmtId="164" xfId="0" applyAlignment="1" applyFill="1" applyFont="1" applyNumberFormat="1">
      <alignment readingOrder="0"/>
    </xf>
    <xf borderId="0" fillId="0" fontId="7" numFmtId="0" xfId="0" applyAlignment="1" applyFont="1">
      <alignment readingOrder="0" vertical="bottom"/>
    </xf>
    <xf borderId="0" fillId="4" fontId="11" numFmtId="164" xfId="0" applyAlignment="1" applyFill="1" applyFont="1" applyNumberFormat="1">
      <alignment readingOrder="0" shrinkToFit="0" wrapText="1"/>
    </xf>
    <xf borderId="0" fillId="0" fontId="2" numFmtId="0" xfId="0" applyFont="1"/>
    <xf borderId="0" fillId="0" fontId="2" numFmtId="164" xfId="0" applyAlignment="1" applyFont="1" applyNumberFormat="1">
      <alignment readingOrder="0"/>
    </xf>
    <xf borderId="0" fillId="0" fontId="12" numFmtId="0" xfId="0" applyAlignment="1" applyFont="1">
      <alignment horizontal="left"/>
    </xf>
    <xf borderId="0" fillId="0" fontId="12" numFmtId="0" xfId="0" applyFont="1"/>
    <xf borderId="0" fillId="0" fontId="12" numFmtId="164" xfId="0" applyFont="1" applyNumberFormat="1"/>
    <xf borderId="0" fillId="0" fontId="13" numFmtId="164" xfId="0" applyAlignment="1" applyFont="1" applyNumberFormat="1">
      <alignment vertical="bottom"/>
    </xf>
    <xf borderId="0" fillId="0" fontId="14" numFmtId="0" xfId="0" applyFont="1"/>
    <xf borderId="0" fillId="0" fontId="14" numFmtId="164" xfId="0" applyFont="1" applyNumberFormat="1"/>
    <xf borderId="0" fillId="0" fontId="1" numFmtId="0" xfId="0" applyFont="1"/>
    <xf borderId="0" fillId="5" fontId="15" numFmtId="164" xfId="0" applyFill="1" applyFont="1" applyNumberFormat="1"/>
    <xf borderId="0" fillId="0" fontId="9" numFmtId="0" xfId="0" applyAlignment="1" applyFont="1">
      <alignment readingOrder="0" shrinkToFit="0" wrapText="1"/>
    </xf>
    <xf borderId="0" fillId="0" fontId="13" numFmtId="0" xfId="0" applyAlignment="1" applyFont="1">
      <alignment horizontal="left" vertical="bottom"/>
    </xf>
    <xf borderId="0" fillId="0" fontId="13" numFmtId="0" xfId="0" applyAlignment="1" applyFont="1">
      <alignment vertical="bottom"/>
    </xf>
    <xf borderId="0" fillId="0" fontId="2" numFmtId="0" xfId="0" applyAlignment="1" applyFont="1">
      <alignment readingOrder="0" shrinkToFit="0" wrapText="1"/>
    </xf>
    <xf borderId="0" fillId="0" fontId="12" numFmtId="164" xfId="0" applyAlignment="1" applyFont="1" applyNumberFormat="1">
      <alignment readingOrder="0"/>
    </xf>
    <xf borderId="0" fillId="6" fontId="2" numFmtId="164" xfId="0" applyAlignment="1" applyFill="1" applyFont="1" applyNumberFormat="1">
      <alignment readingOrder="0" shrinkToFit="0" wrapText="1"/>
    </xf>
    <xf borderId="1" fillId="0" fontId="12" numFmtId="164" xfId="0" applyBorder="1" applyFont="1" applyNumberFormat="1"/>
    <xf borderId="2" fillId="0" fontId="12" numFmtId="164" xfId="0" applyAlignment="1" applyBorder="1" applyFont="1" applyNumberFormat="1">
      <alignment vertical="bottom"/>
    </xf>
    <xf borderId="0" fillId="0" fontId="13" numFmtId="164" xfId="0" applyFont="1" applyNumberFormat="1"/>
    <xf borderId="0" fillId="0" fontId="16" numFmtId="0" xfId="0" applyAlignment="1" applyFont="1">
      <alignment horizontal="left" readingOrder="0" vertical="bottom"/>
    </xf>
    <xf borderId="0" fillId="0" fontId="2" numFmtId="164" xfId="0" applyAlignment="1" applyFont="1" applyNumberFormat="1">
      <alignment readingOrder="0" shrinkToFit="0" wrapText="1"/>
    </xf>
    <xf borderId="0" fillId="0" fontId="12" numFmtId="164" xfId="0" applyAlignment="1" applyFont="1" applyNumberFormat="1">
      <alignment readingOrder="0" shrinkToFit="0" wrapText="1"/>
    </xf>
    <xf borderId="0" fillId="0" fontId="12" numFmtId="164" xfId="0" applyAlignment="1" applyFont="1" applyNumberFormat="1">
      <alignment shrinkToFit="0" wrapText="1"/>
    </xf>
    <xf borderId="0" fillId="0" fontId="10" numFmtId="164" xfId="0" applyAlignment="1" applyFont="1" applyNumberFormat="1">
      <alignment shrinkToFit="0" wrapText="1"/>
    </xf>
    <xf borderId="1" fillId="0" fontId="4" numFmtId="0" xfId="0" applyAlignment="1" applyBorder="1" applyFont="1">
      <alignment horizontal="left" vertical="bottom"/>
    </xf>
    <xf borderId="1" fillId="0" fontId="3" numFmtId="0" xfId="0" applyAlignment="1" applyBorder="1" applyFont="1">
      <alignment vertical="bottom"/>
    </xf>
    <xf borderId="0" fillId="4" fontId="11" numFmtId="0" xfId="0" applyAlignment="1" applyFill="1" applyFont="1">
      <alignment readingOrder="0" shrinkToFit="0" wrapText="1"/>
    </xf>
    <xf borderId="0" fillId="0" fontId="6" numFmtId="167" xfId="0" applyAlignment="1" applyFont="1" applyNumberFormat="1">
      <alignment horizontal="left"/>
    </xf>
    <xf borderId="0" fillId="0" fontId="6" numFmtId="0" xfId="0" applyFont="1"/>
    <xf borderId="0" fillId="6" fontId="2" numFmtId="164" xfId="0" applyAlignment="1" applyFill="1" applyFont="1" applyNumberFormat="1">
      <alignment shrinkToFit="0" wrapText="1"/>
    </xf>
    <xf borderId="0" fillId="0" fontId="6" numFmtId="164" xfId="0" applyFont="1" applyNumberFormat="1"/>
    <xf borderId="0" fillId="0" fontId="4" numFmtId="164" xfId="0" applyAlignment="1" applyFont="1" applyNumberFormat="1">
      <alignment vertical="bottom"/>
    </xf>
    <xf borderId="0" fillId="0" fontId="1" numFmtId="0" xfId="0" applyFont="1"/>
    <xf borderId="0" fillId="0" fontId="1" numFmtId="164" xfId="0" applyFont="1" applyNumberFormat="1"/>
    <xf borderId="0" fillId="0" fontId="2" numFmtId="164" xfId="0" applyFont="1" applyNumberFormat="1"/>
    <xf borderId="0" fillId="5" fontId="17" numFmtId="164" xfId="0" applyAlignment="1" applyFill="1" applyFont="1" applyNumberFormat="1">
      <alignment readingOrder="0"/>
    </xf>
    <xf borderId="0" fillId="0" fontId="6" numFmtId="0" xfId="0" applyAlignment="1" applyFont="1">
      <alignment horizontal="left"/>
    </xf>
    <xf borderId="0" fillId="0" fontId="4" numFmtId="0" xfId="0" applyAlignment="1" applyFont="1">
      <alignment vertical="bottom"/>
    </xf>
    <xf borderId="0" fillId="0" fontId="4" numFmtId="0" xfId="0" applyAlignment="1" applyFont="1">
      <alignment horizontal="left" vertical="bottom"/>
    </xf>
    <xf borderId="0" fillId="0" fontId="6" numFmtId="164" xfId="0" applyFont="1" applyNumberFormat="1"/>
    <xf borderId="0" fillId="0" fontId="6" numFmtId="0" xfId="0" applyAlignment="1" applyFont="1">
      <alignment readingOrder="0"/>
    </xf>
    <xf borderId="1" fillId="0" fontId="6" numFmtId="0" xfId="0" applyBorder="1" applyFont="1"/>
    <xf borderId="1" fillId="0" fontId="6" numFmtId="164" xfId="0" applyBorder="1" applyFont="1" applyNumberFormat="1"/>
    <xf borderId="2" fillId="0" fontId="6" numFmtId="0" xfId="0" applyAlignment="1" applyBorder="1" applyFont="1">
      <alignment vertical="bottom"/>
    </xf>
    <xf borderId="2" fillId="0" fontId="6" numFmtId="164" xfId="0" applyAlignment="1" applyBorder="1" applyFont="1" applyNumberFormat="1">
      <alignment vertical="bottom"/>
    </xf>
    <xf borderId="0" fillId="0" fontId="3" numFmtId="0" xfId="0" applyAlignment="1" applyFont="1">
      <alignment vertical="bottom"/>
    </xf>
    <xf borderId="0" fillId="0" fontId="3" numFmtId="0" xfId="0" applyFont="1"/>
    <xf borderId="0" fillId="0" fontId="2" numFmtId="0" xfId="0" applyFont="1"/>
    <xf borderId="0" fillId="0" fontId="18" numFmtId="0" xfId="0" applyAlignment="1" applyFont="1">
      <alignment horizontal="left" readingOrder="0" vertical="bottom"/>
    </xf>
    <xf borderId="0" fillId="0" fontId="10" numFmtId="0" xfId="0" applyAlignment="1" applyFont="1">
      <alignment readingOrder="0" shrinkToFit="0" wrapText="1"/>
    </xf>
    <xf borderId="0" fillId="0" fontId="10" numFmtId="0" xfId="0" applyAlignment="1" applyFont="1">
      <alignment shrinkToFit="0" wrapText="1"/>
    </xf>
    <xf borderId="0" fillId="5" fontId="15" numFmtId="164" xfId="0" applyFill="1" applyFont="1" applyNumberFormat="1"/>
    <xf borderId="1" fillId="0" fontId="4" numFmtId="0" xfId="0" applyAlignment="1" applyBorder="1" applyFont="1">
      <alignment horizontal="left" vertical="bottom"/>
    </xf>
    <xf borderId="1" fillId="0" fontId="3" numFmtId="0" xfId="0" applyAlignment="1" applyBorder="1" applyFont="1">
      <alignment vertical="bottom"/>
    </xf>
    <xf borderId="0" fillId="5" fontId="19" numFmtId="0" xfId="0" applyFill="1" applyFont="1"/>
    <xf borderId="0" fillId="0" fontId="1" numFmtId="0" xfId="0" applyAlignment="1" applyFont="1">
      <alignment horizontal="left"/>
    </xf>
    <xf borderId="0" fillId="0" fontId="2" numFmtId="0" xfId="0" applyAlignment="1" applyFont="1">
      <alignment readingOrder="0"/>
    </xf>
    <xf borderId="0" fillId="0" fontId="2" numFmtId="164" xfId="0" applyFont="1" applyNumberFormat="1"/>
    <xf borderId="0" fillId="0" fontId="2" numFmtId="167" xfId="0" applyAlignment="1" applyFont="1" applyNumberFormat="1">
      <alignment horizontal="left" readingOrder="0"/>
    </xf>
    <xf borderId="0" fillId="7" fontId="20" numFmtId="164" xfId="0" applyAlignment="1" applyFill="1" applyFont="1" applyNumberFormat="1">
      <alignment shrinkToFit="0" wrapText="0"/>
    </xf>
    <xf borderId="0" fillId="8" fontId="21" numFmtId="0" xfId="0" applyAlignment="1" applyFill="1" applyFont="1">
      <alignment shrinkToFit="0" wrapText="1"/>
    </xf>
    <xf borderId="0" fillId="5" fontId="19" numFmtId="164" xfId="0" applyFill="1" applyFont="1" applyNumberFormat="1"/>
    <xf borderId="0" fillId="0" fontId="22" numFmtId="0" xfId="0" applyAlignment="1" applyFont="1">
      <alignment readingOrder="0"/>
    </xf>
    <xf borderId="0" fillId="0" fontId="2" numFmtId="0" xfId="0" applyAlignment="1" applyFont="1">
      <alignment shrinkToFit="0" wrapText="1"/>
    </xf>
    <xf borderId="0" fillId="0" fontId="2" numFmtId="164" xfId="0" applyAlignment="1" applyFont="1" applyNumberFormat="1">
      <alignment shrinkToFit="0" wrapText="1"/>
    </xf>
    <xf borderId="0" fillId="0" fontId="2" numFmtId="167" xfId="0" applyFont="1" applyNumberFormat="1"/>
    <xf borderId="0" fillId="0" fontId="2" numFmtId="166" xfId="0" applyAlignment="1" applyFont="1" applyNumberFormat="1">
      <alignment horizontal="left" readingOrder="0"/>
    </xf>
    <xf borderId="0" fillId="0" fontId="2" numFmtId="168" xfId="0" applyAlignment="1" applyFont="1" applyNumberFormat="1">
      <alignment readingOrder="0"/>
    </xf>
    <xf borderId="0" fillId="0" fontId="2" numFmtId="0" xfId="0" applyAlignment="1" applyFont="1">
      <alignment shrinkToFit="0" wrapText="1"/>
    </xf>
    <xf borderId="0" fillId="0" fontId="2" numFmtId="0" xfId="0" applyAlignment="1" applyFont="1">
      <alignment horizontal="left"/>
    </xf>
    <xf borderId="0" fillId="0" fontId="23" numFmtId="0" xfId="0" applyAlignment="1" applyFont="1">
      <alignment readingOrder="0"/>
    </xf>
    <xf borderId="0" fillId="0" fontId="2" numFmtId="0" xfId="0" applyAlignment="1" applyFont="1">
      <alignment horizontal="left"/>
    </xf>
    <xf borderId="0" fillId="0" fontId="2" numFmtId="167" xfId="0" applyAlignment="1" applyFont="1" applyNumberFormat="1">
      <alignment horizontal="left"/>
    </xf>
    <xf borderId="0" fillId="0" fontId="24" numFmtId="0" xfId="0" applyAlignment="1" applyFont="1">
      <alignment horizontal="left" readingOrder="0" shrinkToFit="0" vertical="center" wrapText="0"/>
    </xf>
    <xf borderId="0" fillId="0" fontId="24" numFmtId="0" xfId="0" applyAlignment="1" applyFont="1">
      <alignment horizontal="left" readingOrder="0" shrinkToFit="0" vertical="center" wrapText="1"/>
    </xf>
    <xf borderId="0" fillId="0" fontId="24" numFmtId="164" xfId="0" applyAlignment="1" applyFont="1" applyNumberFormat="1">
      <alignment horizontal="left" readingOrder="0" shrinkToFit="0" vertical="center" wrapText="0"/>
    </xf>
    <xf borderId="0" fillId="0" fontId="2" numFmtId="0" xfId="0" applyAlignment="1" applyFont="1">
      <alignment readingOrder="0" shrinkToFit="0" vertical="center" wrapText="0"/>
    </xf>
    <xf borderId="0" fillId="5" fontId="15" numFmtId="0" xfId="0" applyAlignment="1" applyFill="1" applyFont="1">
      <alignment shrinkToFit="0" vertical="center" wrapText="0"/>
    </xf>
    <xf borderId="0" fillId="0" fontId="2" numFmtId="0" xfId="0" applyAlignment="1" applyFont="1">
      <alignment shrinkToFit="0" vertical="center" wrapText="0"/>
    </xf>
    <xf borderId="0" fillId="0" fontId="2" numFmtId="0" xfId="0" applyAlignment="1" applyFont="1">
      <alignment shrinkToFit="0" vertical="center" wrapText="0"/>
    </xf>
    <xf borderId="0" fillId="0" fontId="2" numFmtId="164" xfId="0" applyAlignment="1" applyFont="1" applyNumberFormat="1">
      <alignment shrinkToFit="0" vertical="center" wrapText="0"/>
    </xf>
    <xf borderId="0" fillId="0" fontId="2" numFmtId="0" xfId="0" applyAlignment="1" applyFont="1">
      <alignment readingOrder="0" shrinkToFit="0" vertical="center" wrapText="0"/>
    </xf>
    <xf borderId="0" fillId="0" fontId="2" numFmtId="165" xfId="0" applyAlignment="1" applyFont="1" applyNumberFormat="1">
      <alignment horizontal="left" readingOrder="0"/>
    </xf>
    <xf borderId="0" fillId="0" fontId="2" numFmtId="166" xfId="0" applyAlignment="1" applyFont="1" applyNumberFormat="1">
      <alignment horizontal="left"/>
    </xf>
    <xf borderId="0" fillId="0" fontId="2" numFmtId="164" xfId="0" applyAlignment="1" applyFont="1" applyNumberFormat="1">
      <alignment shrinkToFit="0" wrapText="1"/>
    </xf>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readingOrder="0" shrinkToFit="0" vertical="center" wrapText="0"/>
    </xf>
    <xf borderId="0" fillId="0" fontId="2" numFmtId="164"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5" fontId="15" numFmtId="0" xfId="0" applyFill="1" applyFont="1"/>
    <xf borderId="0" fillId="5" fontId="21" numFmtId="0" xfId="0" applyAlignment="1" applyFill="1" applyFont="1">
      <alignment shrinkToFit="0" wrapText="1"/>
    </xf>
    <xf borderId="0" fillId="5" fontId="15" numFmtId="0" xfId="0" applyAlignment="1" applyFill="1" applyFont="1">
      <alignment shrinkToFit="0" vertical="center" wrapText="0"/>
    </xf>
    <xf borderId="0" fillId="0" fontId="2" numFmtId="164" xfId="0" applyAlignment="1" applyFont="1" applyNumberFormat="1">
      <alignment shrinkToFit="0" vertical="center" wrapText="0"/>
    </xf>
  </cellXfs>
  <cellStyles count="1">
    <cellStyle xfId="0" name="Normal" builtinId="0"/>
  </cellStyles>
  <dxfs count="14">
    <dxf>
      <font/>
      <fill>
        <patternFill patternType="none"/>
      </fill>
      <border/>
    </dxf>
    <dxf>
      <font/>
      <fill>
        <patternFill patternType="solid">
          <fgColor rgb="FFFFFFFF"/>
          <bgColor rgb="FFFFFFFF"/>
        </patternFill>
      </fill>
      <border/>
    </dxf>
    <dxf>
      <font/>
      <fill>
        <patternFill patternType="solid">
          <fgColor rgb="FFE8F0FE"/>
          <bgColor rgb="FFE8F0FE"/>
        </patternFill>
      </fill>
      <border/>
    </dxf>
    <dxf>
      <font/>
      <fill>
        <patternFill patternType="solid">
          <fgColor rgb="FF63D297"/>
          <bgColor rgb="FF63D297"/>
        </patternFill>
      </fill>
      <border/>
    </dxf>
    <dxf>
      <font/>
      <fill>
        <patternFill patternType="solid">
          <fgColor rgb="FFE7F9EF"/>
          <bgColor rgb="FFE7F9EF"/>
        </patternFill>
      </fill>
      <border/>
    </dxf>
    <dxf>
      <font/>
      <fill>
        <patternFill patternType="solid">
          <fgColor rgb="FF26A69A"/>
          <bgColor rgb="FF26A69A"/>
        </patternFill>
      </fill>
      <border/>
    </dxf>
    <dxf>
      <font/>
      <fill>
        <patternFill patternType="solid">
          <fgColor rgb="FFDDF2F0"/>
          <bgColor rgb="FFDDF2F0"/>
        </patternFill>
      </fill>
      <border/>
    </dxf>
    <dxf>
      <font/>
      <fill>
        <patternFill patternType="solid">
          <fgColor rgb="FF4DD0E1"/>
          <bgColor rgb="FF4DD0E1"/>
        </patternFill>
      </fill>
      <border/>
    </dxf>
    <dxf>
      <font/>
      <fill>
        <patternFill patternType="solid">
          <fgColor rgb="FFE0F7FA"/>
          <bgColor rgb="FFE0F7FA"/>
        </patternFill>
      </fill>
      <border/>
    </dxf>
    <dxf>
      <font/>
      <fill>
        <patternFill patternType="solid">
          <fgColor rgb="FF356854"/>
          <bgColor rgb="FF356854"/>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F4C7C3"/>
          <bgColor rgb="FFF4C7C3"/>
        </patternFill>
      </fill>
      <border/>
    </dxf>
    <dxf>
      <font/>
      <fill>
        <patternFill patternType="solid">
          <fgColor rgb="FFB7E1CD"/>
          <bgColor rgb="FFB7E1CD"/>
        </patternFill>
      </fill>
      <border/>
    </dxf>
  </dxfs>
  <tableStyles count="6">
    <tableStyle count="2" pivot="0" name="ST Cust-style">
      <tableStyleElement dxfId="1" type="firstRowStripe"/>
      <tableStyleElement dxfId="2" type="secondRowStripe"/>
    </tableStyle>
    <tableStyle count="3" pivot="0" name="Dashboard-style">
      <tableStyleElement dxfId="3" type="headerRow"/>
      <tableStyleElement dxfId="1" type="firstRowStripe"/>
      <tableStyleElement dxfId="4" type="secondRowStripe"/>
    </tableStyle>
    <tableStyle count="3" pivot="0" name="INV BAL-style">
      <tableStyleElement dxfId="5" type="headerRow"/>
      <tableStyleElement dxfId="1" type="firstRowStripe"/>
      <tableStyleElement dxfId="6" type="secondRowStripe"/>
    </tableStyle>
    <tableStyle count="3" pivot="0" name="Pay BAL-style">
      <tableStyleElement dxfId="7" type="headerRow"/>
      <tableStyleElement dxfId="1" type="firstRowStripe"/>
      <tableStyleElement dxfId="8" type="secondRowStripe"/>
    </tableStyle>
    <tableStyle count="4" pivot="0" name="Inventory-style">
      <tableStyleElement dxfId="9" type="headerRow"/>
      <tableStyleElement dxfId="1" type="firstRowStripe"/>
      <tableStyleElement dxfId="10" type="secondRowStripe"/>
      <tableStyleElement dxfId="11" size="0" type="wholeTable"/>
    </tableStyle>
    <tableStyle count="4" pivot="0" name="Customers-style">
      <tableStyleElement dxfId="9" type="headerRow"/>
      <tableStyleElement dxfId="1" type="firstRowStripe"/>
      <tableStyleElement dxfId="10" type="secondRowStripe"/>
      <tableStyleElement dxfId="11"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microsoft.com/office/2007/relationships/slicerCache" Target="slicerCaches/slicerCache2.xml"/><Relationship Id="rId14" Type="http://schemas.microsoft.com/office/2007/relationships/slicerCache" Target="slicerCaches/slicerCache1.xml"/><Relationship Id="rId16" Type="http://schemas.microsoft.com/office/2007/relationships/slicerCache" Target="slicerCaches/slicerCache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Histogram of ₹61,090</a:t>
            </a:r>
          </a:p>
        </c:rich>
      </c:tx>
      <c:overlay val="0"/>
    </c:title>
    <c:plotArea>
      <c:layout/>
      <c:barChart>
        <c:barDir val="col"/>
        <c:ser>
          <c:idx val="0"/>
          <c:order val="0"/>
          <c:tx>
            <c:strRef>
              <c:f>Dashboard!$M$3</c:f>
            </c:strRef>
          </c:tx>
          <c:spPr>
            <a:solidFill>
              <a:schemeClr val="accent1"/>
            </a:solidFill>
            <a:ln cmpd="sng">
              <a:noFill/>
            </a:ln>
          </c:spPr>
          <c:cat>
            <c:strRef>
              <c:f>Dashboard!$L$4:$L$33</c:f>
            </c:strRef>
          </c:cat>
          <c:val>
            <c:numRef>
              <c:f>Dashboard!$M$4:$M$33</c:f>
              <c:numCache/>
            </c:numRef>
          </c:val>
        </c:ser>
        <c:axId val="153054551"/>
        <c:axId val="1974624793"/>
      </c:barChart>
      <c:catAx>
        <c:axId val="1530545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₹61,090</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74624793"/>
      </c:catAx>
      <c:valAx>
        <c:axId val="19746247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3054551"/>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419100</xdr:colOff>
      <xdr:row>1</xdr:row>
      <xdr:rowOff>209550</xdr:rowOff>
    </xdr:from>
    <xdr:ext cx="2857500" cy="2857500"/>
    <mc:AlternateContent>
      <mc:Choice Requires="sle15">
        <xdr:graphicFrame>
          <xdr:nvGraphicFramePr>
            <xdr:cNvPr id="1" name="CUSTOMER NAME_1"/>
            <xdr:cNvGraphicFramePr/>
          </xdr:nvGraphicFramePr>
          <xdr:xfrm>
            <a:off x="0" y="0"/>
            <a:ext cx="0" cy="0"/>
          </xdr:xfrm>
          <a:graphic>
            <a:graphicData uri="http://schemas.microsoft.com/office/drawing/2010/slicer">
              <x3Unk:slicer name="CUSTOMER NAM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13</xdr:col>
      <xdr:colOff>419100</xdr:colOff>
      <xdr:row>4</xdr:row>
      <xdr:rowOff>219075</xdr:rowOff>
    </xdr:from>
    <xdr:ext cx="2857500" cy="2857500"/>
    <mc:AlternateContent>
      <mc:Choice Requires="sle15">
        <xdr:graphicFrame>
          <xdr:nvGraphicFramePr>
            <xdr:cNvPr id="2" name="ITEM NAME_2"/>
            <xdr:cNvGraphicFramePr/>
          </xdr:nvGraphicFramePr>
          <xdr:xfrm>
            <a:off x="0" y="0"/>
            <a:ext cx="0" cy="0"/>
          </xdr:xfrm>
          <a:graphic>
            <a:graphicData uri="http://schemas.microsoft.com/office/drawing/2010/slicer">
              <x3Unk:slicer name="ITEM NAME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13</xdr:col>
      <xdr:colOff>419100</xdr:colOff>
      <xdr:row>8</xdr:row>
      <xdr:rowOff>19050</xdr:rowOff>
    </xdr:from>
    <xdr:ext cx="2857500" cy="2857500"/>
    <mc:AlternateContent>
      <mc:Choice Requires="sle15">
        <xdr:graphicFrame>
          <xdr:nvGraphicFramePr>
            <xdr:cNvPr id="3" name="DATE_3"/>
            <xdr:cNvGraphicFramePr/>
          </xdr:nvGraphicFramePr>
          <xdr:xfrm>
            <a:off x="0" y="0"/>
            <a:ext cx="0" cy="0"/>
          </xdr:xfrm>
          <a:graphic>
            <a:graphicData uri="http://schemas.microsoft.com/office/drawing/2010/slicer">
              <x3Unk:slicer name="DATE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38100</xdr:colOff>
      <xdr:row>2</xdr:row>
      <xdr:rowOff>47625</xdr:rowOff>
    </xdr:from>
    <xdr:ext cx="9286875" cy="61245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DATE">
  <x14:extLst>
    <ext uri="{2F2917AC-EB37-4324-AD4E-5DD8C200BD13}">
      <x15:tableSlicerCache tableId="1"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ITEM NAME">
  <x14:extLst>
    <ext uri="{2F2917AC-EB37-4324-AD4E-5DD8C200BD13}">
      <x15:tableSlicerCache tableId="1" column="3"/>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7" sourceName="CUSTOMER NAME">
  <x14:extLst>
    <ext uri="{2F2917AC-EB37-4324-AD4E-5DD8C200BD13}">
      <x15:tableSlicerCache tableId="1" column="7"/>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USTOMER NAME_1" cache="SlicerCache_Table_1_Col_7" caption="CUSTOMER NAME" rowHeight="247650"/>
  <x14:slicer name="ITEM NAME_2" cache="SlicerCache_Table_1_Col_3" caption="ITEM NAME" rowHeight="247650"/>
  <x14:slicer name="DATE_3" cache="SlicerCache_Table_1_Col_1" caption="DATE" rowHeight="247650"/>
</x14:slicers>
</file>

<file path=xl/tables/table1.xml><?xml version="1.0" encoding="utf-8"?>
<table xmlns="http://schemas.openxmlformats.org/spreadsheetml/2006/main" ref="A1:L135" displayName="Table_1" name="Table_1" id="1">
  <autoFilter ref="$A$1:$L$135"/>
  <tableColumns count="12">
    <tableColumn name="DATE" id="1"/>
    <tableColumn name="ITEM ID" id="2"/>
    <tableColumn name="ITEM NAME" id="3"/>
    <tableColumn name="QUANTITY" id="4"/>
    <tableColumn name="PRICE" id="5"/>
    <tableColumn name="TOTAL" id="6"/>
    <tableColumn name="CUSTOMER NAME" id="7"/>
    <tableColumn name="PAYMENT METHOD " id="8"/>
    <tableColumn name="PAYMENT RECEIVED " id="9"/>
    <tableColumn name="PAYMENT BALANCE " id="10"/>
    <tableColumn name="RETURN QUANTITY " id="11"/>
    <tableColumn name="BALANCE QUANTITY" id="12"/>
  </tableColumns>
  <tableStyleInfo showColumnStripes="0" showFirstColumn="0" showLastColumn="0" showRowStripes="0"/>
</table>
</file>

<file path=xl/tables/table2.xml><?xml version="1.0" encoding="utf-8"?>
<table xmlns="http://schemas.openxmlformats.org/spreadsheetml/2006/main" headerRowCount="0" ref="L3:M33" displayName="Table_3" name="Table_3" id="3">
  <tableColumns count="2">
    <tableColumn name="Column1" id="1"/>
    <tableColumn name="Column2" id="2"/>
  </tableColumns>
  <tableStyleInfo name="Dashboard-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C15:P50" displayName="Table_2" name="Table_2" id="2">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ST Cust-style" showColumnStripes="0" showFirstColumn="1" showLastColumn="1" showRowStripes="1"/>
</table>
</file>

<file path=xl/tables/table4.xml><?xml version="1.0" encoding="utf-8"?>
<table xmlns="http://schemas.openxmlformats.org/spreadsheetml/2006/main" ref="A5:M100" displayName="Table_4" name="Table_4" id="4">
  <tableColumns count="13">
    <tableColumn name="DATE" id="1"/>
    <tableColumn name="ITEM ID" id="2"/>
    <tableColumn name="ITEM NAME" id="3"/>
    <tableColumn name="QUANTITY" id="4"/>
    <tableColumn name="PRICE" id="5"/>
    <tableColumn name="TOTAL" id="6"/>
    <tableColumn name="CUSTOMER NAME" id="7"/>
    <tableColumn name="PAYMENT METHOD " id="8"/>
    <tableColumn name="PAYMENT RECEIVED " id="9"/>
    <tableColumn name="PAYMENT BALANCE " id="10"/>
    <tableColumn name="RETURN QUANTITY " id="11"/>
    <tableColumn name="BALANCE QUANTITY" id="12"/>
    <tableColumn name="Narration" id="13"/>
  </tableColumns>
  <tableStyleInfo name="INV BAL-style" showColumnStripes="0" showFirstColumn="1" showLastColumn="1" showRowStripes="1"/>
</table>
</file>

<file path=xl/tables/table5.xml><?xml version="1.0" encoding="utf-8"?>
<table xmlns="http://schemas.openxmlformats.org/spreadsheetml/2006/main" ref="A5:M100" displayName="Table_5" name="Table_5" id="5">
  <tableColumns count="13">
    <tableColumn name="DATE" id="1"/>
    <tableColumn name="ITEM ID" id="2"/>
    <tableColumn name="ITEM NAME" id="3"/>
    <tableColumn name="QUANTITY" id="4"/>
    <tableColumn name="PRICE" id="5"/>
    <tableColumn name="TOTAL" id="6"/>
    <tableColumn name="CUSTOMER NAME" id="7"/>
    <tableColumn name="PAYMENT METHOD " id="8"/>
    <tableColumn name="PAYMENT RECEIVED " id="9"/>
    <tableColumn name="PAYMENT BALANCE " id="10"/>
    <tableColumn name="RETURN QUANTITY " id="11"/>
    <tableColumn name="BALANCE QUANTITY" id="12"/>
    <tableColumn name="Narration" id="13"/>
  </tableColumns>
  <tableStyleInfo name="Pay BAL-style" showColumnStripes="0" showFirstColumn="1" showLastColumn="1" showRowStripes="1"/>
</table>
</file>

<file path=xl/tables/table6.xml><?xml version="1.0" encoding="utf-8"?>
<table xmlns="http://schemas.openxmlformats.org/spreadsheetml/2006/main" ref="A1:I56" displayName="Table1" name="Table1" id="6">
  <tableColumns count="9">
    <tableColumn name="ITEM ID" id="1"/>
    <tableColumn name="ITEM NAME" id="2"/>
    <tableColumn name="STOCK  AVAILABLE" id="3"/>
    <tableColumn name="RENT" id="4"/>
    <tableColumn name="STOCK IN " id="5"/>
    <tableColumn name="STOCK OUT" id="6"/>
    <tableColumn name="CURRENT STOCK" id="7"/>
    <tableColumn name="MINIMUM STOCK LIMIT" id="8"/>
    <tableColumn name="TOTAL REVENUE" id="9"/>
  </tableColumns>
  <tableStyleInfo name="Inventory-style" showColumnStripes="0" showFirstColumn="1" showLastColumn="1" showRowStripes="1"/>
</table>
</file>

<file path=xl/tables/table7.xml><?xml version="1.0" encoding="utf-8"?>
<table xmlns="http://schemas.openxmlformats.org/spreadsheetml/2006/main" ref="A1:I81" displayName="Mandap" name="Mandap" id="7">
  <autoFilter ref="$A$1:$I$81"/>
  <tableColumns count="9">
    <tableColumn name="Shop Name" id="1"/>
    <tableColumn name="Name" id="2"/>
    <tableColumn name="Category " id="3"/>
    <tableColumn name="Contact Number " id="4"/>
    <tableColumn name="Alternate Number " id="5"/>
    <tableColumn name="Address" id="6"/>
    <tableColumn name="Reference " id="7"/>
    <tableColumn name="O/P balance " id="8"/>
    <tableColumn name="Column 1" id="9"/>
  </tableColumns>
  <tableStyleInfo name="Customer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2.63"/>
    <col customWidth="1" min="2" max="2" width="9.5"/>
    <col customWidth="1" min="3" max="3" width="13.75"/>
    <col customWidth="1" min="4" max="4" width="9.38"/>
    <col customWidth="1" min="5" max="5" width="7.0"/>
    <col customWidth="1" min="6" max="6" width="7.63"/>
    <col customWidth="1" min="7" max="7" width="16.75"/>
    <col customWidth="1" min="8" max="10" width="10.38"/>
    <col customWidth="1" min="11" max="12" width="10.0"/>
  </cols>
  <sheetData>
    <row r="1">
      <c r="A1" s="14" t="s">
        <v>4</v>
      </c>
      <c r="B1" s="15" t="s">
        <v>5</v>
      </c>
      <c r="C1" s="15" t="s">
        <v>6</v>
      </c>
      <c r="D1" s="15" t="s">
        <v>7</v>
      </c>
      <c r="E1" s="16" t="s">
        <v>9</v>
      </c>
      <c r="F1" s="16" t="s">
        <v>10</v>
      </c>
      <c r="G1" s="19" t="s">
        <v>12</v>
      </c>
      <c r="H1" s="19" t="s">
        <v>13</v>
      </c>
      <c r="I1" s="20" t="s">
        <v>14</v>
      </c>
      <c r="J1" s="20" t="s">
        <v>15</v>
      </c>
      <c r="K1" s="19" t="s">
        <v>16</v>
      </c>
      <c r="L1" s="19" t="s">
        <v>17</v>
      </c>
      <c r="M1" s="15" t="s">
        <v>18</v>
      </c>
    </row>
    <row r="2">
      <c r="A2" s="21">
        <v>46204.0</v>
      </c>
      <c r="B2" s="18" t="s">
        <v>19</v>
      </c>
      <c r="C2" s="28" t="str">
        <f t="array" ref="C2">_xlfn.XLOOKUP(B2, Inventory!A:A, Inventory!B:B, "")</f>
        <v>CTRNG</v>
      </c>
      <c r="D2" s="18">
        <v>1.0</v>
      </c>
      <c r="E2" s="29">
        <v>850.0</v>
      </c>
      <c r="F2" s="37">
        <f t="shared" ref="F2:F6" si="1">D2*E2</f>
        <v>850</v>
      </c>
      <c r="G2" s="41" t="s">
        <v>28</v>
      </c>
      <c r="H2" s="41"/>
      <c r="I2" s="43">
        <v>600.0</v>
      </c>
      <c r="J2" s="48">
        <f t="shared" ref="J2:J67" si="2">IF(F2-I2=0,"",F2-I2)</f>
        <v>250</v>
      </c>
      <c r="K2" s="41">
        <v>1.0</v>
      </c>
      <c r="L2" s="28">
        <f t="shared" ref="L2:L57" si="3">IF(D2-K2,"",D2-K2)</f>
        <v>0</v>
      </c>
    </row>
    <row r="3">
      <c r="A3" s="21">
        <v>46204.0</v>
      </c>
      <c r="B3" s="18" t="s">
        <v>29</v>
      </c>
      <c r="C3" s="28" t="str">
        <f t="array" ref="C3">_xlfn.XLOOKUP(B3, Inventory!A:A, Inventory!B:B, "")</f>
        <v>Gadi </v>
      </c>
      <c r="D3" s="18">
        <v>10.0</v>
      </c>
      <c r="E3" s="29">
        <v>15.0</v>
      </c>
      <c r="F3" s="37">
        <f t="shared" si="1"/>
        <v>150</v>
      </c>
      <c r="G3" s="41" t="s">
        <v>30</v>
      </c>
      <c r="H3" s="41"/>
      <c r="I3" s="43">
        <v>150.0</v>
      </c>
      <c r="J3" s="48" t="str">
        <f t="shared" si="2"/>
        <v/>
      </c>
      <c r="K3" s="41">
        <v>10.0</v>
      </c>
      <c r="L3" s="28">
        <f t="shared" si="3"/>
        <v>0</v>
      </c>
    </row>
    <row r="4">
      <c r="A4" s="21">
        <v>46204.0</v>
      </c>
      <c r="B4" s="18" t="s">
        <v>32</v>
      </c>
      <c r="C4" s="28" t="str">
        <f t="array" ref="C4">_xlfn.XLOOKUP(B4, Inventory!A:A, Inventory!B:B, "")</f>
        <v>Amp Ahuja </v>
      </c>
      <c r="D4" s="18">
        <v>1.0</v>
      </c>
      <c r="E4" s="29">
        <v>800.0</v>
      </c>
      <c r="F4" s="37">
        <f t="shared" si="1"/>
        <v>800</v>
      </c>
      <c r="G4" s="41" t="s">
        <v>30</v>
      </c>
      <c r="H4" s="41"/>
      <c r="I4" s="43">
        <v>800.0</v>
      </c>
      <c r="J4" s="48" t="str">
        <f t="shared" si="2"/>
        <v/>
      </c>
      <c r="K4" s="41">
        <v>1.0</v>
      </c>
      <c r="L4" s="28">
        <f t="shared" si="3"/>
        <v>0</v>
      </c>
    </row>
    <row r="5">
      <c r="A5" s="21">
        <v>46204.0</v>
      </c>
      <c r="B5" s="18" t="s">
        <v>33</v>
      </c>
      <c r="C5" s="28" t="str">
        <f t="array" ref="C5">_xlfn.XLOOKUP(B5, Inventory!A:A, Inventory!B:B, "")</f>
        <v>Chair </v>
      </c>
      <c r="D5" s="18">
        <v>20.0</v>
      </c>
      <c r="E5" s="2">
        <f t="array" ref="E5">_xlfn.XLOOKUP(B5, Inventory!A:A, Inventory!D:D, 0)</f>
        <v>4</v>
      </c>
      <c r="F5" s="37">
        <f t="shared" si="1"/>
        <v>80</v>
      </c>
      <c r="G5" s="41" t="s">
        <v>34</v>
      </c>
      <c r="H5" s="41"/>
      <c r="I5" s="57"/>
      <c r="J5" s="48">
        <f t="shared" si="2"/>
        <v>80</v>
      </c>
      <c r="K5" s="18">
        <v>20.0</v>
      </c>
      <c r="L5" s="28">
        <f t="shared" si="3"/>
        <v>0</v>
      </c>
    </row>
    <row r="6">
      <c r="A6" s="21">
        <v>46204.0</v>
      </c>
      <c r="B6" s="18" t="s">
        <v>33</v>
      </c>
      <c r="C6" s="28" t="str">
        <f t="array" ref="C6">_xlfn.XLOOKUP(B6, Inventory!A:A, Inventory!B:B, "")</f>
        <v>Chair </v>
      </c>
      <c r="D6" s="18">
        <v>70.0</v>
      </c>
      <c r="E6" s="2">
        <f t="array" ref="E6">_xlfn.XLOOKUP(B6, Inventory!A:A, Inventory!D:D, 0)</f>
        <v>4</v>
      </c>
      <c r="F6" s="37">
        <f t="shared" si="1"/>
        <v>280</v>
      </c>
      <c r="G6" s="41" t="s">
        <v>34</v>
      </c>
      <c r="H6" s="41"/>
      <c r="I6" s="43"/>
      <c r="J6" s="48">
        <f t="shared" si="2"/>
        <v>280</v>
      </c>
      <c r="K6" s="18">
        <v>70.0</v>
      </c>
      <c r="L6" s="28">
        <f t="shared" si="3"/>
        <v>0</v>
      </c>
    </row>
    <row r="7">
      <c r="A7" s="21">
        <v>46204.0</v>
      </c>
      <c r="B7" s="18" t="s">
        <v>35</v>
      </c>
      <c r="C7" s="28" t="str">
        <f t="array" ref="C7">_xlfn.XLOOKUP(B7, Inventory!A:A, Inventory!B:B, "")</f>
        <v>Table</v>
      </c>
      <c r="D7" s="18">
        <v>39.0</v>
      </c>
      <c r="E7" s="2">
        <f t="array" ref="E7">_xlfn.XLOOKUP(B7, Inventory!A:A, Inventory!D:D, 0)</f>
        <v>20</v>
      </c>
      <c r="F7" s="63">
        <v>1000.0</v>
      </c>
      <c r="G7" s="41" t="s">
        <v>36</v>
      </c>
      <c r="H7" s="41"/>
      <c r="I7" s="43">
        <v>1000.0</v>
      </c>
      <c r="J7" s="48" t="str">
        <f t="shared" si="2"/>
        <v/>
      </c>
      <c r="K7" s="18">
        <v>39.0</v>
      </c>
      <c r="L7" s="28">
        <f t="shared" si="3"/>
        <v>0</v>
      </c>
      <c r="M7" s="18" t="s">
        <v>37</v>
      </c>
    </row>
    <row r="8">
      <c r="A8" s="21">
        <v>46204.0</v>
      </c>
      <c r="B8" s="18" t="s">
        <v>38</v>
      </c>
      <c r="C8" s="28" t="str">
        <f t="array" ref="C8">_xlfn.XLOOKUP(B8, Inventory!A:A, Inventory!B:B, "")</f>
        <v>Dish</v>
      </c>
      <c r="D8" s="18">
        <v>200.0</v>
      </c>
      <c r="E8" s="29">
        <v>2.0</v>
      </c>
      <c r="F8" s="63">
        <v>540.0</v>
      </c>
      <c r="G8" s="41" t="s">
        <v>36</v>
      </c>
      <c r="H8" s="41"/>
      <c r="I8" s="43">
        <v>540.0</v>
      </c>
      <c r="J8" s="48" t="str">
        <f t="shared" si="2"/>
        <v/>
      </c>
      <c r="K8" s="18">
        <v>200.0</v>
      </c>
      <c r="L8" s="28">
        <f t="shared" si="3"/>
        <v>0</v>
      </c>
      <c r="M8" s="18" t="s">
        <v>37</v>
      </c>
    </row>
    <row r="9">
      <c r="A9" s="21">
        <v>46206.0</v>
      </c>
      <c r="B9" s="18" t="s">
        <v>19</v>
      </c>
      <c r="C9" s="28" t="str">
        <f t="array" ref="C9">_xlfn.XLOOKUP(B9, Inventory!A:A, Inventory!B:B, "")</f>
        <v>CTRNG</v>
      </c>
      <c r="D9" s="18">
        <v>1.0</v>
      </c>
      <c r="E9" s="29">
        <v>50.0</v>
      </c>
      <c r="F9" s="37">
        <f t="shared" ref="F9:F26" si="4">D9*E9</f>
        <v>50</v>
      </c>
      <c r="G9" s="41" t="s">
        <v>36</v>
      </c>
      <c r="H9" s="41"/>
      <c r="I9" s="43"/>
      <c r="J9" s="48">
        <f t="shared" si="2"/>
        <v>50</v>
      </c>
      <c r="K9" s="18">
        <v>1.0</v>
      </c>
      <c r="L9" s="28">
        <f t="shared" si="3"/>
        <v>0</v>
      </c>
      <c r="M9" s="18" t="s">
        <v>39</v>
      </c>
    </row>
    <row r="10">
      <c r="A10" s="21">
        <v>46206.0</v>
      </c>
      <c r="B10" s="18" t="s">
        <v>40</v>
      </c>
      <c r="C10" s="28" t="str">
        <f t="array" ref="C10">_xlfn.XLOOKUP(B10, Inventory!A:A, Inventory!B:B, "")</f>
        <v>Halad Chair</v>
      </c>
      <c r="D10" s="18">
        <v>1.0</v>
      </c>
      <c r="E10" s="2">
        <f t="array" ref="E10">_xlfn.XLOOKUP(B10, Inventory!A:A, Inventory!D:D, 0)</f>
        <v>300</v>
      </c>
      <c r="F10" s="37">
        <f t="shared" si="4"/>
        <v>300</v>
      </c>
      <c r="G10" s="41" t="s">
        <v>41</v>
      </c>
      <c r="H10" s="41"/>
      <c r="I10" s="43">
        <v>300.0</v>
      </c>
      <c r="J10" s="48" t="str">
        <f t="shared" si="2"/>
        <v/>
      </c>
      <c r="K10" s="18">
        <v>1.0</v>
      </c>
      <c r="L10" s="28">
        <f t="shared" si="3"/>
        <v>0</v>
      </c>
    </row>
    <row r="11">
      <c r="A11" s="21">
        <v>46207.0</v>
      </c>
      <c r="B11" s="18" t="s">
        <v>19</v>
      </c>
      <c r="C11" s="28" t="str">
        <f t="array" ref="C11">_xlfn.XLOOKUP(B11, Inventory!A:A, Inventory!B:B, "")</f>
        <v>CTRNG</v>
      </c>
      <c r="D11" s="18">
        <v>1.0</v>
      </c>
      <c r="E11" s="29">
        <v>330.0</v>
      </c>
      <c r="F11" s="37">
        <f t="shared" si="4"/>
        <v>330</v>
      </c>
      <c r="G11" s="41" t="s">
        <v>42</v>
      </c>
      <c r="H11" s="41"/>
      <c r="I11" s="43">
        <v>100.0</v>
      </c>
      <c r="J11" s="48">
        <f t="shared" si="2"/>
        <v>230</v>
      </c>
      <c r="K11" s="18">
        <v>1.0</v>
      </c>
      <c r="L11" s="28">
        <f t="shared" si="3"/>
        <v>0</v>
      </c>
    </row>
    <row r="12">
      <c r="A12" s="21">
        <v>46206.0</v>
      </c>
      <c r="B12" s="18" t="s">
        <v>19</v>
      </c>
      <c r="C12" s="28" t="str">
        <f t="array" ref="C12">_xlfn.XLOOKUP(B12, Inventory!A:A, Inventory!B:B, "")</f>
        <v>CTRNG</v>
      </c>
      <c r="D12" s="18">
        <v>1.0</v>
      </c>
      <c r="E12" s="29">
        <v>450.0</v>
      </c>
      <c r="F12" s="37">
        <f t="shared" si="4"/>
        <v>450</v>
      </c>
      <c r="G12" s="41" t="s">
        <v>44</v>
      </c>
      <c r="H12" s="41"/>
      <c r="I12" s="43"/>
      <c r="J12" s="48">
        <f t="shared" si="2"/>
        <v>450</v>
      </c>
      <c r="K12" s="18">
        <v>1.0</v>
      </c>
      <c r="L12" s="28">
        <f t="shared" si="3"/>
        <v>0</v>
      </c>
    </row>
    <row r="13">
      <c r="A13" s="21">
        <v>46206.0</v>
      </c>
      <c r="B13" s="18" t="s">
        <v>40</v>
      </c>
      <c r="C13" s="28" t="str">
        <f t="array" ref="C13">_xlfn.XLOOKUP(B13, Inventory!A:A, Inventory!B:B, "")</f>
        <v>Halad Chair</v>
      </c>
      <c r="D13" s="18">
        <v>1.0</v>
      </c>
      <c r="E13" s="2">
        <f t="array" ref="E13">_xlfn.XLOOKUP(B13, Inventory!A:A, Inventory!D:D, 0)</f>
        <v>300</v>
      </c>
      <c r="F13" s="37">
        <f t="shared" si="4"/>
        <v>300</v>
      </c>
      <c r="G13" s="41" t="s">
        <v>44</v>
      </c>
      <c r="H13" s="41"/>
      <c r="I13" s="43"/>
      <c r="J13" s="48">
        <f t="shared" si="2"/>
        <v>300</v>
      </c>
      <c r="K13" s="18">
        <v>1.0</v>
      </c>
      <c r="L13" s="28">
        <f t="shared" si="3"/>
        <v>0</v>
      </c>
    </row>
    <row r="14">
      <c r="A14" s="21">
        <v>46206.0</v>
      </c>
      <c r="B14" s="28"/>
      <c r="C14" s="28" t="str">
        <f t="array" ref="C14">_xlfn.XLOOKUP(B14, Inventory!A:A, Inventory!B:B, "")</f>
        <v/>
      </c>
      <c r="E14" s="2">
        <f t="array" ref="E14">_xlfn.XLOOKUP(B14, Inventory!A:A, Inventory!D:D, 0)</f>
        <v>0</v>
      </c>
      <c r="F14" s="37">
        <f t="shared" si="4"/>
        <v>0</v>
      </c>
      <c r="G14" s="41" t="s">
        <v>46</v>
      </c>
      <c r="H14" s="41"/>
      <c r="I14" s="43">
        <v>1000.0</v>
      </c>
      <c r="J14" s="48">
        <f t="shared" si="2"/>
        <v>-1000</v>
      </c>
      <c r="K14" s="28"/>
      <c r="L14" s="28">
        <f t="shared" si="3"/>
        <v>0</v>
      </c>
    </row>
    <row r="15">
      <c r="A15" s="21">
        <v>46207.0</v>
      </c>
      <c r="B15" s="18" t="s">
        <v>47</v>
      </c>
      <c r="C15" s="28" t="str">
        <f t="array" ref="C15">_xlfn.XLOOKUP(B15, Inventory!A:A, Inventory!B:B, "")</f>
        <v>Samai</v>
      </c>
      <c r="D15" s="18">
        <v>1.0</v>
      </c>
      <c r="E15" s="2">
        <f t="array" ref="E15">_xlfn.XLOOKUP(B15, Inventory!A:A, Inventory!D:D, 0)</f>
        <v>300</v>
      </c>
      <c r="F15" s="37">
        <f t="shared" si="4"/>
        <v>300</v>
      </c>
      <c r="G15" s="41" t="s">
        <v>49</v>
      </c>
      <c r="H15" s="41"/>
      <c r="I15" s="43">
        <v>300.0</v>
      </c>
      <c r="J15" s="48" t="str">
        <f t="shared" si="2"/>
        <v/>
      </c>
      <c r="K15" s="18">
        <v>1.0</v>
      </c>
      <c r="L15" s="28">
        <f t="shared" si="3"/>
        <v>0</v>
      </c>
    </row>
    <row r="16">
      <c r="A16" s="21">
        <v>46207.0</v>
      </c>
      <c r="B16" s="18" t="s">
        <v>50</v>
      </c>
      <c r="C16" s="28" t="str">
        <f t="array" ref="C16">_xlfn.XLOOKUP(B16, Inventory!A:A, Inventory!B:B, "")</f>
        <v>Chair Cover</v>
      </c>
      <c r="D16" s="18">
        <v>10.0</v>
      </c>
      <c r="E16" s="2">
        <f t="array" ref="E16">_xlfn.XLOOKUP(B16, Inventory!A:A, Inventory!D:D, 0)</f>
        <v>10</v>
      </c>
      <c r="F16" s="37">
        <f t="shared" si="4"/>
        <v>100</v>
      </c>
      <c r="G16" s="41" t="s">
        <v>49</v>
      </c>
      <c r="H16" s="41"/>
      <c r="I16" s="43">
        <v>100.0</v>
      </c>
      <c r="J16" s="48" t="str">
        <f t="shared" si="2"/>
        <v/>
      </c>
      <c r="K16" s="18">
        <v>1.0</v>
      </c>
      <c r="L16" s="28" t="str">
        <f t="shared" si="3"/>
        <v/>
      </c>
    </row>
    <row r="17">
      <c r="A17" s="21">
        <v>46208.0</v>
      </c>
      <c r="B17" s="18" t="s">
        <v>52</v>
      </c>
      <c r="C17" s="28" t="str">
        <f t="array" ref="C17">_xlfn.XLOOKUP(B17, Inventory!A:A, Inventory!B:B, "")</f>
        <v>Palna</v>
      </c>
      <c r="D17" s="18">
        <v>1.0</v>
      </c>
      <c r="E17" s="2">
        <f t="array" ref="E17">_xlfn.XLOOKUP(B17, Inventory!A:A, Inventory!D:D, 0)</f>
        <v>500</v>
      </c>
      <c r="F17" s="37">
        <f t="shared" si="4"/>
        <v>500</v>
      </c>
      <c r="G17" s="41" t="s">
        <v>53</v>
      </c>
      <c r="H17" s="41"/>
      <c r="I17" s="43">
        <v>0.0</v>
      </c>
      <c r="J17" s="48">
        <f t="shared" si="2"/>
        <v>500</v>
      </c>
      <c r="K17" s="18">
        <v>1.0</v>
      </c>
      <c r="L17" s="28">
        <f t="shared" si="3"/>
        <v>0</v>
      </c>
    </row>
    <row r="18">
      <c r="A18" s="21">
        <v>46208.0</v>
      </c>
      <c r="B18" s="18" t="s">
        <v>54</v>
      </c>
      <c r="C18" s="28" t="str">
        <f t="array" ref="C18">_xlfn.XLOOKUP(B18, Inventory!A:A, Inventory!B:B, "")</f>
        <v>Maharaja Sofa </v>
      </c>
      <c r="D18" s="18">
        <v>1.0</v>
      </c>
      <c r="E18" s="2">
        <f t="array" ref="E18">_xlfn.XLOOKUP(B18, Inventory!A:A, Inventory!D:D, 0)</f>
        <v>700</v>
      </c>
      <c r="F18" s="37">
        <f t="shared" si="4"/>
        <v>700</v>
      </c>
      <c r="G18" s="41" t="s">
        <v>53</v>
      </c>
      <c r="H18" s="41"/>
      <c r="I18" s="43">
        <v>700.0</v>
      </c>
      <c r="J18" s="48" t="str">
        <f t="shared" si="2"/>
        <v/>
      </c>
      <c r="K18" s="18">
        <v>1.0</v>
      </c>
      <c r="L18" s="28">
        <f t="shared" si="3"/>
        <v>0</v>
      </c>
    </row>
    <row r="19">
      <c r="A19" s="21">
        <v>46208.0</v>
      </c>
      <c r="B19" s="18" t="s">
        <v>35</v>
      </c>
      <c r="C19" s="28" t="str">
        <f t="array" ref="C19">_xlfn.XLOOKUP(B19, Inventory!A:A, Inventory!B:B, "")</f>
        <v>Table</v>
      </c>
      <c r="D19" s="18">
        <v>15.0</v>
      </c>
      <c r="E19" s="2">
        <f t="array" ref="E19">_xlfn.XLOOKUP(B19, Inventory!A:A, Inventory!D:D, 0)</f>
        <v>20</v>
      </c>
      <c r="F19" s="37">
        <f t="shared" si="4"/>
        <v>300</v>
      </c>
      <c r="G19" s="41" t="s">
        <v>53</v>
      </c>
      <c r="H19" s="41"/>
      <c r="I19" s="43">
        <v>300.0</v>
      </c>
      <c r="J19" s="48" t="str">
        <f t="shared" si="2"/>
        <v/>
      </c>
      <c r="K19" s="18">
        <v>1.0</v>
      </c>
      <c r="L19" s="28" t="str">
        <f t="shared" si="3"/>
        <v/>
      </c>
    </row>
    <row r="20">
      <c r="A20" s="21">
        <v>46208.0</v>
      </c>
      <c r="B20" s="18" t="s">
        <v>57</v>
      </c>
      <c r="C20" s="28" t="str">
        <f t="array" ref="C20">_xlfn.XLOOKUP(B20, Inventory!A:A, Inventory!B:B, "")</f>
        <v>Shafing Dish</v>
      </c>
      <c r="D20" s="18">
        <v>5.0</v>
      </c>
      <c r="E20" s="2">
        <f t="array" ref="E20">_xlfn.XLOOKUP(B20, Inventory!A:A, Inventory!D:D, 0)</f>
        <v>50</v>
      </c>
      <c r="F20" s="37">
        <f t="shared" si="4"/>
        <v>250</v>
      </c>
      <c r="G20" s="41" t="s">
        <v>53</v>
      </c>
      <c r="H20" s="41"/>
      <c r="I20" s="43">
        <v>250.0</v>
      </c>
      <c r="J20" s="48" t="str">
        <f t="shared" si="2"/>
        <v/>
      </c>
      <c r="K20" s="18">
        <v>1.0</v>
      </c>
      <c r="L20" s="28" t="str">
        <f t="shared" si="3"/>
        <v/>
      </c>
    </row>
    <row r="21">
      <c r="A21" s="21">
        <v>46208.0</v>
      </c>
      <c r="B21" s="18" t="s">
        <v>52</v>
      </c>
      <c r="C21" s="28" t="str">
        <f t="array" ref="C21">_xlfn.XLOOKUP(B21, Inventory!A:A, Inventory!B:B, "")</f>
        <v>Palna</v>
      </c>
      <c r="D21" s="18">
        <v>1.0</v>
      </c>
      <c r="E21" s="2">
        <f t="array" ref="E21">_xlfn.XLOOKUP(B21, Inventory!A:A, Inventory!D:D, 0)</f>
        <v>500</v>
      </c>
      <c r="F21" s="37">
        <f t="shared" si="4"/>
        <v>500</v>
      </c>
      <c r="G21" s="41" t="s">
        <v>53</v>
      </c>
      <c r="H21" s="41"/>
      <c r="I21" s="43">
        <v>500.0</v>
      </c>
      <c r="J21" s="48" t="str">
        <f t="shared" si="2"/>
        <v/>
      </c>
      <c r="K21" s="18">
        <v>1.0</v>
      </c>
      <c r="L21" s="28">
        <f t="shared" si="3"/>
        <v>0</v>
      </c>
    </row>
    <row r="22">
      <c r="A22" s="21">
        <v>46208.0</v>
      </c>
      <c r="B22" s="18" t="s">
        <v>19</v>
      </c>
      <c r="C22" s="28" t="str">
        <f t="array" ref="C22">_xlfn.XLOOKUP(B22, Inventory!A:A, Inventory!B:B, "")</f>
        <v>CTRNG</v>
      </c>
      <c r="D22" s="18">
        <v>1.0</v>
      </c>
      <c r="E22" s="29">
        <v>900.0</v>
      </c>
      <c r="F22" s="37">
        <f t="shared" si="4"/>
        <v>900</v>
      </c>
      <c r="G22" s="41" t="s">
        <v>28</v>
      </c>
      <c r="H22" s="41"/>
      <c r="I22" s="43"/>
      <c r="J22" s="48">
        <f t="shared" si="2"/>
        <v>900</v>
      </c>
      <c r="K22" s="18">
        <v>1.0</v>
      </c>
      <c r="L22" s="28">
        <f t="shared" si="3"/>
        <v>0</v>
      </c>
    </row>
    <row r="23">
      <c r="A23" s="21">
        <v>46207.0</v>
      </c>
      <c r="B23" s="18" t="s">
        <v>59</v>
      </c>
      <c r="C23" s="28" t="str">
        <f t="array" ref="C23">_xlfn.XLOOKUP(B23, Inventory!A:A, Inventory!B:B, "")</f>
        <v>Fan</v>
      </c>
      <c r="D23" s="18">
        <v>4.0</v>
      </c>
      <c r="E23" s="29">
        <v>150.0</v>
      </c>
      <c r="F23" s="37">
        <f t="shared" si="4"/>
        <v>600</v>
      </c>
      <c r="G23" s="41" t="s">
        <v>36</v>
      </c>
      <c r="H23" s="41"/>
      <c r="I23" s="43">
        <v>600.0</v>
      </c>
      <c r="J23" s="48" t="str">
        <f t="shared" si="2"/>
        <v/>
      </c>
      <c r="K23" s="28"/>
      <c r="L23" s="28" t="str">
        <f t="shared" si="3"/>
        <v/>
      </c>
      <c r="M23" s="18" t="s">
        <v>60</v>
      </c>
    </row>
    <row r="24">
      <c r="A24" s="21">
        <v>46204.0</v>
      </c>
      <c r="B24" s="18" t="s">
        <v>61</v>
      </c>
      <c r="C24" s="28" t="str">
        <f t="array" ref="C24">_xlfn.XLOOKUP(B24, Inventory!A:A, Inventory!B:B, "")</f>
        <v>Gadi Set</v>
      </c>
      <c r="D24" s="18">
        <v>10.0</v>
      </c>
      <c r="E24" s="29">
        <v>100.0</v>
      </c>
      <c r="F24" s="37">
        <f t="shared" si="4"/>
        <v>1000</v>
      </c>
      <c r="G24" s="41" t="s">
        <v>36</v>
      </c>
      <c r="H24" s="41"/>
      <c r="I24" s="43">
        <v>1000.0</v>
      </c>
      <c r="J24" s="48" t="str">
        <f t="shared" si="2"/>
        <v/>
      </c>
      <c r="K24" s="18">
        <v>10.0</v>
      </c>
      <c r="L24" s="28">
        <f t="shared" si="3"/>
        <v>0</v>
      </c>
    </row>
    <row r="25">
      <c r="A25" s="21">
        <v>46204.0</v>
      </c>
      <c r="B25" s="18" t="s">
        <v>62</v>
      </c>
      <c r="C25" s="28" t="str">
        <f t="array" ref="C25">_xlfn.XLOOKUP(B25, Inventory!A:A, Inventory!B:B, "")</f>
        <v>Round Table </v>
      </c>
      <c r="D25" s="18">
        <v>1.0</v>
      </c>
      <c r="E25" s="29">
        <v>200.0</v>
      </c>
      <c r="F25" s="37">
        <f t="shared" si="4"/>
        <v>200</v>
      </c>
      <c r="G25" s="41" t="s">
        <v>36</v>
      </c>
      <c r="H25" s="41"/>
      <c r="I25" s="43">
        <v>200.0</v>
      </c>
      <c r="J25" s="48" t="str">
        <f t="shared" si="2"/>
        <v/>
      </c>
      <c r="K25" s="18">
        <v>1.0</v>
      </c>
      <c r="L25" s="28">
        <f t="shared" si="3"/>
        <v>0</v>
      </c>
    </row>
    <row r="26">
      <c r="A26" s="21">
        <v>46204.0</v>
      </c>
      <c r="B26" s="18" t="s">
        <v>63</v>
      </c>
      <c r="C26" s="28" t="str">
        <f t="array" ref="C26">_xlfn.XLOOKUP(B26, Inventory!A:A, Inventory!B:B, "")</f>
        <v>Parda</v>
      </c>
      <c r="D26" s="18">
        <v>1.0</v>
      </c>
      <c r="E26" s="2">
        <f t="array" ref="E26">_xlfn.XLOOKUP(B26, Inventory!A:A, Inventory!D:D, 0)</f>
        <v>100</v>
      </c>
      <c r="F26" s="37">
        <f t="shared" si="4"/>
        <v>100</v>
      </c>
      <c r="G26" s="41" t="s">
        <v>36</v>
      </c>
      <c r="H26" s="41"/>
      <c r="I26" s="43">
        <v>100.0</v>
      </c>
      <c r="J26" s="48" t="str">
        <f t="shared" si="2"/>
        <v/>
      </c>
      <c r="K26" s="18">
        <v>1.0</v>
      </c>
      <c r="L26" s="28">
        <f t="shared" si="3"/>
        <v>0</v>
      </c>
    </row>
    <row r="27">
      <c r="A27" s="21">
        <v>46207.0</v>
      </c>
      <c r="B27" s="18" t="s">
        <v>64</v>
      </c>
      <c r="C27" s="28" t="str">
        <f t="array" ref="C27">_xlfn.XLOOKUP(B27, Inventory!A:A, Inventory!B:B, "")</f>
        <v>Drum</v>
      </c>
      <c r="D27" s="18">
        <v>1.0</v>
      </c>
      <c r="E27" s="2">
        <f t="array" ref="E27">_xlfn.XLOOKUP(B27, Inventory!A:A, Inventory!D:D, 0)</f>
        <v>20</v>
      </c>
      <c r="F27" s="63">
        <v>120.0</v>
      </c>
      <c r="G27" s="41" t="s">
        <v>36</v>
      </c>
      <c r="H27" s="41"/>
      <c r="I27" s="43">
        <v>120.0</v>
      </c>
      <c r="J27" s="48" t="str">
        <f t="shared" si="2"/>
        <v/>
      </c>
      <c r="K27" s="28"/>
      <c r="L27" s="28" t="str">
        <f t="shared" si="3"/>
        <v/>
      </c>
      <c r="M27" s="18" t="s">
        <v>65</v>
      </c>
    </row>
    <row r="28">
      <c r="A28" s="21">
        <v>46208.0</v>
      </c>
      <c r="B28" s="18" t="s">
        <v>33</v>
      </c>
      <c r="C28" s="28" t="str">
        <f t="array" ref="C28">_xlfn.XLOOKUP(B28, Inventory!A:A, Inventory!B:B, "")</f>
        <v>Chair </v>
      </c>
      <c r="D28" s="18">
        <v>5.0</v>
      </c>
      <c r="E28" s="29">
        <v>10.0</v>
      </c>
      <c r="F28" s="37">
        <f>D28*E28</f>
        <v>50</v>
      </c>
      <c r="G28" s="41" t="s">
        <v>36</v>
      </c>
      <c r="H28" s="41"/>
      <c r="I28" s="43">
        <v>50.0</v>
      </c>
      <c r="J28" s="48" t="str">
        <f t="shared" si="2"/>
        <v/>
      </c>
      <c r="K28" s="18">
        <v>1.0</v>
      </c>
      <c r="L28" s="28" t="str">
        <f t="shared" si="3"/>
        <v/>
      </c>
    </row>
    <row r="29">
      <c r="A29" s="21">
        <v>46208.0</v>
      </c>
      <c r="B29" s="18" t="s">
        <v>38</v>
      </c>
      <c r="C29" s="28" t="str">
        <f t="array" ref="C29">_xlfn.XLOOKUP(B29, Inventory!A:A, Inventory!B:B, "")</f>
        <v>Dish</v>
      </c>
      <c r="D29" s="18">
        <v>50.0</v>
      </c>
      <c r="E29" s="29">
        <v>4.0</v>
      </c>
      <c r="F29" s="63">
        <v>250.0</v>
      </c>
      <c r="G29" s="41" t="s">
        <v>36</v>
      </c>
      <c r="H29" s="41"/>
      <c r="I29" s="43">
        <v>250.0</v>
      </c>
      <c r="J29" s="48" t="str">
        <f t="shared" si="2"/>
        <v/>
      </c>
      <c r="K29" s="18">
        <v>1.0</v>
      </c>
      <c r="L29" s="28" t="str">
        <f t="shared" si="3"/>
        <v/>
      </c>
      <c r="M29" s="18" t="s">
        <v>66</v>
      </c>
    </row>
    <row r="30">
      <c r="A30" s="21">
        <v>46209.0</v>
      </c>
      <c r="B30" s="18" t="s">
        <v>67</v>
      </c>
      <c r="C30" s="28" t="str">
        <f t="array" ref="C30">_xlfn.XLOOKUP(B30, Inventory!A:A, Inventory!B:B, "")</f>
        <v>Matt</v>
      </c>
      <c r="D30" s="18">
        <v>2.0</v>
      </c>
      <c r="E30" s="29">
        <v>50.0</v>
      </c>
      <c r="F30" s="37">
        <f t="shared" ref="F30:F63" si="5">D30*E30</f>
        <v>100</v>
      </c>
      <c r="G30" s="41" t="s">
        <v>36</v>
      </c>
      <c r="H30" s="41"/>
      <c r="I30" s="43">
        <v>100.0</v>
      </c>
      <c r="J30" s="48" t="str">
        <f t="shared" si="2"/>
        <v/>
      </c>
      <c r="K30" s="18">
        <v>1.0</v>
      </c>
      <c r="L30" s="28" t="str">
        <f t="shared" si="3"/>
        <v/>
      </c>
      <c r="M30" s="18" t="s">
        <v>68</v>
      </c>
    </row>
    <row r="31">
      <c r="A31" s="21">
        <v>46208.0</v>
      </c>
      <c r="B31" s="18" t="s">
        <v>69</v>
      </c>
      <c r="C31" s="28" t="str">
        <f t="array" ref="C31">_xlfn.XLOOKUP(B31, Inventory!A:A, Inventory!B:B, "")</f>
        <v>Asanpatti</v>
      </c>
      <c r="D31" s="18">
        <v>8.0</v>
      </c>
      <c r="E31" s="29">
        <v>20.0</v>
      </c>
      <c r="F31" s="37">
        <f t="shared" si="5"/>
        <v>160</v>
      </c>
      <c r="G31" s="41" t="s">
        <v>36</v>
      </c>
      <c r="H31" s="41"/>
      <c r="I31" s="43">
        <v>160.0</v>
      </c>
      <c r="J31" s="48" t="str">
        <f t="shared" si="2"/>
        <v/>
      </c>
      <c r="K31" s="18">
        <v>1.0</v>
      </c>
      <c r="L31" s="28" t="str">
        <f t="shared" si="3"/>
        <v/>
      </c>
    </row>
    <row r="32">
      <c r="A32" s="21">
        <v>46209.0</v>
      </c>
      <c r="B32" s="18" t="s">
        <v>19</v>
      </c>
      <c r="C32" s="28" t="str">
        <f t="array" ref="C32">_xlfn.XLOOKUP(B32, Inventory!A:A, Inventory!B:B, "")</f>
        <v>CTRNG</v>
      </c>
      <c r="D32" s="18">
        <v>1.0</v>
      </c>
      <c r="E32" s="29">
        <v>100.0</v>
      </c>
      <c r="F32" s="37">
        <f t="shared" si="5"/>
        <v>100</v>
      </c>
      <c r="G32" s="41" t="s">
        <v>36</v>
      </c>
      <c r="H32" s="41"/>
      <c r="I32" s="43">
        <v>100.0</v>
      </c>
      <c r="J32" s="48" t="str">
        <f t="shared" si="2"/>
        <v/>
      </c>
      <c r="K32" s="18">
        <v>1.0</v>
      </c>
      <c r="L32" s="28">
        <f t="shared" si="3"/>
        <v>0</v>
      </c>
    </row>
    <row r="33">
      <c r="A33" s="21">
        <v>46210.0</v>
      </c>
      <c r="B33" s="18" t="s">
        <v>70</v>
      </c>
      <c r="C33" s="28" t="str">
        <f t="array" ref="C33">_xlfn.XLOOKUP(B33, Inventory!A:A, Inventory!B:B, "")</f>
        <v>Thermos</v>
      </c>
      <c r="D33" s="18">
        <v>1.0</v>
      </c>
      <c r="E33" s="2">
        <f t="array" ref="E33">_xlfn.XLOOKUP(B33, Inventory!A:A, Inventory!D:D, 0)</f>
        <v>50</v>
      </c>
      <c r="F33" s="37">
        <f t="shared" si="5"/>
        <v>50</v>
      </c>
      <c r="G33" s="41" t="s">
        <v>36</v>
      </c>
      <c r="H33" s="41"/>
      <c r="I33" s="43"/>
      <c r="J33" s="48">
        <f t="shared" si="2"/>
        <v>50</v>
      </c>
      <c r="K33" s="18">
        <v>1.0</v>
      </c>
      <c r="L33" s="28">
        <f t="shared" si="3"/>
        <v>0</v>
      </c>
      <c r="M33" s="18" t="s">
        <v>71</v>
      </c>
    </row>
    <row r="34">
      <c r="A34" s="21">
        <v>46211.0</v>
      </c>
      <c r="B34" s="18" t="s">
        <v>33</v>
      </c>
      <c r="C34" s="28" t="str">
        <f t="array" ref="C34">_xlfn.XLOOKUP(B34, Inventory!A:A, Inventory!B:B, "")</f>
        <v>Chair </v>
      </c>
      <c r="D34" s="18">
        <v>37.0</v>
      </c>
      <c r="E34" s="29">
        <v>10.0</v>
      </c>
      <c r="F34" s="37">
        <f t="shared" si="5"/>
        <v>370</v>
      </c>
      <c r="G34" s="41" t="s">
        <v>36</v>
      </c>
      <c r="H34" s="41"/>
      <c r="I34" s="43">
        <v>370.0</v>
      </c>
      <c r="J34" s="48" t="str">
        <f t="shared" si="2"/>
        <v/>
      </c>
      <c r="K34" s="18">
        <v>37.0</v>
      </c>
      <c r="L34" s="28">
        <f t="shared" si="3"/>
        <v>0</v>
      </c>
    </row>
    <row r="35">
      <c r="A35" s="21">
        <v>46211.0</v>
      </c>
      <c r="B35" s="18" t="s">
        <v>35</v>
      </c>
      <c r="C35" s="28" t="str">
        <f t="array" ref="C35">_xlfn.XLOOKUP(B35, Inventory!A:A, Inventory!B:B, "")</f>
        <v>Table</v>
      </c>
      <c r="D35" s="18">
        <v>9.0</v>
      </c>
      <c r="E35" s="29">
        <f t="array" ref="E35">_xlfn.XLOOKUP(B35, Inventory!A:A, Inventory!D:D, 0)</f>
        <v>20</v>
      </c>
      <c r="F35" s="37">
        <f t="shared" si="5"/>
        <v>180</v>
      </c>
      <c r="G35" s="41" t="s">
        <v>36</v>
      </c>
      <c r="H35" s="41"/>
      <c r="I35" s="43">
        <v>180.0</v>
      </c>
      <c r="J35" s="48" t="str">
        <f t="shared" si="2"/>
        <v/>
      </c>
      <c r="K35" s="18">
        <v>9.0</v>
      </c>
      <c r="L35" s="28">
        <f t="shared" si="3"/>
        <v>0</v>
      </c>
    </row>
    <row r="36">
      <c r="A36" s="21">
        <v>46211.0</v>
      </c>
      <c r="B36" s="18" t="s">
        <v>72</v>
      </c>
      <c r="C36" s="28" t="str">
        <f t="array" ref="C36">_xlfn.XLOOKUP(B36, Inventory!A:A, Inventory!B:B, "")</f>
        <v>Freel</v>
      </c>
      <c r="D36" s="18">
        <v>5.0</v>
      </c>
      <c r="E36" s="2">
        <f t="array" ref="E36">_xlfn.XLOOKUP(B36, Inventory!A:A, Inventory!D:D, 0)</f>
        <v>30</v>
      </c>
      <c r="F36" s="37">
        <f t="shared" si="5"/>
        <v>150</v>
      </c>
      <c r="G36" s="41" t="s">
        <v>36</v>
      </c>
      <c r="H36" s="41"/>
      <c r="I36" s="43">
        <v>150.0</v>
      </c>
      <c r="J36" s="48" t="str">
        <f t="shared" si="2"/>
        <v/>
      </c>
      <c r="K36" s="18">
        <v>5.0</v>
      </c>
      <c r="L36" s="28">
        <f t="shared" si="3"/>
        <v>0</v>
      </c>
    </row>
    <row r="37">
      <c r="A37" s="21">
        <v>46212.0</v>
      </c>
      <c r="B37" s="18" t="s">
        <v>19</v>
      </c>
      <c r="C37" s="28" t="str">
        <f t="array" ref="C37">_xlfn.XLOOKUP(B37, Inventory!A:A, Inventory!B:B, "")</f>
        <v>CTRNG</v>
      </c>
      <c r="D37" s="18">
        <v>1.0</v>
      </c>
      <c r="E37" s="29">
        <v>275.0</v>
      </c>
      <c r="F37" s="37">
        <f t="shared" si="5"/>
        <v>275</v>
      </c>
      <c r="G37" s="41" t="s">
        <v>36</v>
      </c>
      <c r="H37" s="41"/>
      <c r="I37" s="43">
        <v>275.0</v>
      </c>
      <c r="J37" s="48" t="str">
        <f t="shared" si="2"/>
        <v/>
      </c>
      <c r="K37" s="18">
        <v>1.0</v>
      </c>
      <c r="L37" s="28">
        <f t="shared" si="3"/>
        <v>0</v>
      </c>
    </row>
    <row r="38">
      <c r="A38" s="21">
        <v>46212.0</v>
      </c>
      <c r="B38" s="18" t="s">
        <v>33</v>
      </c>
      <c r="C38" s="28" t="str">
        <f t="array" ref="C38">_xlfn.XLOOKUP(B38, Inventory!A:A, Inventory!B:B, "")</f>
        <v>Chair </v>
      </c>
      <c r="D38" s="18">
        <v>4.0</v>
      </c>
      <c r="E38" s="29">
        <v>10.0</v>
      </c>
      <c r="F38" s="37">
        <f t="shared" si="5"/>
        <v>40</v>
      </c>
      <c r="G38" s="41" t="s">
        <v>36</v>
      </c>
      <c r="H38" s="41"/>
      <c r="I38" s="43">
        <v>40.0</v>
      </c>
      <c r="J38" s="48" t="str">
        <f t="shared" si="2"/>
        <v/>
      </c>
      <c r="K38" s="18">
        <v>4.0</v>
      </c>
      <c r="L38" s="28">
        <f t="shared" si="3"/>
        <v>0</v>
      </c>
    </row>
    <row r="39">
      <c r="A39" s="21">
        <v>46212.0</v>
      </c>
      <c r="B39" s="18" t="s">
        <v>69</v>
      </c>
      <c r="C39" s="28" t="str">
        <f t="array" ref="C39">_xlfn.XLOOKUP(B39, Inventory!A:A, Inventory!B:B, "")</f>
        <v>Asanpatti</v>
      </c>
      <c r="D39" s="18">
        <v>8.0</v>
      </c>
      <c r="E39" s="2">
        <f t="array" ref="E39">_xlfn.XLOOKUP(B39, Inventory!A:A, Inventory!D:D, 0)</f>
        <v>10</v>
      </c>
      <c r="F39" s="37">
        <f t="shared" si="5"/>
        <v>80</v>
      </c>
      <c r="G39" s="41" t="s">
        <v>36</v>
      </c>
      <c r="H39" s="41"/>
      <c r="I39" s="43">
        <v>80.0</v>
      </c>
      <c r="J39" s="48" t="str">
        <f t="shared" si="2"/>
        <v/>
      </c>
      <c r="K39" s="18">
        <v>8.0</v>
      </c>
      <c r="L39" s="28">
        <f t="shared" si="3"/>
        <v>0</v>
      </c>
    </row>
    <row r="40">
      <c r="A40" s="21">
        <v>46213.0</v>
      </c>
      <c r="B40" s="18" t="s">
        <v>73</v>
      </c>
      <c r="C40" s="28" t="str">
        <f t="array" ref="C40">_xlfn.XLOOKUP(B40, Inventory!A:A, Inventory!B:B, "")</f>
        <v>Ahuja Speaker</v>
      </c>
      <c r="D40" s="18">
        <v>1.0</v>
      </c>
      <c r="E40" s="2">
        <f t="array" ref="E40">_xlfn.XLOOKUP(B40, Inventory!A:A, Inventory!D:D, 0)</f>
        <v>500</v>
      </c>
      <c r="F40" s="37">
        <f t="shared" si="5"/>
        <v>500</v>
      </c>
      <c r="G40" s="41" t="s">
        <v>36</v>
      </c>
      <c r="H40" s="41"/>
      <c r="I40" s="57"/>
      <c r="J40" s="48">
        <f t="shared" si="2"/>
        <v>500</v>
      </c>
      <c r="K40" s="18">
        <v>1.0</v>
      </c>
      <c r="L40" s="28">
        <f t="shared" si="3"/>
        <v>0</v>
      </c>
    </row>
    <row r="41">
      <c r="A41" s="21">
        <v>46213.0</v>
      </c>
      <c r="B41" s="18" t="s">
        <v>19</v>
      </c>
      <c r="C41" s="28" t="str">
        <f t="array" ref="C41">_xlfn.XLOOKUP(B41, Inventory!A:A, Inventory!B:B, "")</f>
        <v>CTRNG</v>
      </c>
      <c r="D41" s="18">
        <v>1.0</v>
      </c>
      <c r="E41" s="29">
        <v>100.0</v>
      </c>
      <c r="F41" s="37">
        <f t="shared" si="5"/>
        <v>100</v>
      </c>
      <c r="G41" s="41" t="s">
        <v>36</v>
      </c>
      <c r="H41" s="41"/>
      <c r="I41" s="43"/>
      <c r="J41" s="48">
        <f t="shared" si="2"/>
        <v>100</v>
      </c>
      <c r="K41" s="28"/>
      <c r="L41" s="28" t="str">
        <f t="shared" si="3"/>
        <v/>
      </c>
      <c r="M41" s="18" t="s">
        <v>74</v>
      </c>
    </row>
    <row r="42">
      <c r="A42" s="21">
        <v>46213.0</v>
      </c>
      <c r="B42" s="18" t="s">
        <v>19</v>
      </c>
      <c r="C42" s="28" t="str">
        <f t="array" ref="C42">_xlfn.XLOOKUP(B42, Inventory!A:A, Inventory!B:B, "")</f>
        <v>CTRNG</v>
      </c>
      <c r="D42" s="18">
        <v>1.0</v>
      </c>
      <c r="E42" s="29">
        <v>100.0</v>
      </c>
      <c r="F42" s="37">
        <f t="shared" si="5"/>
        <v>100</v>
      </c>
      <c r="G42" s="41" t="s">
        <v>36</v>
      </c>
      <c r="H42" s="41"/>
      <c r="I42" s="43"/>
      <c r="J42" s="48">
        <f t="shared" si="2"/>
        <v>100</v>
      </c>
      <c r="K42" s="28"/>
      <c r="L42" s="28" t="str">
        <f t="shared" si="3"/>
        <v/>
      </c>
    </row>
    <row r="43">
      <c r="A43" s="21">
        <v>46213.0</v>
      </c>
      <c r="B43" s="18" t="s">
        <v>47</v>
      </c>
      <c r="C43" s="28" t="str">
        <f t="array" ref="C43">_xlfn.XLOOKUP(B43, Inventory!A:A, Inventory!B:B, "")</f>
        <v>Samai</v>
      </c>
      <c r="D43" s="18">
        <v>1.0</v>
      </c>
      <c r="E43" s="29">
        <f t="array" ref="E43">_xlfn.XLOOKUP(B43, Inventory!A:A, Inventory!D:D, 0)</f>
        <v>300</v>
      </c>
      <c r="F43" s="37">
        <f t="shared" si="5"/>
        <v>300</v>
      </c>
      <c r="G43" s="41" t="s">
        <v>36</v>
      </c>
      <c r="H43" s="41"/>
      <c r="I43" s="43"/>
      <c r="J43" s="48">
        <f t="shared" si="2"/>
        <v>300</v>
      </c>
      <c r="K43" s="28"/>
      <c r="L43" s="28" t="str">
        <f t="shared" si="3"/>
        <v/>
      </c>
      <c r="M43" s="18" t="s">
        <v>75</v>
      </c>
    </row>
    <row r="44">
      <c r="A44" s="21">
        <v>46208.0</v>
      </c>
      <c r="B44" s="18" t="s">
        <v>77</v>
      </c>
      <c r="C44" s="28" t="str">
        <f t="array" ref="C44">_xlfn.XLOOKUP(B44, Inventory!A:A, Inventory!B:B, "")</f>
        <v>Sofa </v>
      </c>
      <c r="D44" s="18">
        <v>2.0</v>
      </c>
      <c r="E44" s="2">
        <f t="array" ref="E44">_xlfn.XLOOKUP(B44, Inventory!A:A, Inventory!D:D, 0)</f>
        <v>150</v>
      </c>
      <c r="F44" s="37">
        <f t="shared" si="5"/>
        <v>300</v>
      </c>
      <c r="G44" s="41" t="s">
        <v>78</v>
      </c>
      <c r="H44" s="41"/>
      <c r="I44" s="43">
        <v>300.0</v>
      </c>
      <c r="J44" s="48" t="str">
        <f t="shared" si="2"/>
        <v/>
      </c>
      <c r="K44" s="18">
        <v>1.0</v>
      </c>
      <c r="L44" s="28" t="str">
        <f t="shared" si="3"/>
        <v/>
      </c>
    </row>
    <row r="45">
      <c r="A45" s="21">
        <v>46209.0</v>
      </c>
      <c r="B45" s="18" t="s">
        <v>19</v>
      </c>
      <c r="C45" s="28" t="str">
        <f t="array" ref="C45">_xlfn.XLOOKUP(B45, Inventory!A:A, Inventory!B:B, "")</f>
        <v>CTRNG</v>
      </c>
      <c r="D45" s="18">
        <v>1.0</v>
      </c>
      <c r="E45" s="29">
        <v>50.0</v>
      </c>
      <c r="F45" s="37">
        <f t="shared" si="5"/>
        <v>50</v>
      </c>
      <c r="G45" s="41" t="s">
        <v>79</v>
      </c>
      <c r="H45" s="41"/>
      <c r="I45" s="43">
        <v>50.0</v>
      </c>
      <c r="J45" s="48" t="str">
        <f t="shared" si="2"/>
        <v/>
      </c>
      <c r="K45" s="18">
        <v>1.0</v>
      </c>
      <c r="L45" s="28">
        <f t="shared" si="3"/>
        <v>0</v>
      </c>
    </row>
    <row r="46">
      <c r="A46" s="21">
        <v>46210.0</v>
      </c>
      <c r="B46" s="18" t="s">
        <v>77</v>
      </c>
      <c r="C46" s="28" t="str">
        <f t="array" ref="C46">_xlfn.XLOOKUP(B46, Inventory!A:A, Inventory!B:B, "")</f>
        <v>Sofa </v>
      </c>
      <c r="D46" s="18">
        <v>1.0</v>
      </c>
      <c r="E46" s="29">
        <f t="array" ref="E46">_xlfn.XLOOKUP(B46, Inventory!A:A, Inventory!D:D, 0)</f>
        <v>150</v>
      </c>
      <c r="F46" s="37">
        <f t="shared" si="5"/>
        <v>150</v>
      </c>
      <c r="G46" s="41" t="s">
        <v>80</v>
      </c>
      <c r="H46" s="41"/>
      <c r="I46" s="43">
        <v>150.0</v>
      </c>
      <c r="J46" s="48" t="str">
        <f t="shared" si="2"/>
        <v/>
      </c>
      <c r="K46" s="18">
        <v>1.0</v>
      </c>
      <c r="L46" s="28">
        <f t="shared" si="3"/>
        <v>0</v>
      </c>
    </row>
    <row r="47">
      <c r="A47" s="21">
        <v>46210.0</v>
      </c>
      <c r="B47" s="18" t="s">
        <v>19</v>
      </c>
      <c r="C47" s="28" t="str">
        <f t="array" ref="C47">_xlfn.XLOOKUP(B47, Inventory!A:A, Inventory!B:B, "")</f>
        <v>CTRNG</v>
      </c>
      <c r="D47" s="18">
        <v>3.0</v>
      </c>
      <c r="E47" s="29">
        <v>50.0</v>
      </c>
      <c r="F47" s="37">
        <f t="shared" si="5"/>
        <v>150</v>
      </c>
      <c r="G47" s="41" t="s">
        <v>80</v>
      </c>
      <c r="H47" s="41"/>
      <c r="I47" s="43">
        <v>150.0</v>
      </c>
      <c r="J47" s="48" t="str">
        <f t="shared" si="2"/>
        <v/>
      </c>
      <c r="K47" s="18">
        <v>1.0</v>
      </c>
      <c r="L47" s="28" t="str">
        <f t="shared" si="3"/>
        <v/>
      </c>
      <c r="M47" s="18" t="s">
        <v>81</v>
      </c>
    </row>
    <row r="48">
      <c r="A48" s="21">
        <v>46210.0</v>
      </c>
      <c r="B48" s="18" t="s">
        <v>70</v>
      </c>
      <c r="C48" s="28" t="str">
        <f t="array" ref="C48">_xlfn.XLOOKUP(B48, Inventory!A:A, Inventory!B:B, "")</f>
        <v>Thermos</v>
      </c>
      <c r="D48" s="18">
        <v>1.0</v>
      </c>
      <c r="E48" s="29">
        <f t="array" ref="E48">_xlfn.XLOOKUP(B48, Inventory!A:A, Inventory!D:D, 0)</f>
        <v>50</v>
      </c>
      <c r="F48" s="37">
        <f t="shared" si="5"/>
        <v>50</v>
      </c>
      <c r="G48" s="41" t="s">
        <v>80</v>
      </c>
      <c r="H48" s="41"/>
      <c r="I48" s="43">
        <v>50.0</v>
      </c>
      <c r="J48" s="48" t="str">
        <f t="shared" si="2"/>
        <v/>
      </c>
      <c r="K48" s="18">
        <v>1.0</v>
      </c>
      <c r="L48" s="28">
        <f t="shared" si="3"/>
        <v>0</v>
      </c>
    </row>
    <row r="49">
      <c r="A49" s="21">
        <v>46210.0</v>
      </c>
      <c r="B49" s="18" t="s">
        <v>33</v>
      </c>
      <c r="C49" s="28" t="str">
        <f t="array" ref="C49">_xlfn.XLOOKUP(B49, Inventory!A:A, Inventory!B:B, "")</f>
        <v>Chair </v>
      </c>
      <c r="D49" s="18">
        <v>30.0</v>
      </c>
      <c r="E49" s="29">
        <f t="array" ref="E49">_xlfn.XLOOKUP(B49, Inventory!A:A, Inventory!D:D, 0)</f>
        <v>4</v>
      </c>
      <c r="F49" s="37">
        <f t="shared" si="5"/>
        <v>120</v>
      </c>
      <c r="G49" s="41" t="s">
        <v>82</v>
      </c>
      <c r="H49" s="41"/>
      <c r="I49" s="43">
        <v>120.0</v>
      </c>
      <c r="J49" s="48" t="str">
        <f t="shared" si="2"/>
        <v/>
      </c>
      <c r="K49" s="18">
        <v>1.0</v>
      </c>
      <c r="L49" s="28" t="str">
        <f t="shared" si="3"/>
        <v/>
      </c>
    </row>
    <row r="50">
      <c r="A50" s="21">
        <v>46210.0</v>
      </c>
      <c r="B50" s="18" t="s">
        <v>35</v>
      </c>
      <c r="C50" s="28" t="str">
        <f t="array" ref="C50">_xlfn.XLOOKUP(B50, Inventory!A:A, Inventory!B:B, "")</f>
        <v>Table</v>
      </c>
      <c r="D50" s="18">
        <v>1.0</v>
      </c>
      <c r="E50" s="29">
        <f t="array" ref="E50">_xlfn.XLOOKUP(B50, Inventory!A:A, Inventory!D:D, 0)</f>
        <v>20</v>
      </c>
      <c r="F50" s="37">
        <f t="shared" si="5"/>
        <v>20</v>
      </c>
      <c r="G50" s="41" t="s">
        <v>82</v>
      </c>
      <c r="H50" s="41"/>
      <c r="I50" s="43">
        <v>20.0</v>
      </c>
      <c r="J50" s="48" t="str">
        <f t="shared" si="2"/>
        <v/>
      </c>
      <c r="K50" s="18">
        <v>1.0</v>
      </c>
      <c r="L50" s="28">
        <f t="shared" si="3"/>
        <v>0</v>
      </c>
    </row>
    <row r="51">
      <c r="A51" s="21">
        <v>46210.0</v>
      </c>
      <c r="B51" s="18" t="s">
        <v>61</v>
      </c>
      <c r="C51" s="28" t="str">
        <f t="array" ref="C51">_xlfn.XLOOKUP(B51, Inventory!A:A, Inventory!B:B, "")</f>
        <v>Gadi Set</v>
      </c>
      <c r="D51" s="18">
        <v>1.0</v>
      </c>
      <c r="E51" s="29">
        <v>6000.0</v>
      </c>
      <c r="F51" s="37">
        <f t="shared" si="5"/>
        <v>6000</v>
      </c>
      <c r="G51" s="41" t="s">
        <v>83</v>
      </c>
      <c r="H51" s="41"/>
      <c r="I51" s="43">
        <v>4000.0</v>
      </c>
      <c r="J51" s="48">
        <f t="shared" si="2"/>
        <v>2000</v>
      </c>
      <c r="K51" s="28"/>
      <c r="L51" s="28" t="str">
        <f t="shared" si="3"/>
        <v/>
      </c>
    </row>
    <row r="52">
      <c r="A52" s="21">
        <v>46210.0</v>
      </c>
      <c r="B52" s="18" t="s">
        <v>29</v>
      </c>
      <c r="C52" s="28" t="str">
        <f t="array" ref="C52">_xlfn.XLOOKUP(B52, Inventory!A:A, Inventory!B:B, "")</f>
        <v>Gadi </v>
      </c>
      <c r="D52" s="18">
        <v>20.0</v>
      </c>
      <c r="E52" s="29">
        <f t="array" ref="E52">_xlfn.XLOOKUP(B52, Inventory!A:A, Inventory!D:D, 0)</f>
        <v>15</v>
      </c>
      <c r="F52" s="37">
        <f t="shared" si="5"/>
        <v>300</v>
      </c>
      <c r="G52" s="41" t="s">
        <v>41</v>
      </c>
      <c r="H52" s="41"/>
      <c r="I52" s="43">
        <v>300.0</v>
      </c>
      <c r="J52" s="48" t="str">
        <f t="shared" si="2"/>
        <v/>
      </c>
      <c r="K52" s="18">
        <v>1.0</v>
      </c>
      <c r="L52" s="28" t="str">
        <f t="shared" si="3"/>
        <v/>
      </c>
    </row>
    <row r="53">
      <c r="A53" s="21">
        <v>46210.0</v>
      </c>
      <c r="B53" s="18" t="s">
        <v>33</v>
      </c>
      <c r="C53" s="28" t="str">
        <f t="array" ref="C53">_xlfn.XLOOKUP(B53, Inventory!A:A, Inventory!B:B, "")</f>
        <v>Chair </v>
      </c>
      <c r="D53" s="18">
        <v>20.0</v>
      </c>
      <c r="E53" s="29">
        <f t="array" ref="E53">_xlfn.XLOOKUP(B53, Inventory!A:A, Inventory!D:D, 0)</f>
        <v>4</v>
      </c>
      <c r="F53" s="37">
        <f t="shared" si="5"/>
        <v>80</v>
      </c>
      <c r="G53" s="41" t="s">
        <v>41</v>
      </c>
      <c r="H53" s="41"/>
      <c r="I53" s="43">
        <v>80.0</v>
      </c>
      <c r="J53" s="48" t="str">
        <f t="shared" si="2"/>
        <v/>
      </c>
      <c r="K53" s="18">
        <v>1.0</v>
      </c>
      <c r="L53" s="28" t="str">
        <f t="shared" si="3"/>
        <v/>
      </c>
    </row>
    <row r="54">
      <c r="A54" s="21">
        <v>46211.0</v>
      </c>
      <c r="B54" s="18" t="s">
        <v>19</v>
      </c>
      <c r="C54" s="28" t="str">
        <f t="array" ref="C54">_xlfn.XLOOKUP(B54, Inventory!A:A, Inventory!B:B, "")</f>
        <v>CTRNG</v>
      </c>
      <c r="D54" s="18">
        <v>1.0</v>
      </c>
      <c r="E54" s="29">
        <v>600.0</v>
      </c>
      <c r="F54" s="37">
        <f t="shared" si="5"/>
        <v>600</v>
      </c>
      <c r="G54" s="41" t="s">
        <v>84</v>
      </c>
      <c r="H54" s="41"/>
      <c r="I54" s="43">
        <v>600.0</v>
      </c>
      <c r="J54" s="48" t="str">
        <f t="shared" si="2"/>
        <v/>
      </c>
      <c r="K54" s="18">
        <v>1.0</v>
      </c>
      <c r="L54" s="28">
        <f t="shared" si="3"/>
        <v>0</v>
      </c>
    </row>
    <row r="55">
      <c r="A55" s="21">
        <v>46210.0</v>
      </c>
      <c r="B55" s="28"/>
      <c r="C55" s="28" t="str">
        <f t="array" ref="C55">_xlfn.XLOOKUP(B55, Inventory!A:A, Inventory!B:B, "")</f>
        <v/>
      </c>
      <c r="E55" s="29">
        <f t="array" ref="E55">_xlfn.XLOOKUP(B55, Inventory!A:A, Inventory!D:D, 0)</f>
        <v>0</v>
      </c>
      <c r="F55" s="37">
        <f t="shared" si="5"/>
        <v>0</v>
      </c>
      <c r="G55" s="41"/>
      <c r="H55" s="41"/>
      <c r="I55" s="43"/>
      <c r="J55" s="48" t="str">
        <f t="shared" si="2"/>
        <v/>
      </c>
      <c r="K55" s="28"/>
      <c r="L55" s="28">
        <f t="shared" si="3"/>
        <v>0</v>
      </c>
    </row>
    <row r="56">
      <c r="A56" s="21">
        <v>46210.0</v>
      </c>
      <c r="B56" s="28"/>
      <c r="C56" s="28" t="str">
        <f t="array" ref="C56">_xlfn.XLOOKUP(B56, Inventory!A:A, Inventory!B:B, "")</f>
        <v/>
      </c>
      <c r="E56" s="29">
        <f t="array" ref="E56">_xlfn.XLOOKUP(B56, Inventory!A:A, Inventory!D:D, 0)</f>
        <v>0</v>
      </c>
      <c r="F56" s="37">
        <f t="shared" si="5"/>
        <v>0</v>
      </c>
      <c r="G56" s="41"/>
      <c r="H56" s="41"/>
      <c r="I56" s="43"/>
      <c r="J56" s="48" t="str">
        <f t="shared" si="2"/>
        <v/>
      </c>
      <c r="K56" s="28"/>
      <c r="L56" s="28">
        <f t="shared" si="3"/>
        <v>0</v>
      </c>
    </row>
    <row r="57">
      <c r="A57" s="21">
        <v>46210.0</v>
      </c>
      <c r="B57" s="28"/>
      <c r="C57" s="28" t="str">
        <f t="array" ref="C57">_xlfn.XLOOKUP(B57, Inventory!A:A, Inventory!B:B, "")</f>
        <v/>
      </c>
      <c r="E57" s="29">
        <f t="array" ref="E57">_xlfn.XLOOKUP(B57, Inventory!A:A, Inventory!D:D, 0)</f>
        <v>0</v>
      </c>
      <c r="F57" s="37">
        <f t="shared" si="5"/>
        <v>0</v>
      </c>
      <c r="G57" s="41"/>
      <c r="H57" s="41"/>
      <c r="I57" s="43"/>
      <c r="J57" s="48" t="str">
        <f t="shared" si="2"/>
        <v/>
      </c>
      <c r="K57" s="28"/>
      <c r="L57" s="28">
        <f t="shared" si="3"/>
        <v>0</v>
      </c>
    </row>
    <row r="58">
      <c r="A58" s="21">
        <v>46210.0</v>
      </c>
      <c r="B58" s="28"/>
      <c r="C58" s="28" t="str">
        <f t="array" ref="C58">_xlfn.XLOOKUP(B58, Inventory!A:A, Inventory!B:B, "")</f>
        <v/>
      </c>
      <c r="E58" s="29">
        <f t="array" ref="E58">_xlfn.XLOOKUP(B58, Inventory!A:A, Inventory!D:D, 0)</f>
        <v>0</v>
      </c>
      <c r="F58" s="37">
        <f t="shared" si="5"/>
        <v>0</v>
      </c>
      <c r="G58" s="41"/>
      <c r="H58" s="41"/>
      <c r="I58" s="43"/>
      <c r="J58" s="48" t="str">
        <f t="shared" si="2"/>
        <v/>
      </c>
      <c r="K58" s="28"/>
    </row>
    <row r="59">
      <c r="A59" s="94"/>
      <c r="B59" s="28"/>
      <c r="C59" s="28" t="str">
        <f t="array" ref="C59">_xlfn.XLOOKUP(B59, Inventory!A:A, Inventory!B:B, "")</f>
        <v/>
      </c>
      <c r="E59" s="29">
        <f t="array" ref="E59">_xlfn.XLOOKUP(B59, Inventory!A:A, Inventory!D:D, 0)</f>
        <v>0</v>
      </c>
      <c r="F59" s="37">
        <f t="shared" si="5"/>
        <v>0</v>
      </c>
      <c r="G59" s="41"/>
      <c r="H59" s="41"/>
      <c r="I59" s="43"/>
      <c r="J59" s="48" t="str">
        <f t="shared" si="2"/>
        <v/>
      </c>
      <c r="K59" s="28"/>
    </row>
    <row r="60">
      <c r="A60" s="94"/>
      <c r="B60" s="28"/>
      <c r="C60" s="28" t="str">
        <f t="array" ref="C60">_xlfn.XLOOKUP(B60, Inventory!A:A, Inventory!B:B, "")</f>
        <v/>
      </c>
      <c r="E60" s="29">
        <f t="array" ref="E60">_xlfn.XLOOKUP(B60, Inventory!A:A, Inventory!D:D, 0)</f>
        <v>0</v>
      </c>
      <c r="F60" s="37">
        <f t="shared" si="5"/>
        <v>0</v>
      </c>
      <c r="G60" s="41"/>
      <c r="H60" s="41"/>
      <c r="I60" s="43"/>
      <c r="J60" s="48" t="str">
        <f t="shared" si="2"/>
        <v/>
      </c>
      <c r="K60" s="28"/>
      <c r="M60" s="95"/>
    </row>
    <row r="61">
      <c r="A61" s="94"/>
      <c r="B61" s="28"/>
      <c r="C61" s="28" t="str">
        <f t="array" ref="C61">_xlfn.XLOOKUP(B61, Inventory!A:A, Inventory!B:B, "")</f>
        <v/>
      </c>
      <c r="E61" s="29">
        <f t="array" ref="E61">_xlfn.XLOOKUP(B61, Inventory!A:A, Inventory!D:D, 0)</f>
        <v>0</v>
      </c>
      <c r="F61" s="37">
        <f t="shared" si="5"/>
        <v>0</v>
      </c>
      <c r="G61" s="41"/>
      <c r="H61" s="41"/>
      <c r="I61" s="43"/>
      <c r="J61" s="48" t="str">
        <f t="shared" si="2"/>
        <v/>
      </c>
      <c r="K61" s="28"/>
    </row>
    <row r="62">
      <c r="A62" s="94"/>
      <c r="B62" s="28"/>
      <c r="C62" s="28" t="str">
        <f t="array" ref="C62">_xlfn.XLOOKUP(B62, Inventory!A:A, Inventory!B:B, "")</f>
        <v/>
      </c>
      <c r="E62" s="29"/>
      <c r="F62" s="37">
        <f t="shared" si="5"/>
        <v>0</v>
      </c>
      <c r="G62" s="41"/>
      <c r="H62" s="41"/>
      <c r="I62" s="43"/>
      <c r="J62" s="48" t="str">
        <f t="shared" si="2"/>
        <v/>
      </c>
      <c r="K62" s="28"/>
    </row>
    <row r="63">
      <c r="A63" s="94"/>
      <c r="B63" s="28"/>
      <c r="C63" s="28" t="str">
        <f t="array" ref="C63">_xlfn.XLOOKUP(B63, Inventory!A:A, Inventory!B:B, "")</f>
        <v/>
      </c>
      <c r="E63" s="2"/>
      <c r="F63" s="37">
        <f t="shared" si="5"/>
        <v>0</v>
      </c>
      <c r="G63" s="41"/>
      <c r="H63" s="41"/>
      <c r="I63" s="43"/>
      <c r="J63" s="48" t="str">
        <f t="shared" si="2"/>
        <v/>
      </c>
      <c r="K63" s="28"/>
    </row>
    <row r="64">
      <c r="A64" s="94"/>
      <c r="B64" s="28"/>
      <c r="C64" s="28" t="str">
        <f t="array" ref="C64">_xlfn.XLOOKUP(B64, Inventory!A:A, Inventory!B:B, "")</f>
        <v/>
      </c>
      <c r="E64" s="29"/>
      <c r="F64" s="37"/>
      <c r="G64" s="41"/>
      <c r="H64" s="41"/>
      <c r="I64" s="43"/>
      <c r="J64" s="48" t="str">
        <f t="shared" si="2"/>
        <v/>
      </c>
      <c r="K64" s="28"/>
    </row>
    <row r="65">
      <c r="A65" s="94"/>
      <c r="B65" s="28"/>
      <c r="C65" s="28" t="str">
        <f t="array" ref="C65">_xlfn.XLOOKUP(B65, Inventory!A:A, Inventory!B:B, "")</f>
        <v/>
      </c>
      <c r="E65" s="29"/>
      <c r="F65" s="37"/>
      <c r="G65" s="41"/>
      <c r="H65" s="41"/>
      <c r="I65" s="43"/>
      <c r="J65" s="48" t="str">
        <f t="shared" si="2"/>
        <v/>
      </c>
      <c r="K65" s="28"/>
    </row>
    <row r="66">
      <c r="A66" s="94"/>
      <c r="B66" s="28"/>
      <c r="C66" s="28" t="str">
        <f t="array" ref="C66">_xlfn.XLOOKUP(B66, Inventory!A:A, Inventory!B:B, "")</f>
        <v/>
      </c>
      <c r="E66" s="29"/>
      <c r="F66" s="37"/>
      <c r="G66" s="41"/>
      <c r="H66" s="41"/>
      <c r="I66" s="43"/>
      <c r="J66" s="48" t="str">
        <f t="shared" si="2"/>
        <v/>
      </c>
      <c r="K66" s="28"/>
    </row>
    <row r="67">
      <c r="A67" s="94"/>
      <c r="B67" s="28"/>
      <c r="E67" s="29"/>
      <c r="F67" s="37"/>
      <c r="G67" s="41"/>
      <c r="H67" s="41"/>
      <c r="I67" s="43"/>
      <c r="J67" s="48" t="str">
        <f t="shared" si="2"/>
        <v/>
      </c>
      <c r="K67" s="28"/>
    </row>
    <row r="68">
      <c r="A68" s="94"/>
      <c r="B68" s="28"/>
      <c r="E68" s="2"/>
      <c r="F68" s="37"/>
      <c r="G68" s="41"/>
      <c r="H68" s="41"/>
      <c r="I68" s="43"/>
      <c r="J68" s="48"/>
      <c r="K68" s="28"/>
    </row>
    <row r="69">
      <c r="A69" s="94"/>
      <c r="B69" s="28"/>
      <c r="E69" s="29"/>
      <c r="F69" s="37"/>
      <c r="G69" s="41"/>
      <c r="H69" s="41"/>
      <c r="I69" s="43"/>
      <c r="J69" s="48"/>
      <c r="K69" s="28"/>
    </row>
    <row r="70">
      <c r="A70" s="94"/>
      <c r="B70" s="28"/>
      <c r="E70" s="29"/>
      <c r="F70" s="37"/>
      <c r="G70" s="41"/>
      <c r="H70" s="41"/>
      <c r="I70" s="57"/>
      <c r="J70" s="48"/>
      <c r="K70" s="28"/>
    </row>
    <row r="71">
      <c r="A71" s="94"/>
      <c r="B71" s="28"/>
      <c r="E71" s="2"/>
      <c r="F71" s="37"/>
      <c r="G71" s="41"/>
      <c r="H71" s="41"/>
      <c r="I71" s="43"/>
      <c r="J71" s="48"/>
      <c r="K71" s="41"/>
    </row>
    <row r="72">
      <c r="A72" s="94"/>
      <c r="B72" s="28"/>
      <c r="E72" s="29"/>
      <c r="F72" s="37"/>
      <c r="G72" s="41"/>
      <c r="H72" s="41"/>
      <c r="I72" s="43"/>
      <c r="J72" s="48"/>
      <c r="K72" s="41"/>
    </row>
    <row r="73">
      <c r="A73" s="94"/>
      <c r="B73" s="28"/>
      <c r="E73" s="2"/>
      <c r="F73" s="37"/>
      <c r="G73" s="41"/>
      <c r="H73" s="41"/>
      <c r="I73" s="57"/>
      <c r="J73" s="48"/>
      <c r="K73" s="41"/>
    </row>
    <row r="74">
      <c r="A74" s="94"/>
      <c r="B74" s="28"/>
      <c r="E74" s="29"/>
      <c r="F74" s="37"/>
      <c r="G74" s="41"/>
      <c r="H74" s="41"/>
      <c r="I74" s="43"/>
      <c r="J74" s="48"/>
      <c r="K74" s="41"/>
    </row>
    <row r="75">
      <c r="A75" s="94"/>
      <c r="B75" s="28"/>
      <c r="E75" s="29"/>
      <c r="F75" s="37"/>
      <c r="G75" s="41"/>
      <c r="H75" s="41"/>
      <c r="I75" s="43"/>
      <c r="J75" s="48"/>
      <c r="K75" s="41"/>
    </row>
    <row r="76">
      <c r="A76" s="94"/>
      <c r="B76" s="28"/>
      <c r="E76" s="29"/>
      <c r="F76" s="37"/>
      <c r="G76" s="41"/>
      <c r="H76" s="41"/>
      <c r="I76" s="43"/>
      <c r="J76" s="48"/>
      <c r="K76" s="96"/>
    </row>
    <row r="77">
      <c r="A77" s="94"/>
      <c r="B77" s="28"/>
      <c r="E77" s="2"/>
      <c r="F77" s="37"/>
      <c r="G77" s="41"/>
      <c r="H77" s="41"/>
      <c r="I77" s="43"/>
      <c r="J77" s="48"/>
      <c r="K77" s="96"/>
    </row>
    <row r="78">
      <c r="A78" s="94"/>
      <c r="B78" s="28"/>
      <c r="E78" s="29"/>
      <c r="F78" s="37"/>
      <c r="G78" s="41"/>
      <c r="H78" s="41"/>
      <c r="I78" s="43"/>
      <c r="J78" s="48"/>
      <c r="K78" s="96"/>
    </row>
    <row r="79">
      <c r="A79" s="94"/>
      <c r="B79" s="28"/>
      <c r="E79" s="29"/>
      <c r="F79" s="37"/>
      <c r="G79" s="41"/>
      <c r="H79" s="41"/>
      <c r="I79" s="43"/>
      <c r="J79" s="48"/>
      <c r="K79" s="41"/>
    </row>
    <row r="80">
      <c r="A80" s="94"/>
      <c r="B80" s="28"/>
      <c r="E80" s="29"/>
      <c r="F80" s="37"/>
      <c r="G80" s="41"/>
      <c r="H80" s="41"/>
      <c r="I80" s="43"/>
      <c r="J80" s="48"/>
      <c r="K80" s="41"/>
    </row>
    <row r="81">
      <c r="A81" s="94"/>
      <c r="B81" s="28"/>
      <c r="E81" s="29"/>
      <c r="F81" s="37"/>
      <c r="G81" s="41"/>
      <c r="H81" s="41"/>
      <c r="I81" s="43"/>
      <c r="J81" s="48"/>
      <c r="K81" s="41"/>
    </row>
    <row r="82">
      <c r="A82" s="94"/>
      <c r="B82" s="28"/>
      <c r="E82" s="29"/>
      <c r="F82" s="37"/>
      <c r="G82" s="41"/>
      <c r="H82" s="41"/>
      <c r="I82" s="57"/>
      <c r="J82" s="48"/>
      <c r="K82" s="41"/>
    </row>
    <row r="83">
      <c r="A83" s="94"/>
      <c r="B83" s="28"/>
      <c r="E83" s="29"/>
      <c r="F83" s="37"/>
      <c r="G83" s="41"/>
      <c r="H83" s="41"/>
      <c r="I83" s="43"/>
      <c r="J83" s="48"/>
      <c r="K83" s="41"/>
    </row>
    <row r="84">
      <c r="A84" s="94"/>
      <c r="B84" s="28"/>
      <c r="E84" s="29"/>
      <c r="F84" s="37"/>
      <c r="G84" s="41"/>
      <c r="H84" s="41"/>
      <c r="I84" s="43"/>
      <c r="J84" s="48"/>
      <c r="K84" s="41"/>
    </row>
    <row r="85">
      <c r="A85" s="94"/>
      <c r="B85" s="28"/>
      <c r="E85" s="29"/>
      <c r="F85" s="37"/>
      <c r="G85" s="41"/>
      <c r="H85" s="41"/>
      <c r="I85" s="43"/>
      <c r="J85" s="48"/>
      <c r="K85" s="41"/>
    </row>
    <row r="86">
      <c r="A86" s="94"/>
      <c r="B86" s="28"/>
      <c r="E86" s="29"/>
      <c r="F86" s="37"/>
      <c r="G86" s="41"/>
      <c r="H86" s="41"/>
      <c r="I86" s="43"/>
      <c r="J86" s="48"/>
      <c r="K86" s="41"/>
    </row>
    <row r="87">
      <c r="A87" s="94"/>
      <c r="B87" s="28"/>
      <c r="E87" s="29"/>
      <c r="F87" s="37"/>
      <c r="G87" s="41"/>
      <c r="H87" s="41"/>
      <c r="I87" s="43"/>
      <c r="J87" s="48"/>
      <c r="K87" s="41"/>
    </row>
    <row r="88">
      <c r="A88" s="94"/>
      <c r="B88" s="28"/>
      <c r="E88" s="29"/>
      <c r="F88" s="37"/>
      <c r="G88" s="41"/>
      <c r="H88" s="41"/>
      <c r="I88" s="57"/>
      <c r="J88" s="48"/>
      <c r="K88" s="41"/>
    </row>
    <row r="89">
      <c r="A89" s="94"/>
      <c r="B89" s="28"/>
      <c r="E89" s="2"/>
      <c r="F89" s="37"/>
      <c r="G89" s="41"/>
      <c r="H89" s="41"/>
      <c r="I89" s="57"/>
      <c r="J89" s="48"/>
      <c r="K89" s="41"/>
    </row>
    <row r="90">
      <c r="A90" s="94"/>
      <c r="B90" s="28"/>
      <c r="E90" s="2"/>
      <c r="F90" s="37"/>
      <c r="G90" s="41"/>
      <c r="H90" s="41"/>
      <c r="I90" s="57"/>
      <c r="J90" s="48"/>
      <c r="K90" s="41"/>
    </row>
    <row r="91">
      <c r="A91" s="94"/>
      <c r="B91" s="28"/>
      <c r="E91" s="29"/>
      <c r="F91" s="37"/>
      <c r="G91" s="41"/>
      <c r="H91" s="41"/>
      <c r="I91" s="43"/>
      <c r="J91" s="48"/>
      <c r="K91" s="41"/>
    </row>
    <row r="92">
      <c r="A92" s="94"/>
      <c r="B92" s="28"/>
      <c r="E92" s="29"/>
      <c r="F92" s="37"/>
      <c r="G92" s="41"/>
      <c r="H92" s="41"/>
      <c r="I92" s="57"/>
      <c r="J92" s="48"/>
      <c r="K92" s="41"/>
    </row>
    <row r="93">
      <c r="A93" s="94"/>
      <c r="B93" s="28"/>
      <c r="E93" s="2"/>
      <c r="F93" s="37"/>
      <c r="G93" s="41"/>
      <c r="H93" s="41"/>
      <c r="I93" s="43"/>
      <c r="J93" s="48"/>
      <c r="K93" s="96"/>
    </row>
    <row r="94">
      <c r="A94" s="94"/>
      <c r="B94" s="28"/>
      <c r="E94" s="29"/>
      <c r="F94" s="37"/>
      <c r="G94" s="41"/>
      <c r="H94" s="41"/>
      <c r="I94" s="43"/>
      <c r="J94" s="48"/>
      <c r="K94" s="41"/>
    </row>
    <row r="95">
      <c r="A95" s="94"/>
      <c r="B95" s="28"/>
      <c r="E95" s="2"/>
      <c r="F95" s="37"/>
      <c r="G95" s="41"/>
      <c r="H95" s="41"/>
      <c r="I95" s="57"/>
      <c r="J95" s="48"/>
      <c r="K95" s="96"/>
    </row>
    <row r="96">
      <c r="A96" s="94"/>
      <c r="B96" s="28"/>
      <c r="E96" s="29"/>
      <c r="F96" s="37"/>
      <c r="G96" s="41"/>
      <c r="H96" s="41"/>
      <c r="I96" s="57"/>
      <c r="J96" s="48"/>
      <c r="K96" s="96"/>
    </row>
    <row r="97">
      <c r="A97" s="94"/>
      <c r="B97" s="28"/>
      <c r="E97" s="29"/>
      <c r="F97" s="37"/>
      <c r="G97" s="41"/>
      <c r="H97" s="41"/>
      <c r="I97" s="43"/>
      <c r="J97" s="48"/>
      <c r="K97" s="41"/>
    </row>
    <row r="98">
      <c r="A98" s="94"/>
      <c r="B98" s="28"/>
      <c r="E98" s="2"/>
      <c r="F98" s="37"/>
      <c r="G98" s="41"/>
      <c r="H98" s="41"/>
      <c r="I98" s="57"/>
      <c r="J98" s="48"/>
      <c r="K98" s="96"/>
    </row>
    <row r="99">
      <c r="A99" s="94"/>
      <c r="B99" s="28"/>
      <c r="E99" s="29"/>
      <c r="F99" s="37"/>
      <c r="G99" s="41"/>
      <c r="H99" s="41"/>
      <c r="I99" s="43"/>
      <c r="J99" s="48"/>
      <c r="K99" s="41"/>
    </row>
    <row r="100">
      <c r="A100" s="94"/>
      <c r="B100" s="28"/>
      <c r="E100" s="29"/>
      <c r="F100" s="37"/>
      <c r="G100" s="41"/>
      <c r="H100" s="41"/>
      <c r="I100" s="43"/>
      <c r="J100" s="48"/>
      <c r="K100" s="41"/>
    </row>
    <row r="101">
      <c r="A101" s="94"/>
      <c r="B101" s="28"/>
      <c r="E101" s="29"/>
      <c r="F101" s="37"/>
      <c r="G101" s="41"/>
      <c r="H101" s="41"/>
      <c r="I101" s="43"/>
      <c r="J101" s="48"/>
      <c r="K101" s="41"/>
    </row>
    <row r="102">
      <c r="A102" s="94"/>
      <c r="B102" s="28"/>
      <c r="E102" s="2"/>
      <c r="F102" s="37"/>
      <c r="G102" s="41"/>
      <c r="H102" s="41"/>
      <c r="I102" s="43"/>
      <c r="J102" s="48"/>
      <c r="K102" s="96"/>
    </row>
    <row r="103">
      <c r="A103" s="94"/>
      <c r="B103" s="28"/>
      <c r="E103" s="29"/>
      <c r="F103" s="37"/>
      <c r="G103" s="41"/>
      <c r="H103" s="41"/>
      <c r="I103" s="43"/>
      <c r="J103" s="48"/>
      <c r="K103" s="41"/>
    </row>
    <row r="104">
      <c r="A104" s="94"/>
      <c r="B104" s="28"/>
      <c r="E104" s="2"/>
      <c r="F104" s="63"/>
      <c r="G104" s="41"/>
      <c r="H104" s="41"/>
      <c r="I104" s="43"/>
      <c r="J104" s="48"/>
      <c r="K104" s="41"/>
    </row>
    <row r="105">
      <c r="A105" s="94"/>
      <c r="B105" s="28"/>
      <c r="E105" s="29"/>
      <c r="F105" s="37"/>
      <c r="G105" s="41"/>
      <c r="H105" s="41"/>
      <c r="I105" s="43"/>
      <c r="J105" s="48"/>
      <c r="K105" s="41"/>
    </row>
    <row r="106">
      <c r="A106" s="94"/>
      <c r="B106" s="28"/>
      <c r="E106" s="29"/>
      <c r="F106" s="37"/>
      <c r="G106" s="41"/>
      <c r="H106" s="41"/>
      <c r="I106" s="43"/>
      <c r="J106" s="48"/>
      <c r="K106" s="41"/>
    </row>
    <row r="107">
      <c r="A107" s="94"/>
      <c r="B107" s="28"/>
      <c r="E107" s="29"/>
      <c r="F107" s="37"/>
      <c r="G107" s="41"/>
      <c r="H107" s="41"/>
      <c r="I107" s="57"/>
      <c r="J107" s="48"/>
      <c r="K107" s="41"/>
    </row>
    <row r="108">
      <c r="A108" s="94"/>
      <c r="B108" s="28"/>
      <c r="E108" s="2"/>
      <c r="F108" s="37"/>
      <c r="G108" s="41"/>
      <c r="H108" s="41"/>
      <c r="I108" s="57"/>
      <c r="J108" s="48"/>
      <c r="K108" s="41"/>
    </row>
    <row r="109">
      <c r="A109" s="94"/>
      <c r="B109" s="28"/>
      <c r="E109" s="29"/>
      <c r="F109" s="37"/>
      <c r="G109" s="41"/>
      <c r="H109" s="41"/>
      <c r="I109" s="43"/>
      <c r="J109" s="48"/>
      <c r="K109" s="96"/>
    </row>
    <row r="110">
      <c r="A110" s="94"/>
      <c r="B110" s="28"/>
      <c r="E110" s="29"/>
      <c r="F110" s="37"/>
      <c r="G110" s="41"/>
      <c r="H110" s="41"/>
      <c r="I110" s="43"/>
      <c r="J110" s="48"/>
      <c r="K110" s="96"/>
    </row>
    <row r="111">
      <c r="A111" s="94"/>
      <c r="B111" s="28"/>
      <c r="E111" s="29"/>
      <c r="F111" s="37"/>
      <c r="G111" s="41"/>
      <c r="H111" s="41"/>
      <c r="I111" s="43"/>
      <c r="J111" s="48"/>
      <c r="K111" s="41"/>
    </row>
    <row r="112">
      <c r="A112" s="94"/>
      <c r="B112" s="28"/>
      <c r="E112" s="2"/>
      <c r="F112" s="37"/>
      <c r="G112" s="41"/>
      <c r="H112" s="41"/>
      <c r="I112" s="57"/>
      <c r="J112" s="48"/>
      <c r="K112" s="96"/>
    </row>
    <row r="113">
      <c r="A113" s="94"/>
      <c r="B113" s="28"/>
      <c r="E113" s="2"/>
      <c r="F113" s="37"/>
      <c r="G113" s="41"/>
      <c r="H113" s="41"/>
      <c r="I113" s="43"/>
      <c r="J113" s="48"/>
      <c r="K113" s="96"/>
    </row>
    <row r="114">
      <c r="A114" s="94"/>
      <c r="B114" s="28"/>
      <c r="E114" s="29"/>
      <c r="F114" s="37"/>
      <c r="G114" s="41"/>
      <c r="H114" s="41"/>
      <c r="I114" s="57"/>
      <c r="J114" s="48"/>
      <c r="K114" s="96"/>
    </row>
    <row r="115">
      <c r="A115" s="94"/>
      <c r="B115" s="28"/>
      <c r="E115" s="2"/>
      <c r="F115" s="37"/>
      <c r="G115" s="41"/>
      <c r="H115" s="41"/>
      <c r="I115" s="43"/>
      <c r="J115" s="48"/>
      <c r="K115" s="41"/>
    </row>
    <row r="116">
      <c r="A116" s="94"/>
      <c r="B116" s="28"/>
      <c r="E116" s="29"/>
      <c r="F116" s="37"/>
      <c r="G116" s="41"/>
      <c r="H116" s="41"/>
      <c r="I116" s="43"/>
      <c r="J116" s="48"/>
      <c r="K116" s="41"/>
    </row>
    <row r="117">
      <c r="A117" s="94"/>
      <c r="B117" s="28"/>
      <c r="E117" s="29"/>
      <c r="F117" s="63"/>
      <c r="G117" s="41"/>
      <c r="H117" s="41"/>
      <c r="I117" s="43"/>
      <c r="J117" s="48"/>
      <c r="K117" s="41"/>
    </row>
    <row r="118">
      <c r="A118" s="94"/>
      <c r="B118" s="28"/>
      <c r="E118" s="29"/>
      <c r="F118" s="37"/>
      <c r="G118" s="41"/>
      <c r="H118" s="41"/>
      <c r="I118" s="43"/>
      <c r="J118" s="48"/>
      <c r="K118" s="41"/>
    </row>
    <row r="119">
      <c r="A119" s="94"/>
      <c r="B119" s="28"/>
      <c r="E119" s="29"/>
      <c r="F119" s="37"/>
      <c r="G119" s="41"/>
      <c r="H119" s="41"/>
      <c r="I119" s="43"/>
      <c r="J119" s="48"/>
      <c r="K119" s="41"/>
    </row>
    <row r="120">
      <c r="A120" s="94"/>
      <c r="B120" s="28"/>
      <c r="E120" s="29"/>
      <c r="F120" s="37"/>
      <c r="G120" s="41"/>
      <c r="H120" s="41"/>
      <c r="I120" s="57"/>
      <c r="J120" s="48"/>
      <c r="K120" s="96"/>
    </row>
    <row r="121">
      <c r="A121" s="94"/>
      <c r="B121" s="28"/>
      <c r="E121" s="29"/>
      <c r="F121" s="37"/>
      <c r="G121" s="41"/>
      <c r="H121" s="41"/>
      <c r="I121" s="43"/>
      <c r="J121" s="48"/>
      <c r="K121" s="41"/>
    </row>
    <row r="122">
      <c r="A122" s="94"/>
      <c r="B122" s="28"/>
      <c r="E122" s="29"/>
      <c r="F122" s="37"/>
      <c r="G122" s="41"/>
      <c r="H122" s="41"/>
      <c r="I122" s="57"/>
      <c r="J122" s="48"/>
      <c r="K122" s="41"/>
    </row>
    <row r="123">
      <c r="A123" s="94"/>
      <c r="B123" s="28"/>
      <c r="E123" s="29"/>
      <c r="F123" s="37"/>
      <c r="G123" s="41"/>
      <c r="H123" s="41"/>
      <c r="I123" s="43"/>
      <c r="J123" s="48"/>
      <c r="K123" s="41"/>
    </row>
    <row r="124">
      <c r="A124" s="94"/>
      <c r="B124" s="28"/>
      <c r="E124" s="2"/>
      <c r="F124" s="37"/>
      <c r="G124" s="41"/>
      <c r="H124" s="41"/>
      <c r="I124" s="57"/>
      <c r="J124" s="48"/>
      <c r="K124" s="41"/>
    </row>
    <row r="125">
      <c r="A125" s="94"/>
      <c r="B125" s="28"/>
      <c r="E125" s="2"/>
      <c r="F125" s="37"/>
      <c r="G125" s="41"/>
      <c r="H125" s="41"/>
      <c r="I125" s="43"/>
      <c r="J125" s="48"/>
      <c r="K125" s="41"/>
    </row>
    <row r="126">
      <c r="A126" s="94"/>
      <c r="B126" s="28"/>
      <c r="E126" s="29"/>
      <c r="F126" s="37"/>
      <c r="G126" s="41"/>
      <c r="H126" s="41"/>
      <c r="I126" s="43"/>
      <c r="J126" s="48"/>
      <c r="K126" s="41"/>
    </row>
    <row r="127">
      <c r="A127" s="94"/>
      <c r="B127" s="28"/>
      <c r="E127" s="2"/>
      <c r="F127" s="37"/>
      <c r="G127" s="41"/>
      <c r="H127" s="41"/>
      <c r="I127" s="43"/>
      <c r="J127" s="48"/>
      <c r="K127" s="41"/>
    </row>
    <row r="128">
      <c r="A128" s="94"/>
      <c r="B128" s="28"/>
      <c r="E128" s="2"/>
      <c r="F128" s="37"/>
      <c r="G128" s="41"/>
      <c r="H128" s="41"/>
      <c r="I128" s="57"/>
      <c r="J128" s="48"/>
      <c r="K128" s="41"/>
    </row>
    <row r="129">
      <c r="A129" s="94"/>
      <c r="B129" s="28"/>
      <c r="E129" s="29"/>
      <c r="F129" s="37"/>
      <c r="G129" s="41"/>
      <c r="H129" s="41"/>
      <c r="I129" s="57"/>
      <c r="J129" s="48"/>
      <c r="K129" s="41"/>
    </row>
    <row r="130">
      <c r="A130" s="94"/>
      <c r="B130" s="28"/>
      <c r="E130" s="29"/>
      <c r="F130" s="37"/>
      <c r="G130" s="41"/>
      <c r="H130" s="41"/>
      <c r="I130" s="57"/>
      <c r="J130" s="48"/>
      <c r="K130" s="41"/>
    </row>
    <row r="131">
      <c r="A131" s="94"/>
      <c r="B131" s="28"/>
      <c r="E131" s="2"/>
      <c r="F131" s="37"/>
      <c r="G131" s="41"/>
      <c r="H131" s="41"/>
      <c r="I131" s="57"/>
      <c r="J131" s="48"/>
      <c r="K131" s="41"/>
    </row>
    <row r="132">
      <c r="A132" s="94"/>
      <c r="B132" s="28"/>
      <c r="E132" s="2"/>
      <c r="F132" s="37"/>
      <c r="G132" s="41"/>
      <c r="H132" s="41"/>
      <c r="I132" s="57"/>
      <c r="J132" s="48"/>
      <c r="K132" s="41"/>
    </row>
    <row r="133">
      <c r="A133" s="94"/>
      <c r="B133" s="28"/>
      <c r="E133" s="2"/>
      <c r="F133" s="37"/>
      <c r="G133" s="41"/>
      <c r="H133" s="41"/>
      <c r="I133" s="57"/>
      <c r="J133" s="48"/>
      <c r="K133" s="41"/>
    </row>
    <row r="134">
      <c r="A134" s="94"/>
      <c r="B134" s="28"/>
      <c r="E134" s="29"/>
      <c r="F134" s="37"/>
      <c r="G134" s="41"/>
      <c r="H134" s="41"/>
      <c r="I134" s="57"/>
      <c r="J134" s="48"/>
      <c r="K134" s="41"/>
    </row>
    <row r="135">
      <c r="A135" s="94"/>
      <c r="B135" s="28"/>
      <c r="E135" s="2"/>
      <c r="F135" s="37"/>
      <c r="G135" s="41"/>
      <c r="H135" s="41"/>
      <c r="I135" s="57"/>
      <c r="J135" s="48"/>
      <c r="K135" s="41"/>
    </row>
    <row r="136">
      <c r="A136" s="94"/>
      <c r="B136" s="28"/>
      <c r="E136" s="2"/>
      <c r="F136" s="37"/>
      <c r="G136" s="41"/>
      <c r="H136" s="41"/>
      <c r="I136" s="43"/>
      <c r="J136" s="48"/>
      <c r="K136" s="41"/>
    </row>
    <row r="137">
      <c r="A137" s="94"/>
      <c r="B137" s="28"/>
      <c r="E137" s="29"/>
      <c r="F137" s="37"/>
      <c r="G137" s="41"/>
      <c r="H137" s="41"/>
      <c r="I137" s="43"/>
      <c r="J137" s="48"/>
      <c r="K137" s="41"/>
    </row>
    <row r="138">
      <c r="A138" s="94"/>
      <c r="B138" s="28"/>
      <c r="E138" s="29"/>
      <c r="F138" s="37"/>
      <c r="G138" s="41"/>
      <c r="H138" s="41"/>
      <c r="I138" s="43"/>
      <c r="J138" s="48"/>
      <c r="K138" s="96"/>
    </row>
    <row r="139">
      <c r="A139" s="94"/>
      <c r="B139" s="28"/>
      <c r="E139" s="2"/>
      <c r="F139" s="37"/>
      <c r="G139" s="41"/>
      <c r="H139" s="41"/>
      <c r="I139" s="57"/>
      <c r="J139" s="48"/>
      <c r="K139" s="96"/>
    </row>
    <row r="140">
      <c r="A140" s="94"/>
      <c r="B140" s="28"/>
      <c r="E140" s="2"/>
      <c r="F140" s="37"/>
      <c r="G140" s="41"/>
      <c r="H140" s="41"/>
      <c r="I140" s="57"/>
      <c r="J140" s="48"/>
      <c r="K140" s="96"/>
    </row>
    <row r="141">
      <c r="A141" s="94"/>
      <c r="B141" s="28"/>
      <c r="E141" s="29"/>
      <c r="F141" s="37"/>
      <c r="G141" s="41"/>
      <c r="H141" s="41"/>
      <c r="I141" s="43"/>
      <c r="J141" s="48"/>
      <c r="K141" s="41"/>
    </row>
    <row r="142">
      <c r="A142" s="94"/>
      <c r="B142" s="28"/>
      <c r="E142" s="29"/>
      <c r="F142" s="37"/>
      <c r="G142" s="41"/>
      <c r="H142" s="96"/>
      <c r="I142" s="43"/>
      <c r="J142" s="48"/>
      <c r="K142" s="96"/>
    </row>
    <row r="143">
      <c r="A143" s="94"/>
      <c r="B143" s="28"/>
      <c r="E143" s="29"/>
      <c r="F143" s="37"/>
      <c r="G143" s="41"/>
      <c r="H143" s="96"/>
      <c r="I143" s="57"/>
      <c r="J143" s="48"/>
      <c r="K143" s="96"/>
    </row>
    <row r="144">
      <c r="A144" s="94"/>
      <c r="B144" s="28"/>
      <c r="E144" s="29"/>
      <c r="F144" s="37"/>
      <c r="G144" s="41"/>
      <c r="H144" s="96"/>
      <c r="I144" s="43"/>
      <c r="J144" s="48"/>
      <c r="K144" s="96"/>
    </row>
    <row r="145">
      <c r="A145" s="94"/>
      <c r="B145" s="28"/>
      <c r="E145" s="29"/>
      <c r="F145" s="37"/>
      <c r="G145" s="41"/>
      <c r="H145" s="96"/>
      <c r="I145" s="43"/>
      <c r="J145" s="48"/>
      <c r="K145" s="96"/>
    </row>
    <row r="146">
      <c r="A146" s="94"/>
      <c r="B146" s="28"/>
      <c r="E146" s="29"/>
      <c r="F146" s="37"/>
      <c r="G146" s="41"/>
      <c r="H146" s="96"/>
      <c r="I146" s="43"/>
      <c r="J146" s="48"/>
      <c r="K146" s="41"/>
    </row>
    <row r="147">
      <c r="A147" s="94"/>
      <c r="B147" s="28"/>
      <c r="E147" s="29"/>
      <c r="F147" s="37"/>
      <c r="G147" s="41"/>
      <c r="H147" s="96"/>
      <c r="I147" s="43"/>
      <c r="J147" s="48"/>
      <c r="K147" s="41"/>
    </row>
    <row r="148">
      <c r="A148" s="94"/>
      <c r="B148" s="28"/>
      <c r="E148" s="2"/>
      <c r="F148" s="37"/>
      <c r="G148" s="41"/>
      <c r="H148" s="96"/>
      <c r="I148" s="57"/>
      <c r="J148" s="48"/>
      <c r="K148" s="96"/>
    </row>
    <row r="149">
      <c r="A149" s="94"/>
      <c r="B149" s="28"/>
      <c r="E149" s="29"/>
      <c r="F149" s="37"/>
      <c r="G149" s="41"/>
      <c r="H149" s="96"/>
      <c r="I149" s="57"/>
      <c r="J149" s="48"/>
      <c r="K149" s="96"/>
    </row>
    <row r="150">
      <c r="A150" s="94"/>
      <c r="B150" s="28"/>
      <c r="E150" s="2"/>
      <c r="F150" s="37"/>
      <c r="G150" s="41"/>
      <c r="H150" s="96"/>
      <c r="I150" s="43"/>
      <c r="J150" s="48"/>
      <c r="K150" s="41"/>
    </row>
    <row r="151">
      <c r="A151" s="94"/>
      <c r="B151" s="28"/>
      <c r="E151" s="29"/>
      <c r="F151" s="37"/>
      <c r="G151" s="41"/>
      <c r="H151" s="96"/>
      <c r="I151" s="43"/>
      <c r="J151" s="48"/>
      <c r="K151" s="41"/>
    </row>
    <row r="152">
      <c r="A152" s="94"/>
      <c r="B152" s="28"/>
      <c r="E152" s="2"/>
      <c r="F152" s="37"/>
      <c r="G152" s="41"/>
      <c r="H152" s="96"/>
      <c r="I152" s="43"/>
      <c r="J152" s="48"/>
      <c r="K152" s="41"/>
    </row>
    <row r="153">
      <c r="A153" s="94"/>
      <c r="B153" s="28"/>
      <c r="E153" s="29"/>
      <c r="F153" s="37"/>
      <c r="G153" s="41"/>
      <c r="H153" s="96"/>
      <c r="I153" s="57"/>
      <c r="J153" s="48"/>
      <c r="K153" s="96"/>
    </row>
    <row r="154">
      <c r="A154" s="94"/>
      <c r="B154" s="28"/>
      <c r="E154" s="29"/>
      <c r="F154" s="37"/>
      <c r="G154" s="41"/>
      <c r="H154" s="96"/>
      <c r="I154" s="57"/>
      <c r="J154" s="48"/>
      <c r="K154" s="41"/>
    </row>
    <row r="155">
      <c r="A155" s="94"/>
      <c r="B155" s="28"/>
      <c r="E155" s="29"/>
      <c r="F155" s="37"/>
      <c r="G155" s="41"/>
      <c r="H155" s="96"/>
      <c r="I155" s="43"/>
      <c r="J155" s="48"/>
      <c r="K155" s="41"/>
    </row>
    <row r="156">
      <c r="A156" s="94"/>
      <c r="B156" s="28"/>
      <c r="E156" s="2"/>
      <c r="F156" s="37"/>
      <c r="G156" s="41"/>
      <c r="H156" s="96"/>
      <c r="I156" s="57"/>
      <c r="J156" s="48"/>
      <c r="K156" s="96"/>
    </row>
    <row r="157">
      <c r="A157" s="94"/>
      <c r="B157" s="28"/>
      <c r="E157" s="29"/>
      <c r="F157" s="37"/>
      <c r="G157" s="41"/>
      <c r="H157" s="96"/>
      <c r="I157" s="57"/>
      <c r="J157" s="48"/>
      <c r="K157" s="41"/>
    </row>
    <row r="158">
      <c r="A158" s="94"/>
      <c r="B158" s="28"/>
      <c r="E158" s="29"/>
      <c r="F158" s="37"/>
      <c r="G158" s="41"/>
      <c r="H158" s="41"/>
      <c r="I158" s="43"/>
      <c r="J158" s="48"/>
      <c r="K158" s="96"/>
    </row>
    <row r="159">
      <c r="A159" s="94"/>
      <c r="B159" s="28"/>
      <c r="E159" s="29"/>
      <c r="F159" s="37"/>
      <c r="G159" s="41"/>
      <c r="H159" s="96"/>
      <c r="I159" s="43"/>
      <c r="J159" s="48"/>
      <c r="K159" s="41"/>
    </row>
    <row r="160">
      <c r="A160" s="94"/>
      <c r="B160" s="28"/>
      <c r="E160" s="29"/>
      <c r="F160" s="37"/>
      <c r="G160" s="41"/>
      <c r="H160" s="96"/>
      <c r="I160" s="43"/>
      <c r="J160" s="48"/>
      <c r="K160" s="41"/>
    </row>
    <row r="161">
      <c r="A161" s="94"/>
      <c r="B161" s="28"/>
      <c r="E161" s="2"/>
      <c r="F161" s="37"/>
      <c r="G161" s="41"/>
      <c r="H161" s="96"/>
      <c r="I161" s="57"/>
      <c r="J161" s="48"/>
      <c r="K161" s="96"/>
      <c r="N161" s="18" t="s">
        <v>85</v>
      </c>
    </row>
    <row r="162">
      <c r="A162" s="94"/>
      <c r="B162" s="28"/>
      <c r="E162" s="29"/>
      <c r="F162" s="37"/>
      <c r="G162" s="41"/>
      <c r="H162" s="96"/>
      <c r="I162" s="43"/>
      <c r="J162" s="48"/>
      <c r="K162" s="41"/>
    </row>
    <row r="163">
      <c r="A163" s="94"/>
      <c r="B163" s="28"/>
      <c r="E163" s="29"/>
      <c r="F163" s="37"/>
      <c r="G163" s="41"/>
      <c r="H163" s="96"/>
      <c r="I163" s="57"/>
      <c r="J163" s="48"/>
      <c r="K163" s="96"/>
    </row>
    <row r="164">
      <c r="A164" s="94"/>
      <c r="B164" s="28"/>
      <c r="E164" s="29"/>
      <c r="F164" s="37"/>
      <c r="G164" s="28"/>
      <c r="H164" s="96"/>
      <c r="I164" s="43"/>
      <c r="J164" s="48"/>
      <c r="K164" s="41"/>
    </row>
    <row r="165">
      <c r="A165" s="94"/>
      <c r="B165" s="28"/>
      <c r="E165" s="29"/>
      <c r="F165" s="37"/>
      <c r="G165" s="41"/>
      <c r="H165" s="96"/>
      <c r="I165" s="43"/>
      <c r="J165" s="48"/>
      <c r="K165" s="41"/>
    </row>
    <row r="166">
      <c r="A166" s="94"/>
      <c r="B166" s="28"/>
      <c r="E166" s="2"/>
      <c r="F166" s="37"/>
      <c r="G166" s="41"/>
      <c r="H166" s="96"/>
      <c r="I166" s="57"/>
      <c r="J166" s="48"/>
      <c r="K166" s="96"/>
    </row>
    <row r="167">
      <c r="A167" s="94"/>
      <c r="B167" s="28"/>
      <c r="E167" s="2"/>
      <c r="F167" s="37"/>
      <c r="G167" s="41"/>
      <c r="H167" s="96"/>
      <c r="I167" s="57"/>
      <c r="J167" s="48"/>
      <c r="K167" s="96"/>
    </row>
    <row r="168">
      <c r="A168" s="94"/>
      <c r="B168" s="28"/>
      <c r="E168" s="29"/>
      <c r="F168" s="37"/>
      <c r="G168" s="41"/>
      <c r="H168" s="96"/>
      <c r="I168" s="43"/>
      <c r="J168" s="48"/>
      <c r="K168" s="41"/>
    </row>
    <row r="169">
      <c r="A169" s="94"/>
      <c r="B169" s="28"/>
      <c r="E169" s="2"/>
      <c r="F169" s="37"/>
      <c r="G169" s="41"/>
      <c r="H169" s="96"/>
      <c r="I169" s="57"/>
      <c r="J169" s="48"/>
      <c r="K169" s="96"/>
    </row>
    <row r="170">
      <c r="A170" s="94"/>
      <c r="B170" s="28"/>
      <c r="E170" s="29"/>
      <c r="F170" s="37"/>
      <c r="G170" s="41"/>
      <c r="H170" s="96"/>
      <c r="I170" s="57"/>
      <c r="J170" s="48"/>
      <c r="K170" s="96"/>
    </row>
    <row r="171">
      <c r="A171" s="94"/>
      <c r="B171" s="28"/>
      <c r="E171" s="2"/>
      <c r="F171" s="37"/>
      <c r="G171" s="41"/>
      <c r="H171" s="96"/>
      <c r="I171" s="57"/>
      <c r="J171" s="48"/>
      <c r="K171" s="96"/>
    </row>
    <row r="172">
      <c r="A172" s="94"/>
      <c r="B172" s="28"/>
      <c r="E172" s="29"/>
      <c r="F172" s="37"/>
      <c r="G172" s="41"/>
      <c r="H172" s="96"/>
      <c r="I172" s="43"/>
      <c r="J172" s="48"/>
      <c r="K172" s="41"/>
    </row>
    <row r="173">
      <c r="A173" s="94"/>
      <c r="B173" s="28"/>
      <c r="E173" s="2"/>
      <c r="F173" s="37"/>
      <c r="G173" s="41"/>
      <c r="H173" s="96"/>
      <c r="I173" s="57"/>
      <c r="J173" s="48"/>
      <c r="K173" s="41"/>
    </row>
    <row r="174">
      <c r="A174" s="94"/>
      <c r="B174" s="28"/>
      <c r="E174" s="2"/>
      <c r="F174" s="37"/>
      <c r="G174" s="41"/>
      <c r="H174" s="96"/>
      <c r="I174" s="57"/>
      <c r="J174" s="48"/>
      <c r="K174" s="41"/>
    </row>
    <row r="175">
      <c r="A175" s="94"/>
      <c r="B175" s="28"/>
      <c r="E175" s="29"/>
      <c r="F175" s="37"/>
      <c r="G175" s="41"/>
      <c r="H175" s="96"/>
      <c r="I175" s="57"/>
      <c r="J175" s="48"/>
      <c r="K175" s="96"/>
    </row>
    <row r="176">
      <c r="A176" s="94"/>
      <c r="B176" s="28"/>
      <c r="E176" s="29"/>
      <c r="F176" s="37"/>
      <c r="G176" s="41"/>
      <c r="H176" s="96"/>
      <c r="I176" s="57"/>
      <c r="J176" s="48"/>
      <c r="K176" s="96"/>
    </row>
    <row r="177">
      <c r="A177" s="94"/>
      <c r="B177" s="28"/>
      <c r="E177" s="2"/>
      <c r="F177" s="37"/>
      <c r="G177" s="41"/>
      <c r="H177" s="96"/>
      <c r="I177" s="57"/>
      <c r="J177" s="48"/>
      <c r="K177" s="96"/>
    </row>
    <row r="178">
      <c r="A178" s="94"/>
      <c r="B178" s="28"/>
      <c r="E178" s="29"/>
      <c r="F178" s="37"/>
      <c r="G178" s="41"/>
      <c r="H178" s="96"/>
      <c r="I178" s="43"/>
      <c r="J178" s="48"/>
      <c r="K178" s="96"/>
    </row>
    <row r="179">
      <c r="A179" s="94"/>
      <c r="B179" s="28"/>
      <c r="E179" s="2"/>
      <c r="F179" s="37"/>
      <c r="G179" s="41"/>
      <c r="H179" s="96"/>
      <c r="I179" s="43"/>
      <c r="J179" s="48"/>
      <c r="K179" s="96"/>
    </row>
    <row r="180">
      <c r="A180" s="94"/>
      <c r="B180" s="28"/>
      <c r="E180" s="2"/>
      <c r="F180" s="37"/>
      <c r="G180" s="41"/>
      <c r="H180" s="41"/>
      <c r="I180" s="57"/>
      <c r="J180" s="48"/>
      <c r="K180" s="96"/>
    </row>
    <row r="181">
      <c r="A181" s="94"/>
      <c r="B181" s="28"/>
      <c r="E181" s="2"/>
      <c r="F181" s="37"/>
      <c r="G181" s="41"/>
      <c r="H181" s="96"/>
      <c r="I181" s="57"/>
      <c r="J181" s="48"/>
      <c r="K181" s="96"/>
    </row>
    <row r="182">
      <c r="A182" s="94"/>
      <c r="B182" s="28"/>
      <c r="E182" s="2"/>
      <c r="F182" s="37"/>
      <c r="G182" s="41"/>
      <c r="H182" s="96"/>
      <c r="I182" s="43"/>
      <c r="J182" s="48"/>
      <c r="K182" s="96"/>
    </row>
    <row r="183">
      <c r="A183" s="94"/>
      <c r="B183" s="28"/>
      <c r="E183" s="2"/>
      <c r="F183" s="37"/>
      <c r="G183" s="41"/>
      <c r="H183" s="96"/>
      <c r="I183" s="57"/>
      <c r="J183" s="48"/>
      <c r="K183" s="96"/>
    </row>
    <row r="184">
      <c r="A184" s="94"/>
      <c r="B184" s="28"/>
      <c r="E184" s="2"/>
      <c r="F184" s="37"/>
      <c r="G184" s="41"/>
      <c r="H184" s="96"/>
      <c r="I184" s="57"/>
      <c r="J184" s="48"/>
      <c r="K184" s="96"/>
    </row>
    <row r="185">
      <c r="A185" s="94"/>
      <c r="B185" s="28"/>
      <c r="E185" s="29"/>
      <c r="F185" s="37"/>
      <c r="G185" s="41"/>
      <c r="H185" s="96"/>
      <c r="I185" s="57"/>
      <c r="J185" s="48"/>
      <c r="K185" s="41"/>
    </row>
    <row r="186">
      <c r="A186" s="94"/>
      <c r="B186" s="28"/>
      <c r="E186" s="29"/>
      <c r="F186" s="37"/>
      <c r="G186" s="41"/>
      <c r="H186" s="96"/>
      <c r="I186" s="57"/>
      <c r="J186" s="48"/>
      <c r="K186" s="96"/>
    </row>
    <row r="187">
      <c r="A187" s="94"/>
      <c r="B187" s="28"/>
      <c r="E187" s="29"/>
      <c r="F187" s="37"/>
      <c r="G187" s="41"/>
      <c r="H187" s="96"/>
      <c r="I187" s="43"/>
      <c r="J187" s="48"/>
      <c r="K187" s="41"/>
    </row>
    <row r="188">
      <c r="A188" s="94"/>
      <c r="B188" s="28"/>
      <c r="E188" s="29"/>
      <c r="F188" s="37"/>
      <c r="G188" s="41"/>
      <c r="H188" s="96"/>
      <c r="I188" s="43"/>
      <c r="J188" s="48"/>
      <c r="K188" s="41"/>
    </row>
    <row r="189">
      <c r="A189" s="94"/>
      <c r="B189" s="28"/>
      <c r="E189" s="29"/>
      <c r="F189" s="37"/>
      <c r="G189" s="41"/>
      <c r="H189" s="96"/>
      <c r="I189" s="43"/>
      <c r="J189" s="48"/>
      <c r="K189" s="41"/>
    </row>
    <row r="190">
      <c r="A190" s="94"/>
      <c r="B190" s="28"/>
      <c r="E190" s="29"/>
      <c r="F190" s="37"/>
      <c r="G190" s="41"/>
      <c r="H190" s="96"/>
      <c r="I190" s="43"/>
      <c r="J190" s="48"/>
      <c r="K190" s="41"/>
    </row>
    <row r="191">
      <c r="A191" s="94"/>
      <c r="B191" s="28"/>
      <c r="E191" s="29"/>
      <c r="F191" s="37"/>
      <c r="G191" s="41"/>
      <c r="H191" s="96"/>
      <c r="I191" s="43"/>
      <c r="J191" s="48"/>
      <c r="K191" s="41"/>
    </row>
    <row r="192">
      <c r="A192" s="94"/>
      <c r="B192" s="28"/>
      <c r="E192" s="29"/>
      <c r="F192" s="37"/>
      <c r="G192" s="41"/>
      <c r="H192" s="96"/>
      <c r="I192" s="43"/>
      <c r="J192" s="48"/>
      <c r="K192" s="41"/>
    </row>
    <row r="193">
      <c r="A193" s="94"/>
      <c r="B193" s="28"/>
      <c r="E193" s="29"/>
      <c r="F193" s="37"/>
      <c r="G193" s="41"/>
      <c r="H193" s="96"/>
      <c r="I193" s="43"/>
      <c r="J193" s="48"/>
      <c r="K193" s="41"/>
    </row>
    <row r="194">
      <c r="A194" s="94"/>
      <c r="B194" s="28"/>
      <c r="E194" s="2"/>
      <c r="F194" s="37"/>
      <c r="G194" s="41"/>
      <c r="H194" s="96"/>
      <c r="I194" s="57"/>
      <c r="J194" s="48"/>
      <c r="K194" s="96"/>
    </row>
    <row r="195">
      <c r="A195" s="94"/>
      <c r="B195" s="28"/>
      <c r="E195" s="2"/>
      <c r="F195" s="37"/>
      <c r="G195" s="41"/>
      <c r="H195" s="96"/>
      <c r="I195" s="57"/>
      <c r="J195" s="48"/>
      <c r="K195" s="96"/>
    </row>
    <row r="196">
      <c r="A196" s="94"/>
      <c r="B196" s="28"/>
      <c r="E196" s="2"/>
      <c r="F196" s="37"/>
      <c r="G196" s="41"/>
      <c r="H196" s="96"/>
      <c r="I196" s="43"/>
      <c r="J196" s="48"/>
      <c r="K196" s="41"/>
    </row>
    <row r="197">
      <c r="A197" s="94"/>
      <c r="B197" s="28"/>
      <c r="E197" s="29"/>
      <c r="F197" s="37"/>
      <c r="G197" s="41"/>
      <c r="H197" s="96"/>
      <c r="I197" s="43"/>
      <c r="J197" s="48"/>
      <c r="K197" s="41"/>
    </row>
    <row r="198">
      <c r="A198" s="94"/>
      <c r="B198" s="28"/>
      <c r="E198" s="2"/>
      <c r="F198" s="37"/>
      <c r="G198" s="41"/>
      <c r="H198" s="96"/>
      <c r="I198" s="57"/>
      <c r="J198" s="48"/>
      <c r="K198" s="41"/>
    </row>
    <row r="199">
      <c r="A199" s="94"/>
      <c r="B199" s="28"/>
      <c r="E199" s="2"/>
      <c r="F199" s="37"/>
      <c r="G199" s="41"/>
      <c r="H199" s="96"/>
      <c r="I199" s="43"/>
      <c r="J199" s="48"/>
      <c r="K199" s="41"/>
    </row>
    <row r="200">
      <c r="A200" s="94"/>
      <c r="B200" s="28"/>
      <c r="E200" s="29"/>
      <c r="F200" s="37"/>
      <c r="G200" s="41"/>
      <c r="H200" s="96"/>
      <c r="I200" s="57"/>
      <c r="J200" s="48"/>
      <c r="K200" s="96"/>
    </row>
    <row r="201">
      <c r="A201" s="94"/>
      <c r="B201" s="28"/>
      <c r="E201" s="29"/>
      <c r="F201" s="37"/>
      <c r="G201" s="41"/>
      <c r="H201" s="96"/>
      <c r="I201" s="57"/>
      <c r="J201" s="48"/>
      <c r="K201" s="96"/>
    </row>
    <row r="202">
      <c r="A202" s="94"/>
      <c r="B202" s="28"/>
      <c r="E202" s="29"/>
      <c r="F202" s="37"/>
      <c r="G202" s="41"/>
      <c r="H202" s="96"/>
      <c r="I202" s="43"/>
      <c r="J202" s="48"/>
      <c r="K202" s="96"/>
    </row>
    <row r="203">
      <c r="A203" s="94"/>
      <c r="B203" s="28"/>
      <c r="E203" s="29"/>
      <c r="F203" s="37"/>
      <c r="G203" s="41"/>
      <c r="H203" s="96"/>
      <c r="I203" s="43"/>
      <c r="J203" s="48"/>
      <c r="K203" s="96"/>
    </row>
    <row r="204">
      <c r="A204" s="94"/>
      <c r="B204" s="28"/>
      <c r="E204" s="2"/>
      <c r="F204" s="37"/>
      <c r="G204" s="41"/>
      <c r="H204" s="96"/>
      <c r="I204" s="57"/>
      <c r="J204" s="48"/>
      <c r="K204" s="96"/>
    </row>
    <row r="205">
      <c r="A205" s="94"/>
      <c r="B205" s="28"/>
      <c r="E205" s="29"/>
      <c r="F205" s="37"/>
      <c r="G205" s="41"/>
      <c r="H205" s="96"/>
      <c r="I205" s="57"/>
      <c r="J205" s="48"/>
      <c r="K205" s="96"/>
    </row>
    <row r="206">
      <c r="A206" s="94"/>
      <c r="B206" s="28"/>
      <c r="E206" s="29"/>
      <c r="F206" s="37"/>
      <c r="G206" s="41"/>
      <c r="H206" s="96"/>
      <c r="I206" s="43"/>
      <c r="J206" s="48"/>
      <c r="K206" s="96"/>
    </row>
    <row r="207">
      <c r="A207" s="94"/>
      <c r="B207" s="28"/>
      <c r="E207" s="2"/>
      <c r="F207" s="37"/>
      <c r="G207" s="41"/>
      <c r="H207" s="96"/>
      <c r="I207" s="57"/>
      <c r="J207" s="48"/>
      <c r="K207" s="41"/>
    </row>
    <row r="208">
      <c r="A208" s="94"/>
      <c r="B208" s="28"/>
      <c r="E208" s="29"/>
      <c r="F208" s="37"/>
      <c r="G208" s="41"/>
      <c r="H208" s="96"/>
      <c r="I208" s="57"/>
      <c r="J208" s="48"/>
      <c r="K208" s="96"/>
    </row>
    <row r="209">
      <c r="A209" s="94"/>
      <c r="B209" s="28"/>
      <c r="E209" s="2"/>
      <c r="F209" s="37"/>
      <c r="G209" s="41"/>
      <c r="H209" s="96"/>
      <c r="I209" s="57"/>
      <c r="J209" s="48"/>
      <c r="K209" s="96"/>
    </row>
    <row r="210">
      <c r="A210" s="94"/>
      <c r="B210" s="28"/>
      <c r="E210" s="2"/>
      <c r="F210" s="37"/>
      <c r="G210" s="41"/>
      <c r="H210" s="96"/>
      <c r="I210" s="57"/>
      <c r="J210" s="48"/>
      <c r="K210" s="96"/>
    </row>
    <row r="211">
      <c r="A211" s="94"/>
      <c r="B211" s="28"/>
      <c r="E211" s="29"/>
      <c r="F211" s="37"/>
      <c r="G211" s="41"/>
      <c r="H211" s="96"/>
      <c r="I211" s="43"/>
      <c r="J211" s="48"/>
      <c r="K211" s="41"/>
    </row>
    <row r="212">
      <c r="A212" s="94"/>
      <c r="B212" s="28"/>
      <c r="E212" s="29"/>
      <c r="F212" s="37"/>
      <c r="G212" s="41"/>
      <c r="H212" s="96"/>
      <c r="I212" s="57"/>
      <c r="J212" s="48"/>
      <c r="K212" s="96"/>
    </row>
    <row r="213">
      <c r="A213" s="94"/>
      <c r="B213" s="28"/>
      <c r="E213" s="29"/>
      <c r="F213" s="37"/>
      <c r="G213" s="41"/>
      <c r="H213" s="96"/>
      <c r="I213" s="43"/>
      <c r="J213" s="48"/>
      <c r="K213" s="41"/>
    </row>
    <row r="214">
      <c r="A214" s="94"/>
      <c r="B214" s="28"/>
      <c r="E214" s="29"/>
      <c r="F214" s="37"/>
      <c r="G214" s="41"/>
      <c r="H214" s="96"/>
      <c r="I214" s="43"/>
      <c r="J214" s="48"/>
      <c r="K214" s="96"/>
    </row>
    <row r="215">
      <c r="A215" s="94"/>
      <c r="B215" s="28"/>
      <c r="E215" s="29"/>
      <c r="F215" s="37"/>
      <c r="G215" s="41"/>
      <c r="H215" s="96"/>
      <c r="I215" s="57"/>
      <c r="J215" s="48"/>
      <c r="K215" s="96"/>
    </row>
    <row r="216">
      <c r="A216" s="94"/>
      <c r="B216" s="28"/>
      <c r="E216" s="2"/>
      <c r="F216" s="37"/>
      <c r="G216" s="41"/>
      <c r="H216" s="96"/>
      <c r="I216" s="57"/>
      <c r="J216" s="48"/>
      <c r="K216" s="96"/>
    </row>
    <row r="217">
      <c r="A217" s="94"/>
      <c r="B217" s="28"/>
      <c r="E217" s="2"/>
      <c r="F217" s="37"/>
      <c r="G217" s="41"/>
      <c r="H217" s="96"/>
      <c r="I217" s="57"/>
      <c r="J217" s="48"/>
      <c r="K217" s="96"/>
    </row>
    <row r="218">
      <c r="A218" s="94"/>
      <c r="B218" s="28"/>
      <c r="E218" s="29"/>
      <c r="F218" s="37"/>
      <c r="G218" s="41"/>
      <c r="H218" s="96"/>
      <c r="I218" s="57"/>
      <c r="J218" s="48"/>
      <c r="K218" s="96"/>
    </row>
    <row r="219">
      <c r="A219" s="94"/>
      <c r="B219" s="28"/>
      <c r="E219" s="2"/>
      <c r="F219" s="63"/>
      <c r="G219" s="41"/>
      <c r="H219" s="96"/>
      <c r="I219" s="43"/>
      <c r="J219" s="48"/>
      <c r="K219" s="41"/>
    </row>
    <row r="220">
      <c r="A220" s="94"/>
      <c r="B220" s="28"/>
      <c r="E220" s="29"/>
      <c r="F220" s="37"/>
      <c r="G220" s="41"/>
      <c r="H220" s="96"/>
      <c r="I220" s="43"/>
      <c r="J220" s="48"/>
      <c r="K220" s="41"/>
    </row>
    <row r="221">
      <c r="A221" s="94"/>
      <c r="B221" s="28"/>
      <c r="E221" s="29"/>
      <c r="F221" s="37"/>
      <c r="G221" s="41"/>
      <c r="H221" s="96"/>
      <c r="I221" s="43"/>
      <c r="J221" s="48"/>
      <c r="K221" s="41"/>
    </row>
    <row r="222">
      <c r="A222" s="94"/>
      <c r="B222" s="28"/>
      <c r="E222" s="29"/>
      <c r="F222" s="37"/>
      <c r="G222" s="41"/>
      <c r="H222" s="96"/>
      <c r="I222" s="43"/>
      <c r="J222" s="48"/>
      <c r="K222" s="41"/>
    </row>
    <row r="223">
      <c r="A223" s="94"/>
      <c r="B223" s="28"/>
      <c r="E223" s="29"/>
      <c r="F223" s="37"/>
      <c r="G223" s="41"/>
      <c r="H223" s="96"/>
      <c r="I223" s="43"/>
      <c r="J223" s="48"/>
      <c r="K223" s="41"/>
    </row>
    <row r="224">
      <c r="A224" s="94"/>
      <c r="B224" s="28"/>
      <c r="E224" s="2"/>
      <c r="F224" s="63"/>
      <c r="G224" s="41"/>
      <c r="H224" s="96"/>
      <c r="I224" s="43"/>
      <c r="J224" s="48"/>
      <c r="K224" s="41"/>
    </row>
    <row r="225">
      <c r="A225" s="94"/>
      <c r="B225" s="28"/>
      <c r="E225" s="29"/>
      <c r="F225" s="37"/>
      <c r="G225" s="41"/>
      <c r="H225" s="96"/>
      <c r="I225" s="43"/>
      <c r="J225" s="48"/>
      <c r="K225" s="41"/>
      <c r="N225" s="18" t="s">
        <v>95</v>
      </c>
    </row>
    <row r="226">
      <c r="A226" s="94"/>
      <c r="B226" s="28"/>
      <c r="E226" s="29"/>
      <c r="F226" s="37"/>
      <c r="G226" s="41"/>
      <c r="H226" s="96"/>
      <c r="I226" s="57"/>
      <c r="J226" s="48"/>
      <c r="K226" s="41"/>
    </row>
    <row r="227">
      <c r="A227" s="94"/>
      <c r="B227" s="28"/>
      <c r="E227" s="29"/>
      <c r="F227" s="37"/>
      <c r="G227" s="41"/>
      <c r="H227" s="96"/>
      <c r="I227" s="57"/>
      <c r="J227" s="48"/>
      <c r="K227" s="41"/>
    </row>
    <row r="228">
      <c r="A228" s="94"/>
      <c r="B228" s="28"/>
      <c r="E228" s="29"/>
      <c r="F228" s="37"/>
      <c r="G228" s="41"/>
      <c r="H228" s="96"/>
      <c r="I228" s="43"/>
      <c r="J228" s="48"/>
      <c r="K228" s="41"/>
    </row>
    <row r="229">
      <c r="A229" s="94"/>
      <c r="B229" s="28"/>
      <c r="E229" s="29"/>
      <c r="F229" s="2"/>
      <c r="G229" s="41"/>
      <c r="H229" s="96"/>
      <c r="I229" s="43"/>
      <c r="J229" s="48"/>
      <c r="K229" s="41"/>
    </row>
    <row r="230">
      <c r="A230" s="94"/>
      <c r="B230" s="28"/>
      <c r="E230" s="29"/>
      <c r="F230" s="2"/>
      <c r="G230" s="41"/>
      <c r="H230" s="96"/>
      <c r="I230" s="43"/>
      <c r="J230" s="48"/>
      <c r="K230" s="41"/>
    </row>
    <row r="231">
      <c r="A231" s="94"/>
      <c r="B231" s="28"/>
      <c r="E231" s="29"/>
      <c r="F231" s="2"/>
      <c r="G231" s="41"/>
      <c r="H231" s="96"/>
      <c r="I231" s="43"/>
      <c r="J231" s="48"/>
      <c r="K231" s="41"/>
    </row>
    <row r="232">
      <c r="A232" s="94"/>
      <c r="B232" s="28"/>
      <c r="E232" s="2"/>
      <c r="F232" s="2"/>
      <c r="G232" s="41"/>
      <c r="H232" s="96"/>
      <c r="I232" s="57"/>
      <c r="J232" s="48"/>
      <c r="K232" s="41"/>
    </row>
    <row r="233">
      <c r="A233" s="94"/>
      <c r="B233" s="28"/>
      <c r="E233" s="29"/>
      <c r="F233" s="2"/>
      <c r="G233" s="41"/>
      <c r="H233" s="96"/>
      <c r="I233" s="43"/>
      <c r="J233" s="48"/>
      <c r="K233" s="41"/>
    </row>
    <row r="234">
      <c r="A234" s="94"/>
      <c r="B234" s="28"/>
      <c r="E234" s="29"/>
      <c r="F234" s="29"/>
      <c r="G234" s="41"/>
      <c r="H234" s="96"/>
      <c r="I234" s="43"/>
      <c r="J234" s="48"/>
      <c r="K234" s="41"/>
    </row>
    <row r="235">
      <c r="A235" s="94"/>
      <c r="B235" s="28"/>
      <c r="E235" s="29"/>
      <c r="F235" s="2"/>
      <c r="G235" s="41"/>
      <c r="H235" s="96"/>
      <c r="I235" s="43"/>
      <c r="J235" s="48"/>
      <c r="K235" s="41"/>
    </row>
    <row r="236">
      <c r="A236" s="94"/>
      <c r="B236" s="28"/>
      <c r="E236" s="29"/>
      <c r="F236" s="2"/>
      <c r="G236" s="41"/>
      <c r="H236" s="96"/>
      <c r="I236" s="43"/>
      <c r="J236" s="48"/>
      <c r="K236" s="41"/>
    </row>
    <row r="237">
      <c r="A237" s="94"/>
      <c r="B237" s="28"/>
      <c r="E237" s="29"/>
      <c r="F237" s="2"/>
      <c r="G237" s="41"/>
      <c r="H237" s="96"/>
      <c r="I237" s="43"/>
      <c r="J237" s="48"/>
      <c r="K237" s="41"/>
    </row>
    <row r="238">
      <c r="A238" s="94"/>
      <c r="B238" s="28"/>
      <c r="E238" s="2"/>
      <c r="F238" s="2"/>
      <c r="G238" s="41"/>
      <c r="H238" s="96"/>
      <c r="I238" s="57"/>
      <c r="J238" s="48"/>
      <c r="K238" s="41"/>
    </row>
    <row r="239">
      <c r="A239" s="94"/>
      <c r="B239" s="28"/>
      <c r="E239" s="29"/>
      <c r="F239" s="2"/>
      <c r="G239" s="41"/>
      <c r="H239" s="96"/>
      <c r="I239" s="43"/>
      <c r="J239" s="48"/>
      <c r="K239" s="41"/>
    </row>
    <row r="240">
      <c r="A240" s="94"/>
      <c r="B240" s="28"/>
      <c r="E240" s="2"/>
      <c r="F240" s="2"/>
      <c r="G240" s="41"/>
      <c r="H240" s="96"/>
      <c r="I240" s="57"/>
      <c r="J240" s="48"/>
      <c r="K240" s="96"/>
    </row>
    <row r="241">
      <c r="A241" s="110"/>
      <c r="B241" s="28"/>
      <c r="E241" s="29"/>
      <c r="F241" s="2"/>
      <c r="G241" s="41"/>
      <c r="H241" s="96"/>
      <c r="I241" s="43"/>
      <c r="J241" s="48"/>
      <c r="K241" s="41"/>
    </row>
    <row r="242">
      <c r="A242" s="94"/>
      <c r="B242" s="28"/>
      <c r="E242" s="2"/>
      <c r="F242" s="2"/>
      <c r="G242" s="41"/>
      <c r="H242" s="96"/>
      <c r="I242" s="43"/>
      <c r="J242" s="48"/>
      <c r="K242" s="41"/>
    </row>
    <row r="243">
      <c r="A243" s="94"/>
      <c r="B243" s="28"/>
      <c r="E243" s="2"/>
      <c r="F243" s="2"/>
      <c r="G243" s="41"/>
      <c r="H243" s="96"/>
      <c r="I243" s="43"/>
      <c r="J243" s="48"/>
      <c r="K243" s="41"/>
    </row>
    <row r="244">
      <c r="A244" s="110"/>
      <c r="B244" s="28"/>
      <c r="E244" s="2"/>
      <c r="F244" s="2"/>
      <c r="G244" s="41"/>
      <c r="H244" s="96"/>
      <c r="I244" s="57"/>
      <c r="J244" s="48"/>
      <c r="K244" s="41"/>
    </row>
    <row r="245">
      <c r="A245" s="110"/>
      <c r="B245" s="28"/>
      <c r="E245" s="29"/>
      <c r="F245" s="2"/>
      <c r="G245" s="41"/>
      <c r="H245" s="96"/>
      <c r="I245" s="43"/>
      <c r="J245" s="48"/>
      <c r="K245" s="41"/>
    </row>
    <row r="246">
      <c r="A246" s="110"/>
      <c r="B246" s="28"/>
      <c r="E246" s="2"/>
      <c r="F246" s="2"/>
      <c r="G246" s="41"/>
      <c r="H246" s="96"/>
      <c r="I246" s="57"/>
      <c r="J246" s="48"/>
      <c r="K246" s="41"/>
    </row>
    <row r="247">
      <c r="A247" s="110"/>
      <c r="B247" s="28"/>
      <c r="E247" s="2"/>
      <c r="F247" s="2"/>
      <c r="G247" s="41"/>
      <c r="H247" s="96"/>
      <c r="I247" s="57"/>
      <c r="J247" s="48"/>
      <c r="K247" s="41"/>
    </row>
    <row r="248">
      <c r="A248" s="110"/>
      <c r="B248" s="28"/>
      <c r="E248" s="2"/>
      <c r="F248" s="2"/>
      <c r="G248" s="41"/>
      <c r="H248" s="96"/>
      <c r="I248" s="57"/>
      <c r="J248" s="48"/>
      <c r="K248" s="41"/>
    </row>
    <row r="249">
      <c r="A249" s="110"/>
      <c r="B249" s="28"/>
      <c r="E249" s="2"/>
      <c r="F249" s="2"/>
      <c r="G249" s="41"/>
      <c r="H249" s="96"/>
      <c r="I249" s="57"/>
      <c r="J249" s="48"/>
      <c r="K249" s="41"/>
    </row>
    <row r="250">
      <c r="A250" s="110"/>
      <c r="B250" s="28"/>
      <c r="E250" s="2"/>
      <c r="F250" s="2"/>
      <c r="G250" s="41"/>
      <c r="H250" s="96"/>
      <c r="I250" s="57"/>
      <c r="J250" s="48"/>
      <c r="K250" s="41"/>
    </row>
    <row r="251">
      <c r="A251" s="111"/>
      <c r="B251" s="28"/>
      <c r="C251" s="28" t="str">
        <f t="array" ref="C251">IFERROR(_xlfn.XLOOKUP(B251, Inventory!A:A, Inventory!B:B),"")</f>
        <v/>
      </c>
      <c r="E251" s="2"/>
      <c r="F251" s="2"/>
      <c r="G251" s="96"/>
      <c r="H251" s="96"/>
      <c r="I251" s="57"/>
      <c r="J251" s="48" t="str">
        <f t="shared" ref="J251:J257" si="6">IF(F251-I251=0,"",F251-I251)</f>
        <v/>
      </c>
      <c r="K251" s="96"/>
      <c r="L251" s="28" t="str">
        <f t="shared" ref="L251:L334" si="7">IF(D251-K251=0,"",D251-K251)</f>
        <v/>
      </c>
    </row>
    <row r="252">
      <c r="A252" s="111"/>
      <c r="B252" s="28"/>
      <c r="C252" s="28" t="str">
        <f t="array" ref="C252">IFERROR(_xlfn.XLOOKUP(B252, Inventory!A:A, Inventory!B:B),"")</f>
        <v/>
      </c>
      <c r="E252" s="2"/>
      <c r="F252" s="2"/>
      <c r="G252" s="96"/>
      <c r="H252" s="96"/>
      <c r="I252" s="57"/>
      <c r="J252" s="48" t="str">
        <f t="shared" si="6"/>
        <v/>
      </c>
      <c r="K252" s="96"/>
      <c r="L252" s="28" t="str">
        <f t="shared" si="7"/>
        <v/>
      </c>
    </row>
    <row r="253">
      <c r="A253" s="111"/>
      <c r="B253" s="28"/>
      <c r="C253" s="28" t="str">
        <f t="array" ref="C253">IFERROR(_xlfn.XLOOKUP(B253, Inventory!A:A, Inventory!B:B),"")</f>
        <v/>
      </c>
      <c r="E253" s="2"/>
      <c r="F253" s="2"/>
      <c r="G253" s="96"/>
      <c r="H253" s="96"/>
      <c r="I253" s="57"/>
      <c r="J253" s="48" t="str">
        <f t="shared" si="6"/>
        <v/>
      </c>
      <c r="K253" s="96"/>
      <c r="L253" s="28" t="str">
        <f t="shared" si="7"/>
        <v/>
      </c>
    </row>
    <row r="254">
      <c r="A254" s="111"/>
      <c r="B254" s="28"/>
      <c r="C254" s="28" t="str">
        <f t="array" ref="C254">IFERROR(_xlfn.XLOOKUP(B254, Inventory!A:A, Inventory!B:B),"")</f>
        <v/>
      </c>
      <c r="E254" s="2"/>
      <c r="F254" s="2"/>
      <c r="G254" s="96"/>
      <c r="H254" s="96"/>
      <c r="I254" s="57"/>
      <c r="J254" s="48" t="str">
        <f t="shared" si="6"/>
        <v/>
      </c>
      <c r="K254" s="96"/>
      <c r="L254" s="28" t="str">
        <f t="shared" si="7"/>
        <v/>
      </c>
    </row>
    <row r="255">
      <c r="A255" s="111"/>
      <c r="B255" s="28"/>
      <c r="C255" s="28" t="str">
        <f t="array" ref="C255">IFERROR(_xlfn.XLOOKUP(B255, Inventory!A:A, Inventory!B:B),"")</f>
        <v/>
      </c>
      <c r="E255" s="2"/>
      <c r="F255" s="2"/>
      <c r="G255" s="96"/>
      <c r="H255" s="96"/>
      <c r="I255" s="57"/>
      <c r="J255" s="48" t="str">
        <f t="shared" si="6"/>
        <v/>
      </c>
      <c r="K255" s="96"/>
      <c r="L255" s="28" t="str">
        <f t="shared" si="7"/>
        <v/>
      </c>
    </row>
    <row r="256">
      <c r="A256" s="111"/>
      <c r="B256" s="28"/>
      <c r="C256" s="28" t="str">
        <f t="array" ref="C256">IFERROR(_xlfn.XLOOKUP(B256, Inventory!A:A, Inventory!B:B),"")</f>
        <v/>
      </c>
      <c r="E256" s="2"/>
      <c r="F256" s="2"/>
      <c r="G256" s="96"/>
      <c r="H256" s="96"/>
      <c r="I256" s="57"/>
      <c r="J256" s="48" t="str">
        <f t="shared" si="6"/>
        <v/>
      </c>
      <c r="K256" s="96"/>
      <c r="L256" s="28" t="str">
        <f t="shared" si="7"/>
        <v/>
      </c>
    </row>
    <row r="257">
      <c r="A257" s="111"/>
      <c r="B257" s="28"/>
      <c r="C257" s="28" t="str">
        <f t="array" ref="C257">IFERROR(_xlfn.XLOOKUP(B257, Inventory!A:A, Inventory!B:B),"")</f>
        <v/>
      </c>
      <c r="E257" s="2"/>
      <c r="F257" s="2"/>
      <c r="G257" s="96"/>
      <c r="H257" s="96"/>
      <c r="I257" s="57"/>
      <c r="J257" s="48" t="str">
        <f t="shared" si="6"/>
        <v/>
      </c>
      <c r="K257" s="96"/>
      <c r="L257" s="28" t="str">
        <f t="shared" si="7"/>
        <v/>
      </c>
    </row>
    <row r="258">
      <c r="A258" s="111"/>
      <c r="B258" s="28"/>
      <c r="C258" s="28" t="str">
        <f t="array" ref="C258">IFERROR(_xlfn.XLOOKUP(B258, Inventory!A:A, Inventory!B:B),"")</f>
        <v/>
      </c>
      <c r="E258" s="2"/>
      <c r="F258" s="2"/>
      <c r="G258" s="96"/>
      <c r="H258" s="96"/>
      <c r="I258" s="57"/>
      <c r="J258" s="112"/>
      <c r="K258" s="96"/>
      <c r="L258" s="28" t="str">
        <f t="shared" si="7"/>
        <v/>
      </c>
    </row>
    <row r="259">
      <c r="A259" s="111"/>
      <c r="B259" s="28"/>
      <c r="C259" s="28" t="str">
        <f t="array" ref="C259">IFERROR(_xlfn.XLOOKUP(B259, Inventory!A:A, Inventory!B:B),"")</f>
        <v/>
      </c>
      <c r="E259" s="2"/>
      <c r="F259" s="2"/>
      <c r="G259" s="96"/>
      <c r="H259" s="96"/>
      <c r="I259" s="57"/>
      <c r="J259" s="112"/>
      <c r="K259" s="96"/>
      <c r="L259" s="28" t="str">
        <f t="shared" si="7"/>
        <v/>
      </c>
    </row>
    <row r="260">
      <c r="A260" s="111"/>
      <c r="B260" s="28"/>
      <c r="C260" s="28" t="str">
        <f t="array" ref="C260">IFERROR(_xlfn.XLOOKUP(B260, Inventory!A:A, Inventory!B:B),"")</f>
        <v/>
      </c>
      <c r="E260" s="2"/>
      <c r="F260" s="2"/>
      <c r="G260" s="96"/>
      <c r="H260" s="96"/>
      <c r="I260" s="57"/>
      <c r="J260" s="112"/>
      <c r="K260" s="96"/>
      <c r="L260" s="28" t="str">
        <f t="shared" si="7"/>
        <v/>
      </c>
    </row>
    <row r="261">
      <c r="A261" s="111"/>
      <c r="B261" s="28"/>
      <c r="C261" s="28" t="str">
        <f t="array" ref="C261">IFERROR(_xlfn.XLOOKUP(B261, Inventory!A:A, Inventory!B:B),"")</f>
        <v/>
      </c>
      <c r="E261" s="2"/>
      <c r="F261" s="2"/>
      <c r="G261" s="96"/>
      <c r="H261" s="96"/>
      <c r="I261" s="57"/>
      <c r="J261" s="112"/>
      <c r="K261" s="96"/>
      <c r="L261" s="28" t="str">
        <f t="shared" si="7"/>
        <v/>
      </c>
    </row>
    <row r="262">
      <c r="A262" s="111"/>
      <c r="B262" s="28"/>
      <c r="C262" s="28" t="str">
        <f t="array" ref="C262">IFERROR(_xlfn.XLOOKUP(B262, Inventory!A:A, Inventory!B:B),"")</f>
        <v/>
      </c>
      <c r="E262" s="2"/>
      <c r="F262" s="2"/>
      <c r="G262" s="96"/>
      <c r="H262" s="96"/>
      <c r="I262" s="57"/>
      <c r="J262" s="112"/>
      <c r="K262" s="96"/>
      <c r="L262" s="28" t="str">
        <f t="shared" si="7"/>
        <v/>
      </c>
    </row>
    <row r="263">
      <c r="A263" s="111"/>
      <c r="B263" s="28"/>
      <c r="C263" s="28" t="str">
        <f t="array" ref="C263">IFERROR(_xlfn.XLOOKUP(B263, Inventory!A:A, Inventory!B:B),"")</f>
        <v/>
      </c>
      <c r="E263" s="2"/>
      <c r="F263" s="2"/>
      <c r="G263" s="96"/>
      <c r="H263" s="96"/>
      <c r="I263" s="57"/>
      <c r="J263" s="112"/>
      <c r="K263" s="96"/>
      <c r="L263" s="28" t="str">
        <f t="shared" si="7"/>
        <v/>
      </c>
    </row>
    <row r="264">
      <c r="A264" s="111"/>
      <c r="B264" s="28"/>
      <c r="C264" s="28" t="str">
        <f t="array" ref="C264">IFERROR(_xlfn.XLOOKUP(B264, Inventory!A:A, Inventory!B:B),"")</f>
        <v/>
      </c>
      <c r="E264" s="2"/>
      <c r="F264" s="2"/>
      <c r="G264" s="96"/>
      <c r="H264" s="96"/>
      <c r="I264" s="57"/>
      <c r="J264" s="112"/>
      <c r="K264" s="96"/>
      <c r="L264" s="28" t="str">
        <f t="shared" si="7"/>
        <v/>
      </c>
    </row>
    <row r="265">
      <c r="A265" s="111"/>
      <c r="B265" s="28"/>
      <c r="C265" s="28" t="str">
        <f t="array" ref="C265">IFERROR(_xlfn.XLOOKUP(B265, Inventory!A:A, Inventory!B:B),"")</f>
        <v/>
      </c>
      <c r="E265" s="2"/>
      <c r="F265" s="2"/>
      <c r="G265" s="96"/>
      <c r="H265" s="96"/>
      <c r="I265" s="57"/>
      <c r="J265" s="112"/>
      <c r="K265" s="96"/>
      <c r="L265" s="28" t="str">
        <f t="shared" si="7"/>
        <v/>
      </c>
    </row>
    <row r="266">
      <c r="A266" s="111"/>
      <c r="B266" s="28"/>
      <c r="C266" s="28" t="str">
        <f t="array" ref="C266">IFERROR(_xlfn.XLOOKUP(B266, Inventory!A:A, Inventory!B:B),"")</f>
        <v/>
      </c>
      <c r="E266" s="2"/>
      <c r="F266" s="2"/>
      <c r="G266" s="96"/>
      <c r="H266" s="96"/>
      <c r="I266" s="57"/>
      <c r="J266" s="112"/>
      <c r="K266" s="96"/>
      <c r="L266" s="28" t="str">
        <f t="shared" si="7"/>
        <v/>
      </c>
    </row>
    <row r="267">
      <c r="A267" s="111"/>
      <c r="B267" s="28"/>
      <c r="C267" s="28" t="str">
        <f t="array" ref="C267">IFERROR(_xlfn.XLOOKUP(B267, Inventory!A:A, Inventory!B:B),"")</f>
        <v/>
      </c>
      <c r="E267" s="2"/>
      <c r="F267" s="2"/>
      <c r="G267" s="96"/>
      <c r="H267" s="96"/>
      <c r="I267" s="57"/>
      <c r="J267" s="112"/>
      <c r="K267" s="96"/>
      <c r="L267" s="28" t="str">
        <f t="shared" si="7"/>
        <v/>
      </c>
    </row>
    <row r="268">
      <c r="A268" s="111"/>
      <c r="B268" s="28"/>
      <c r="C268" s="28" t="str">
        <f t="array" ref="C268">IFERROR(_xlfn.XLOOKUP(B268, Inventory!A:A, Inventory!B:B),"")</f>
        <v/>
      </c>
      <c r="E268" s="2"/>
      <c r="F268" s="2"/>
      <c r="G268" s="96"/>
      <c r="H268" s="96"/>
      <c r="I268" s="57"/>
      <c r="J268" s="112"/>
      <c r="K268" s="96"/>
      <c r="L268" s="28" t="str">
        <f t="shared" si="7"/>
        <v/>
      </c>
    </row>
    <row r="269">
      <c r="A269" s="111"/>
      <c r="B269" s="28"/>
      <c r="C269" s="28" t="str">
        <f t="array" ref="C269">IFERROR(_xlfn.XLOOKUP(B269, Inventory!A:A, Inventory!B:B),"")</f>
        <v/>
      </c>
      <c r="E269" s="2"/>
      <c r="F269" s="2"/>
      <c r="G269" s="96"/>
      <c r="H269" s="96"/>
      <c r="I269" s="57"/>
      <c r="J269" s="112"/>
      <c r="K269" s="96"/>
      <c r="L269" s="28" t="str">
        <f t="shared" si="7"/>
        <v/>
      </c>
    </row>
    <row r="270">
      <c r="A270" s="111"/>
      <c r="B270" s="28"/>
      <c r="C270" s="28" t="str">
        <f t="array" ref="C270">IFERROR(_xlfn.XLOOKUP(B270, Inventory!A:A, Inventory!B:B),"")</f>
        <v/>
      </c>
      <c r="E270" s="2"/>
      <c r="F270" s="2"/>
      <c r="G270" s="96"/>
      <c r="H270" s="96"/>
      <c r="I270" s="57"/>
      <c r="J270" s="112"/>
      <c r="K270" s="96"/>
      <c r="L270" s="28" t="str">
        <f t="shared" si="7"/>
        <v/>
      </c>
    </row>
    <row r="271">
      <c r="A271" s="111"/>
      <c r="B271" s="28"/>
      <c r="E271" s="2"/>
      <c r="F271" s="2"/>
      <c r="G271" s="96"/>
      <c r="H271" s="96"/>
      <c r="I271" s="57"/>
      <c r="J271" s="112"/>
      <c r="K271" s="96"/>
      <c r="L271" s="28" t="str">
        <f t="shared" si="7"/>
        <v/>
      </c>
    </row>
    <row r="272">
      <c r="A272" s="111"/>
      <c r="B272" s="28"/>
      <c r="E272" s="2"/>
      <c r="F272" s="2"/>
      <c r="G272" s="96"/>
      <c r="H272" s="96"/>
      <c r="I272" s="57"/>
      <c r="J272" s="112"/>
      <c r="K272" s="96"/>
      <c r="L272" s="28" t="str">
        <f t="shared" si="7"/>
        <v/>
      </c>
    </row>
    <row r="273">
      <c r="A273" s="111"/>
      <c r="B273" s="28"/>
      <c r="E273" s="2"/>
      <c r="F273" s="2"/>
      <c r="G273" s="96"/>
      <c r="H273" s="96"/>
      <c r="I273" s="57"/>
      <c r="J273" s="112"/>
      <c r="K273" s="96"/>
      <c r="L273" s="28" t="str">
        <f t="shared" si="7"/>
        <v/>
      </c>
    </row>
    <row r="274">
      <c r="A274" s="111"/>
      <c r="B274" s="28"/>
      <c r="E274" s="2"/>
      <c r="F274" s="2"/>
      <c r="G274" s="96"/>
      <c r="H274" s="96"/>
      <c r="I274" s="57"/>
      <c r="J274" s="112"/>
      <c r="K274" s="96"/>
      <c r="L274" s="28" t="str">
        <f t="shared" si="7"/>
        <v/>
      </c>
    </row>
    <row r="275">
      <c r="A275" s="111"/>
      <c r="B275" s="28"/>
      <c r="E275" s="2"/>
      <c r="F275" s="2"/>
      <c r="G275" s="96"/>
      <c r="H275" s="96"/>
      <c r="I275" s="57"/>
      <c r="J275" s="112"/>
      <c r="K275" s="96"/>
      <c r="L275" s="28" t="str">
        <f t="shared" si="7"/>
        <v/>
      </c>
    </row>
    <row r="276">
      <c r="A276" s="111"/>
      <c r="B276" s="28"/>
      <c r="E276" s="2"/>
      <c r="F276" s="2"/>
      <c r="G276" s="96"/>
      <c r="H276" s="96"/>
      <c r="I276" s="57"/>
      <c r="J276" s="112"/>
      <c r="K276" s="96"/>
      <c r="L276" s="28" t="str">
        <f t="shared" si="7"/>
        <v/>
      </c>
    </row>
    <row r="277">
      <c r="A277" s="111"/>
      <c r="B277" s="28"/>
      <c r="E277" s="2"/>
      <c r="F277" s="2"/>
      <c r="G277" s="96"/>
      <c r="H277" s="96"/>
      <c r="I277" s="57"/>
      <c r="J277" s="112"/>
      <c r="K277" s="96"/>
      <c r="L277" s="28" t="str">
        <f t="shared" si="7"/>
        <v/>
      </c>
    </row>
    <row r="278">
      <c r="A278" s="111"/>
      <c r="B278" s="28"/>
      <c r="E278" s="2"/>
      <c r="F278" s="2"/>
      <c r="G278" s="96"/>
      <c r="H278" s="96"/>
      <c r="I278" s="57"/>
      <c r="J278" s="112"/>
      <c r="K278" s="96"/>
      <c r="L278" s="28" t="str">
        <f t="shared" si="7"/>
        <v/>
      </c>
    </row>
    <row r="279">
      <c r="A279" s="111"/>
      <c r="B279" s="28"/>
      <c r="E279" s="2"/>
      <c r="F279" s="2"/>
      <c r="G279" s="96"/>
      <c r="H279" s="96"/>
      <c r="I279" s="57"/>
      <c r="J279" s="112"/>
      <c r="K279" s="96"/>
      <c r="L279" s="28" t="str">
        <f t="shared" si="7"/>
        <v/>
      </c>
    </row>
    <row r="280">
      <c r="A280" s="111"/>
      <c r="B280" s="28"/>
      <c r="E280" s="2"/>
      <c r="F280" s="2"/>
      <c r="G280" s="96"/>
      <c r="H280" s="96"/>
      <c r="I280" s="57"/>
      <c r="J280" s="112"/>
      <c r="K280" s="96"/>
      <c r="L280" s="28" t="str">
        <f t="shared" si="7"/>
        <v/>
      </c>
    </row>
    <row r="281">
      <c r="A281" s="111"/>
      <c r="B281" s="28"/>
      <c r="E281" s="2"/>
      <c r="F281" s="2"/>
      <c r="G281" s="96"/>
      <c r="H281" s="96"/>
      <c r="I281" s="57"/>
      <c r="J281" s="112"/>
      <c r="K281" s="96"/>
      <c r="L281" s="28" t="str">
        <f t="shared" si="7"/>
        <v/>
      </c>
    </row>
    <row r="282">
      <c r="A282" s="111"/>
      <c r="B282" s="28"/>
      <c r="E282" s="2"/>
      <c r="F282" s="2"/>
      <c r="G282" s="96"/>
      <c r="H282" s="96"/>
      <c r="I282" s="57"/>
      <c r="J282" s="112"/>
      <c r="K282" s="96"/>
      <c r="L282" s="28" t="str">
        <f t="shared" si="7"/>
        <v/>
      </c>
    </row>
    <row r="283">
      <c r="A283" s="111"/>
      <c r="B283" s="28"/>
      <c r="E283" s="2"/>
      <c r="F283" s="2"/>
      <c r="G283" s="96"/>
      <c r="H283" s="96"/>
      <c r="I283" s="57"/>
      <c r="J283" s="112"/>
      <c r="K283" s="96"/>
      <c r="L283" s="28" t="str">
        <f t="shared" si="7"/>
        <v/>
      </c>
    </row>
    <row r="284">
      <c r="A284" s="111"/>
      <c r="B284" s="28"/>
      <c r="E284" s="2"/>
      <c r="F284" s="2"/>
      <c r="G284" s="96"/>
      <c r="H284" s="96"/>
      <c r="I284" s="57"/>
      <c r="J284" s="112"/>
      <c r="K284" s="96"/>
      <c r="L284" s="28" t="str">
        <f t="shared" si="7"/>
        <v/>
      </c>
    </row>
    <row r="285">
      <c r="A285" s="111"/>
      <c r="B285" s="28"/>
      <c r="E285" s="2"/>
      <c r="F285" s="2"/>
      <c r="G285" s="96"/>
      <c r="H285" s="96"/>
      <c r="I285" s="57"/>
      <c r="J285" s="112"/>
      <c r="K285" s="96"/>
      <c r="L285" s="28" t="str">
        <f t="shared" si="7"/>
        <v/>
      </c>
    </row>
    <row r="286">
      <c r="A286" s="111"/>
      <c r="B286" s="28"/>
      <c r="E286" s="2"/>
      <c r="F286" s="2"/>
      <c r="G286" s="96"/>
      <c r="H286" s="96"/>
      <c r="I286" s="57"/>
      <c r="J286" s="112"/>
      <c r="K286" s="96"/>
      <c r="L286" s="28" t="str">
        <f t="shared" si="7"/>
        <v/>
      </c>
    </row>
    <row r="287">
      <c r="A287" s="111"/>
      <c r="B287" s="28"/>
      <c r="E287" s="2"/>
      <c r="F287" s="2"/>
      <c r="G287" s="96"/>
      <c r="H287" s="96"/>
      <c r="I287" s="57"/>
      <c r="J287" s="112"/>
      <c r="K287" s="96"/>
      <c r="L287" s="28" t="str">
        <f t="shared" si="7"/>
        <v/>
      </c>
    </row>
    <row r="288">
      <c r="A288" s="111"/>
      <c r="B288" s="28"/>
      <c r="E288" s="2"/>
      <c r="F288" s="2"/>
      <c r="G288" s="96"/>
      <c r="H288" s="96"/>
      <c r="I288" s="57"/>
      <c r="J288" s="112"/>
      <c r="K288" s="96"/>
      <c r="L288" s="28" t="str">
        <f t="shared" si="7"/>
        <v/>
      </c>
    </row>
    <row r="289">
      <c r="A289" s="111"/>
      <c r="B289" s="28"/>
      <c r="E289" s="2"/>
      <c r="F289" s="2"/>
      <c r="G289" s="96"/>
      <c r="H289" s="96"/>
      <c r="I289" s="57"/>
      <c r="J289" s="112"/>
      <c r="K289" s="96"/>
      <c r="L289" s="28" t="str">
        <f t="shared" si="7"/>
        <v/>
      </c>
    </row>
    <row r="290">
      <c r="A290" s="111"/>
      <c r="B290" s="28"/>
      <c r="E290" s="2"/>
      <c r="F290" s="2"/>
      <c r="G290" s="96"/>
      <c r="H290" s="96"/>
      <c r="I290" s="57"/>
      <c r="J290" s="112"/>
      <c r="K290" s="96"/>
      <c r="L290" s="28" t="str">
        <f t="shared" si="7"/>
        <v/>
      </c>
    </row>
    <row r="291">
      <c r="A291" s="111"/>
      <c r="B291" s="28"/>
      <c r="E291" s="2"/>
      <c r="F291" s="2"/>
      <c r="G291" s="96"/>
      <c r="H291" s="96"/>
      <c r="I291" s="57"/>
      <c r="J291" s="112"/>
      <c r="K291" s="96"/>
      <c r="L291" s="28" t="str">
        <f t="shared" si="7"/>
        <v/>
      </c>
    </row>
    <row r="292">
      <c r="A292" s="111"/>
      <c r="B292" s="28"/>
      <c r="E292" s="2"/>
      <c r="F292" s="2"/>
      <c r="G292" s="96"/>
      <c r="H292" s="96"/>
      <c r="I292" s="57"/>
      <c r="J292" s="112"/>
      <c r="K292" s="96"/>
      <c r="L292" s="28" t="str">
        <f t="shared" si="7"/>
        <v/>
      </c>
    </row>
    <row r="293">
      <c r="A293" s="111"/>
      <c r="B293" s="28"/>
      <c r="E293" s="2"/>
      <c r="F293" s="2"/>
      <c r="G293" s="96"/>
      <c r="H293" s="96"/>
      <c r="I293" s="57"/>
      <c r="J293" s="112"/>
      <c r="K293" s="96"/>
      <c r="L293" s="28" t="str">
        <f t="shared" si="7"/>
        <v/>
      </c>
    </row>
    <row r="294">
      <c r="A294" s="111"/>
      <c r="B294" s="28"/>
      <c r="E294" s="2"/>
      <c r="F294" s="2"/>
      <c r="G294" s="96"/>
      <c r="H294" s="96"/>
      <c r="I294" s="57"/>
      <c r="J294" s="112"/>
      <c r="K294" s="96"/>
      <c r="L294" s="28" t="str">
        <f t="shared" si="7"/>
        <v/>
      </c>
    </row>
    <row r="295">
      <c r="A295" s="111"/>
      <c r="B295" s="28"/>
      <c r="E295" s="2"/>
      <c r="F295" s="2"/>
      <c r="G295" s="96"/>
      <c r="H295" s="96"/>
      <c r="I295" s="57"/>
      <c r="J295" s="112"/>
      <c r="K295" s="96"/>
      <c r="L295" s="28" t="str">
        <f t="shared" si="7"/>
        <v/>
      </c>
    </row>
    <row r="296">
      <c r="A296" s="111"/>
      <c r="B296" s="28"/>
      <c r="E296" s="2"/>
      <c r="F296" s="2"/>
      <c r="G296" s="96"/>
      <c r="H296" s="96"/>
      <c r="I296" s="57"/>
      <c r="J296" s="112"/>
      <c r="K296" s="96"/>
      <c r="L296" s="28" t="str">
        <f t="shared" si="7"/>
        <v/>
      </c>
    </row>
    <row r="297">
      <c r="A297" s="111"/>
      <c r="B297" s="28"/>
      <c r="E297" s="2"/>
      <c r="F297" s="2"/>
      <c r="G297" s="96"/>
      <c r="H297" s="96"/>
      <c r="I297" s="57"/>
      <c r="J297" s="112"/>
      <c r="K297" s="96"/>
      <c r="L297" s="28" t="str">
        <f t="shared" si="7"/>
        <v/>
      </c>
    </row>
    <row r="298">
      <c r="A298" s="111"/>
      <c r="B298" s="28"/>
      <c r="E298" s="2"/>
      <c r="F298" s="2"/>
      <c r="G298" s="96"/>
      <c r="H298" s="96"/>
      <c r="I298" s="57"/>
      <c r="J298" s="112"/>
      <c r="K298" s="96"/>
      <c r="L298" s="28" t="str">
        <f t="shared" si="7"/>
        <v/>
      </c>
    </row>
    <row r="299">
      <c r="A299" s="111"/>
      <c r="B299" s="28"/>
      <c r="E299" s="2"/>
      <c r="F299" s="2"/>
      <c r="G299" s="96"/>
      <c r="H299" s="96"/>
      <c r="I299" s="57"/>
      <c r="J299" s="112"/>
      <c r="K299" s="96"/>
      <c r="L299" s="28" t="str">
        <f t="shared" si="7"/>
        <v/>
      </c>
    </row>
    <row r="300">
      <c r="A300" s="111"/>
      <c r="B300" s="28"/>
      <c r="E300" s="2"/>
      <c r="F300" s="2"/>
      <c r="G300" s="96"/>
      <c r="H300" s="96"/>
      <c r="I300" s="57"/>
      <c r="J300" s="112"/>
      <c r="K300" s="96"/>
      <c r="L300" s="28" t="str">
        <f t="shared" si="7"/>
        <v/>
      </c>
    </row>
    <row r="301">
      <c r="A301" s="111"/>
      <c r="B301" s="28"/>
      <c r="E301" s="2"/>
      <c r="F301" s="2"/>
      <c r="G301" s="96"/>
      <c r="H301" s="96"/>
      <c r="I301" s="57"/>
      <c r="J301" s="112"/>
      <c r="K301" s="96"/>
      <c r="L301" s="28" t="str">
        <f t="shared" si="7"/>
        <v/>
      </c>
    </row>
    <row r="302">
      <c r="A302" s="111"/>
      <c r="B302" s="28"/>
      <c r="E302" s="2"/>
      <c r="F302" s="2"/>
      <c r="G302" s="96"/>
      <c r="H302" s="96"/>
      <c r="I302" s="57"/>
      <c r="J302" s="112"/>
      <c r="K302" s="96"/>
      <c r="L302" s="28" t="str">
        <f t="shared" si="7"/>
        <v/>
      </c>
    </row>
    <row r="303">
      <c r="A303" s="111"/>
      <c r="B303" s="28"/>
      <c r="E303" s="2"/>
      <c r="F303" s="2"/>
      <c r="G303" s="96"/>
      <c r="H303" s="96"/>
      <c r="I303" s="57"/>
      <c r="J303" s="112"/>
      <c r="K303" s="96"/>
      <c r="L303" s="28" t="str">
        <f t="shared" si="7"/>
        <v/>
      </c>
    </row>
    <row r="304">
      <c r="A304" s="111"/>
      <c r="B304" s="28"/>
      <c r="E304" s="2"/>
      <c r="F304" s="2"/>
      <c r="G304" s="96"/>
      <c r="H304" s="96"/>
      <c r="I304" s="57"/>
      <c r="J304" s="112"/>
      <c r="K304" s="96"/>
      <c r="L304" s="28" t="str">
        <f t="shared" si="7"/>
        <v/>
      </c>
    </row>
    <row r="305">
      <c r="A305" s="111"/>
      <c r="B305" s="28"/>
      <c r="E305" s="2"/>
      <c r="F305" s="2"/>
      <c r="G305" s="96"/>
      <c r="H305" s="96"/>
      <c r="I305" s="57"/>
      <c r="J305" s="112"/>
      <c r="K305" s="96"/>
      <c r="L305" s="28" t="str">
        <f t="shared" si="7"/>
        <v/>
      </c>
    </row>
    <row r="306">
      <c r="A306" s="111"/>
      <c r="B306" s="28"/>
      <c r="E306" s="2"/>
      <c r="F306" s="2"/>
      <c r="G306" s="96"/>
      <c r="H306" s="96"/>
      <c r="I306" s="57"/>
      <c r="J306" s="112"/>
      <c r="K306" s="96"/>
      <c r="L306" s="28" t="str">
        <f t="shared" si="7"/>
        <v/>
      </c>
    </row>
    <row r="307">
      <c r="A307" s="111"/>
      <c r="B307" s="28"/>
      <c r="E307" s="2"/>
      <c r="F307" s="2"/>
      <c r="G307" s="96"/>
      <c r="H307" s="96"/>
      <c r="I307" s="57"/>
      <c r="J307" s="112"/>
      <c r="K307" s="96"/>
      <c r="L307" s="28" t="str">
        <f t="shared" si="7"/>
        <v/>
      </c>
    </row>
    <row r="308">
      <c r="A308" s="111"/>
      <c r="B308" s="28"/>
      <c r="E308" s="2"/>
      <c r="F308" s="2"/>
      <c r="G308" s="96"/>
      <c r="H308" s="96"/>
      <c r="I308" s="57"/>
      <c r="J308" s="112"/>
      <c r="K308" s="96"/>
      <c r="L308" s="28" t="str">
        <f t="shared" si="7"/>
        <v/>
      </c>
    </row>
    <row r="309">
      <c r="A309" s="111"/>
      <c r="B309" s="28"/>
      <c r="E309" s="2"/>
      <c r="F309" s="2"/>
      <c r="G309" s="96"/>
      <c r="H309" s="96"/>
      <c r="I309" s="57"/>
      <c r="J309" s="112"/>
      <c r="K309" s="96"/>
      <c r="L309" s="28" t="str">
        <f t="shared" si="7"/>
        <v/>
      </c>
    </row>
    <row r="310">
      <c r="A310" s="111"/>
      <c r="B310" s="28"/>
      <c r="E310" s="2"/>
      <c r="F310" s="2"/>
      <c r="G310" s="96"/>
      <c r="H310" s="96"/>
      <c r="I310" s="57"/>
      <c r="J310" s="112"/>
      <c r="K310" s="96"/>
      <c r="L310" s="28" t="str">
        <f t="shared" si="7"/>
        <v/>
      </c>
    </row>
    <row r="311">
      <c r="A311" s="111"/>
      <c r="B311" s="28"/>
      <c r="E311" s="2"/>
      <c r="F311" s="2"/>
      <c r="G311" s="96"/>
      <c r="H311" s="96"/>
      <c r="I311" s="57"/>
      <c r="J311" s="112"/>
      <c r="K311" s="96"/>
      <c r="L311" s="28" t="str">
        <f t="shared" si="7"/>
        <v/>
      </c>
    </row>
    <row r="312">
      <c r="A312" s="111"/>
      <c r="B312" s="28"/>
      <c r="E312" s="2"/>
      <c r="F312" s="2"/>
      <c r="G312" s="96"/>
      <c r="H312" s="96"/>
      <c r="I312" s="57"/>
      <c r="J312" s="112"/>
      <c r="K312" s="96"/>
      <c r="L312" s="28" t="str">
        <f t="shared" si="7"/>
        <v/>
      </c>
    </row>
    <row r="313">
      <c r="A313" s="111"/>
      <c r="B313" s="28"/>
      <c r="E313" s="2"/>
      <c r="F313" s="2"/>
      <c r="G313" s="96"/>
      <c r="H313" s="96"/>
      <c r="I313" s="57"/>
      <c r="J313" s="112"/>
      <c r="K313" s="96"/>
      <c r="L313" s="28" t="str">
        <f t="shared" si="7"/>
        <v/>
      </c>
    </row>
    <row r="314">
      <c r="A314" s="111"/>
      <c r="B314" s="28"/>
      <c r="E314" s="2"/>
      <c r="F314" s="2"/>
      <c r="G314" s="96"/>
      <c r="H314" s="96"/>
      <c r="I314" s="57"/>
      <c r="J314" s="112"/>
      <c r="K314" s="96"/>
      <c r="L314" s="28" t="str">
        <f t="shared" si="7"/>
        <v/>
      </c>
    </row>
    <row r="315">
      <c r="A315" s="111"/>
      <c r="B315" s="28"/>
      <c r="E315" s="2"/>
      <c r="F315" s="2"/>
      <c r="G315" s="96"/>
      <c r="H315" s="96"/>
      <c r="I315" s="57"/>
      <c r="J315" s="112"/>
      <c r="K315" s="96"/>
      <c r="L315" s="28" t="str">
        <f t="shared" si="7"/>
        <v/>
      </c>
    </row>
    <row r="316">
      <c r="A316" s="111"/>
      <c r="B316" s="28"/>
      <c r="E316" s="2"/>
      <c r="F316" s="2"/>
      <c r="G316" s="96"/>
      <c r="H316" s="96"/>
      <c r="I316" s="57"/>
      <c r="J316" s="112"/>
      <c r="K316" s="96"/>
      <c r="L316" s="28" t="str">
        <f t="shared" si="7"/>
        <v/>
      </c>
    </row>
    <row r="317">
      <c r="A317" s="111"/>
      <c r="B317" s="28"/>
      <c r="E317" s="2"/>
      <c r="F317" s="2"/>
      <c r="G317" s="96"/>
      <c r="H317" s="96"/>
      <c r="I317" s="57"/>
      <c r="J317" s="112"/>
      <c r="K317" s="96"/>
      <c r="L317" s="28" t="str">
        <f t="shared" si="7"/>
        <v/>
      </c>
    </row>
    <row r="318">
      <c r="A318" s="111"/>
      <c r="B318" s="28"/>
      <c r="E318" s="2"/>
      <c r="F318" s="2"/>
      <c r="G318" s="96"/>
      <c r="H318" s="96"/>
      <c r="I318" s="57"/>
      <c r="J318" s="112"/>
      <c r="K318" s="96"/>
      <c r="L318" s="28" t="str">
        <f t="shared" si="7"/>
        <v/>
      </c>
    </row>
    <row r="319">
      <c r="A319" s="111"/>
      <c r="B319" s="28"/>
      <c r="E319" s="2"/>
      <c r="F319" s="2"/>
      <c r="G319" s="96"/>
      <c r="H319" s="96"/>
      <c r="I319" s="57"/>
      <c r="J319" s="112"/>
      <c r="K319" s="96"/>
      <c r="L319" s="28" t="str">
        <f t="shared" si="7"/>
        <v/>
      </c>
    </row>
    <row r="320">
      <c r="A320" s="111"/>
      <c r="B320" s="28"/>
      <c r="E320" s="2"/>
      <c r="F320" s="2"/>
      <c r="G320" s="96"/>
      <c r="H320" s="96"/>
      <c r="I320" s="57"/>
      <c r="J320" s="112"/>
      <c r="K320" s="96"/>
      <c r="L320" s="28" t="str">
        <f t="shared" si="7"/>
        <v/>
      </c>
    </row>
    <row r="321">
      <c r="A321" s="111"/>
      <c r="B321" s="28"/>
      <c r="E321" s="2"/>
      <c r="F321" s="2"/>
      <c r="G321" s="96"/>
      <c r="H321" s="96"/>
      <c r="I321" s="57"/>
      <c r="J321" s="112"/>
      <c r="K321" s="96"/>
      <c r="L321" s="28" t="str">
        <f t="shared" si="7"/>
        <v/>
      </c>
    </row>
    <row r="322">
      <c r="A322" s="111"/>
      <c r="B322" s="28"/>
      <c r="E322" s="2"/>
      <c r="F322" s="2"/>
      <c r="G322" s="96"/>
      <c r="H322" s="96"/>
      <c r="I322" s="57"/>
      <c r="J322" s="112"/>
      <c r="K322" s="96"/>
      <c r="L322" s="28" t="str">
        <f t="shared" si="7"/>
        <v/>
      </c>
    </row>
    <row r="323">
      <c r="A323" s="111"/>
      <c r="B323" s="28"/>
      <c r="E323" s="2"/>
      <c r="F323" s="2"/>
      <c r="G323" s="96"/>
      <c r="H323" s="96"/>
      <c r="I323" s="57"/>
      <c r="J323" s="112"/>
      <c r="K323" s="96"/>
      <c r="L323" s="28" t="str">
        <f t="shared" si="7"/>
        <v/>
      </c>
    </row>
    <row r="324">
      <c r="A324" s="111"/>
      <c r="B324" s="28"/>
      <c r="E324" s="2"/>
      <c r="F324" s="2"/>
      <c r="G324" s="96"/>
      <c r="H324" s="96"/>
      <c r="I324" s="57"/>
      <c r="J324" s="112"/>
      <c r="K324" s="96"/>
      <c r="L324" s="28" t="str">
        <f t="shared" si="7"/>
        <v/>
      </c>
    </row>
    <row r="325">
      <c r="A325" s="111"/>
      <c r="B325" s="28"/>
      <c r="E325" s="2"/>
      <c r="F325" s="2"/>
      <c r="G325" s="96"/>
      <c r="H325" s="96"/>
      <c r="I325" s="57"/>
      <c r="J325" s="112"/>
      <c r="K325" s="96"/>
      <c r="L325" s="28" t="str">
        <f t="shared" si="7"/>
        <v/>
      </c>
    </row>
    <row r="326">
      <c r="A326" s="111"/>
      <c r="B326" s="28"/>
      <c r="E326" s="2"/>
      <c r="F326" s="2"/>
      <c r="G326" s="96"/>
      <c r="H326" s="96"/>
      <c r="I326" s="57"/>
      <c r="J326" s="112"/>
      <c r="K326" s="96"/>
      <c r="L326" s="28" t="str">
        <f t="shared" si="7"/>
        <v/>
      </c>
    </row>
    <row r="327">
      <c r="A327" s="111"/>
      <c r="B327" s="28"/>
      <c r="E327" s="2"/>
      <c r="F327" s="2"/>
      <c r="G327" s="96"/>
      <c r="H327" s="96"/>
      <c r="I327" s="57"/>
      <c r="J327" s="112"/>
      <c r="K327" s="96"/>
      <c r="L327" s="28" t="str">
        <f t="shared" si="7"/>
        <v/>
      </c>
    </row>
    <row r="328">
      <c r="A328" s="111"/>
      <c r="B328" s="28"/>
      <c r="E328" s="2"/>
      <c r="F328" s="2"/>
      <c r="G328" s="96"/>
      <c r="H328" s="96"/>
      <c r="I328" s="57"/>
      <c r="J328" s="112"/>
      <c r="K328" s="96"/>
      <c r="L328" s="28" t="str">
        <f t="shared" si="7"/>
        <v/>
      </c>
    </row>
    <row r="329">
      <c r="A329" s="111"/>
      <c r="B329" s="28"/>
      <c r="E329" s="2"/>
      <c r="F329" s="2"/>
      <c r="G329" s="96"/>
      <c r="H329" s="96"/>
      <c r="I329" s="57"/>
      <c r="J329" s="112"/>
      <c r="K329" s="96"/>
      <c r="L329" s="28" t="str">
        <f t="shared" si="7"/>
        <v/>
      </c>
    </row>
    <row r="330">
      <c r="A330" s="111"/>
      <c r="B330" s="28"/>
      <c r="E330" s="2"/>
      <c r="F330" s="2"/>
      <c r="G330" s="96"/>
      <c r="H330" s="96"/>
      <c r="I330" s="57"/>
      <c r="J330" s="112"/>
      <c r="K330" s="96"/>
      <c r="L330" s="28" t="str">
        <f t="shared" si="7"/>
        <v/>
      </c>
    </row>
    <row r="331">
      <c r="A331" s="111"/>
      <c r="B331" s="28"/>
      <c r="E331" s="2"/>
      <c r="F331" s="2"/>
      <c r="G331" s="96"/>
      <c r="H331" s="96"/>
      <c r="I331" s="57"/>
      <c r="J331" s="112"/>
      <c r="K331" s="96"/>
      <c r="L331" s="28" t="str">
        <f t="shared" si="7"/>
        <v/>
      </c>
    </row>
    <row r="332">
      <c r="A332" s="111"/>
      <c r="B332" s="28"/>
      <c r="E332" s="2"/>
      <c r="F332" s="2"/>
      <c r="G332" s="96"/>
      <c r="H332" s="96"/>
      <c r="I332" s="57"/>
      <c r="J332" s="112"/>
      <c r="K332" s="96"/>
      <c r="L332" s="28" t="str">
        <f t="shared" si="7"/>
        <v/>
      </c>
    </row>
    <row r="333">
      <c r="A333" s="111"/>
      <c r="B333" s="28"/>
      <c r="E333" s="2"/>
      <c r="F333" s="2"/>
      <c r="G333" s="96"/>
      <c r="H333" s="96"/>
      <c r="I333" s="57"/>
      <c r="J333" s="112"/>
      <c r="K333" s="96"/>
      <c r="L333" s="28" t="str">
        <f t="shared" si="7"/>
        <v/>
      </c>
    </row>
    <row r="334">
      <c r="A334" s="111"/>
      <c r="B334" s="28"/>
      <c r="E334" s="2"/>
      <c r="F334" s="2"/>
      <c r="G334" s="96"/>
      <c r="H334" s="96"/>
      <c r="I334" s="57"/>
      <c r="J334" s="112"/>
      <c r="K334" s="96"/>
      <c r="L334" s="28" t="str">
        <f t="shared" si="7"/>
        <v/>
      </c>
    </row>
    <row r="335">
      <c r="A335" s="111"/>
      <c r="B335" s="28"/>
      <c r="E335" s="2"/>
      <c r="F335" s="2"/>
      <c r="G335" s="96"/>
      <c r="H335" s="96"/>
      <c r="I335" s="57"/>
      <c r="J335" s="112"/>
      <c r="K335" s="96"/>
    </row>
    <row r="336">
      <c r="A336" s="111"/>
      <c r="B336" s="28"/>
      <c r="E336" s="2"/>
      <c r="F336" s="2"/>
      <c r="G336" s="96"/>
      <c r="H336" s="96"/>
      <c r="I336" s="57"/>
      <c r="J336" s="112"/>
      <c r="K336" s="96"/>
    </row>
    <row r="337">
      <c r="A337" s="111"/>
      <c r="B337" s="28"/>
      <c r="E337" s="2"/>
      <c r="F337" s="2"/>
      <c r="G337" s="96"/>
      <c r="H337" s="96"/>
      <c r="I337" s="57"/>
      <c r="J337" s="112"/>
      <c r="K337" s="96"/>
    </row>
    <row r="338">
      <c r="A338" s="111"/>
      <c r="B338" s="28"/>
      <c r="E338" s="2"/>
      <c r="F338" s="2"/>
      <c r="G338" s="96"/>
      <c r="H338" s="96"/>
      <c r="I338" s="57"/>
      <c r="J338" s="112"/>
      <c r="K338" s="96"/>
    </row>
    <row r="339">
      <c r="A339" s="111"/>
      <c r="B339" s="28"/>
      <c r="E339" s="2"/>
      <c r="F339" s="2"/>
      <c r="G339" s="96"/>
      <c r="H339" s="96"/>
      <c r="I339" s="57"/>
      <c r="J339" s="112"/>
      <c r="K339" s="96"/>
    </row>
    <row r="340">
      <c r="A340" s="111"/>
      <c r="B340" s="28"/>
      <c r="E340" s="2"/>
      <c r="F340" s="2"/>
      <c r="G340" s="96"/>
      <c r="H340" s="96"/>
      <c r="I340" s="57"/>
      <c r="J340" s="112"/>
      <c r="K340" s="96"/>
    </row>
    <row r="341">
      <c r="A341" s="111"/>
      <c r="B341" s="28"/>
      <c r="E341" s="2"/>
      <c r="F341" s="2"/>
      <c r="G341" s="96"/>
      <c r="H341" s="96"/>
      <c r="I341" s="57"/>
      <c r="J341" s="112"/>
      <c r="K341" s="96"/>
    </row>
    <row r="342">
      <c r="A342" s="111"/>
      <c r="B342" s="28"/>
      <c r="E342" s="2"/>
      <c r="F342" s="2"/>
      <c r="G342" s="96"/>
      <c r="H342" s="96"/>
      <c r="I342" s="57"/>
      <c r="J342" s="112"/>
      <c r="K342" s="96"/>
    </row>
    <row r="343">
      <c r="A343" s="111"/>
      <c r="B343" s="28"/>
      <c r="E343" s="2"/>
      <c r="F343" s="2"/>
      <c r="G343" s="96"/>
      <c r="H343" s="96"/>
      <c r="I343" s="57"/>
      <c r="J343" s="112"/>
      <c r="K343" s="96"/>
    </row>
    <row r="344">
      <c r="A344" s="111"/>
      <c r="B344" s="28"/>
      <c r="E344" s="2"/>
      <c r="F344" s="2"/>
      <c r="G344" s="96"/>
      <c r="H344" s="96"/>
      <c r="I344" s="57"/>
      <c r="J344" s="112"/>
      <c r="K344" s="96"/>
    </row>
    <row r="345">
      <c r="A345" s="111"/>
      <c r="B345" s="28"/>
      <c r="E345" s="2"/>
      <c r="F345" s="2"/>
      <c r="G345" s="96"/>
      <c r="H345" s="96"/>
      <c r="I345" s="57"/>
      <c r="J345" s="112"/>
      <c r="K345" s="96"/>
    </row>
    <row r="346">
      <c r="A346" s="111"/>
      <c r="B346" s="28"/>
      <c r="E346" s="2"/>
      <c r="F346" s="2"/>
      <c r="G346" s="96"/>
      <c r="H346" s="96"/>
      <c r="I346" s="57"/>
      <c r="J346" s="112"/>
      <c r="K346" s="96"/>
    </row>
    <row r="347">
      <c r="A347" s="111"/>
      <c r="B347" s="28"/>
      <c r="E347" s="2"/>
      <c r="F347" s="2"/>
      <c r="G347" s="96"/>
      <c r="H347" s="96"/>
      <c r="I347" s="57"/>
      <c r="J347" s="112"/>
      <c r="K347" s="96"/>
    </row>
    <row r="348">
      <c r="A348" s="111"/>
      <c r="B348" s="28"/>
      <c r="E348" s="2"/>
      <c r="F348" s="2"/>
      <c r="G348" s="96"/>
      <c r="H348" s="96"/>
      <c r="I348" s="57"/>
      <c r="J348" s="112"/>
      <c r="K348" s="96"/>
    </row>
    <row r="349">
      <c r="A349" s="111"/>
      <c r="B349" s="28"/>
      <c r="E349" s="2"/>
      <c r="F349" s="2"/>
      <c r="G349" s="96"/>
      <c r="H349" s="96"/>
      <c r="I349" s="57"/>
      <c r="J349" s="112"/>
      <c r="K349" s="96"/>
    </row>
    <row r="350">
      <c r="A350" s="111"/>
      <c r="B350" s="28"/>
      <c r="E350" s="2"/>
      <c r="F350" s="2"/>
      <c r="G350" s="96"/>
      <c r="H350" s="96"/>
      <c r="I350" s="57"/>
      <c r="J350" s="112"/>
      <c r="K350" s="96"/>
    </row>
    <row r="351">
      <c r="A351" s="111"/>
      <c r="B351" s="28"/>
      <c r="E351" s="2"/>
      <c r="F351" s="2"/>
      <c r="G351" s="96"/>
      <c r="H351" s="96"/>
      <c r="I351" s="57"/>
      <c r="J351" s="112"/>
      <c r="K351" s="96"/>
    </row>
    <row r="352">
      <c r="A352" s="111"/>
      <c r="B352" s="28"/>
      <c r="E352" s="2"/>
      <c r="F352" s="2"/>
      <c r="G352" s="96"/>
      <c r="H352" s="96"/>
      <c r="I352" s="57"/>
      <c r="J352" s="112"/>
      <c r="K352" s="96"/>
    </row>
    <row r="353">
      <c r="A353" s="111"/>
      <c r="B353" s="28"/>
      <c r="E353" s="2"/>
      <c r="F353" s="2"/>
      <c r="G353" s="96"/>
      <c r="H353" s="96"/>
      <c r="I353" s="57"/>
      <c r="J353" s="112"/>
      <c r="K353" s="96"/>
    </row>
    <row r="354">
      <c r="A354" s="111"/>
      <c r="B354" s="28"/>
      <c r="E354" s="2"/>
      <c r="F354" s="2"/>
      <c r="G354" s="96"/>
      <c r="H354" s="96"/>
      <c r="I354" s="57"/>
      <c r="J354" s="112"/>
      <c r="K354" s="96"/>
    </row>
    <row r="355">
      <c r="A355" s="111"/>
      <c r="B355" s="28"/>
      <c r="E355" s="2"/>
      <c r="F355" s="2"/>
      <c r="G355" s="96"/>
      <c r="H355" s="96"/>
      <c r="I355" s="57"/>
      <c r="J355" s="112"/>
      <c r="K355" s="96"/>
    </row>
    <row r="356">
      <c r="A356" s="111"/>
      <c r="B356" s="28"/>
      <c r="E356" s="2"/>
      <c r="F356" s="2"/>
      <c r="G356" s="96"/>
      <c r="H356" s="96"/>
      <c r="I356" s="57"/>
      <c r="J356" s="112"/>
      <c r="K356" s="96"/>
    </row>
    <row r="357">
      <c r="A357" s="111"/>
      <c r="B357" s="28"/>
      <c r="E357" s="2"/>
      <c r="F357" s="2"/>
      <c r="G357" s="96"/>
      <c r="H357" s="96"/>
      <c r="I357" s="57"/>
      <c r="J357" s="112"/>
      <c r="K357" s="96"/>
    </row>
    <row r="358">
      <c r="A358" s="111"/>
      <c r="B358" s="28"/>
      <c r="E358" s="2"/>
      <c r="F358" s="2"/>
      <c r="G358" s="96"/>
      <c r="H358" s="96"/>
      <c r="I358" s="57"/>
      <c r="J358" s="112"/>
      <c r="K358" s="96"/>
    </row>
    <row r="359">
      <c r="A359" s="111"/>
      <c r="B359" s="28"/>
      <c r="E359" s="2"/>
      <c r="F359" s="2"/>
      <c r="G359" s="96"/>
      <c r="H359" s="96"/>
      <c r="I359" s="57"/>
      <c r="J359" s="112"/>
      <c r="K359" s="96"/>
    </row>
    <row r="360">
      <c r="A360" s="111"/>
      <c r="B360" s="28"/>
      <c r="E360" s="2"/>
      <c r="F360" s="2"/>
      <c r="G360" s="96"/>
      <c r="H360" s="96"/>
      <c r="I360" s="57"/>
      <c r="J360" s="112"/>
      <c r="K360" s="96"/>
    </row>
    <row r="361">
      <c r="A361" s="111"/>
      <c r="B361" s="28"/>
      <c r="E361" s="2"/>
      <c r="F361" s="2"/>
      <c r="G361" s="96"/>
      <c r="H361" s="96"/>
      <c r="I361" s="57"/>
      <c r="J361" s="112"/>
      <c r="K361" s="96"/>
    </row>
    <row r="362">
      <c r="A362" s="111"/>
      <c r="B362" s="28"/>
      <c r="E362" s="2"/>
      <c r="F362" s="2"/>
      <c r="G362" s="96"/>
      <c r="H362" s="96"/>
      <c r="I362" s="57"/>
      <c r="J362" s="112"/>
      <c r="K362" s="96"/>
    </row>
    <row r="363">
      <c r="A363" s="111"/>
      <c r="B363" s="28"/>
      <c r="E363" s="2"/>
      <c r="F363" s="2"/>
      <c r="G363" s="96"/>
      <c r="H363" s="96"/>
      <c r="I363" s="57"/>
      <c r="J363" s="112"/>
      <c r="K363" s="96"/>
    </row>
    <row r="364">
      <c r="A364" s="111"/>
      <c r="B364" s="28"/>
      <c r="E364" s="2"/>
      <c r="F364" s="2"/>
      <c r="G364" s="96"/>
      <c r="H364" s="96"/>
      <c r="I364" s="57"/>
      <c r="J364" s="112"/>
      <c r="K364" s="96"/>
    </row>
    <row r="365">
      <c r="A365" s="111"/>
      <c r="B365" s="28"/>
      <c r="E365" s="2"/>
      <c r="F365" s="2"/>
      <c r="G365" s="96"/>
      <c r="H365" s="96"/>
      <c r="I365" s="57"/>
      <c r="J365" s="112"/>
      <c r="K365" s="96"/>
    </row>
    <row r="366">
      <c r="A366" s="111"/>
      <c r="B366" s="28"/>
      <c r="E366" s="2"/>
      <c r="F366" s="2"/>
      <c r="G366" s="96"/>
      <c r="H366" s="96"/>
      <c r="I366" s="57"/>
      <c r="J366" s="112"/>
      <c r="K366" s="96"/>
    </row>
    <row r="367">
      <c r="A367" s="111"/>
      <c r="B367" s="28"/>
      <c r="E367" s="2"/>
      <c r="F367" s="2"/>
      <c r="G367" s="96"/>
      <c r="H367" s="96"/>
      <c r="I367" s="57"/>
      <c r="J367" s="112"/>
      <c r="K367" s="96"/>
    </row>
    <row r="368">
      <c r="A368" s="111"/>
      <c r="B368" s="28"/>
      <c r="E368" s="2"/>
      <c r="F368" s="2"/>
      <c r="G368" s="96"/>
      <c r="H368" s="96"/>
      <c r="I368" s="57"/>
      <c r="J368" s="112"/>
      <c r="K368" s="96"/>
    </row>
    <row r="369">
      <c r="A369" s="111"/>
      <c r="B369" s="28"/>
      <c r="E369" s="2"/>
      <c r="F369" s="2"/>
      <c r="G369" s="96"/>
      <c r="H369" s="96"/>
      <c r="I369" s="57"/>
      <c r="J369" s="112"/>
      <c r="K369" s="96"/>
    </row>
    <row r="370">
      <c r="A370" s="111"/>
      <c r="B370" s="28"/>
      <c r="E370" s="2"/>
      <c r="F370" s="2"/>
      <c r="G370" s="96"/>
      <c r="H370" s="96"/>
      <c r="I370" s="57"/>
      <c r="J370" s="112"/>
      <c r="K370" s="96"/>
    </row>
    <row r="371">
      <c r="A371" s="111"/>
      <c r="B371" s="28"/>
      <c r="E371" s="2"/>
      <c r="F371" s="2"/>
      <c r="G371" s="96"/>
      <c r="H371" s="96"/>
      <c r="I371" s="57"/>
      <c r="J371" s="112"/>
      <c r="K371" s="96"/>
    </row>
    <row r="372">
      <c r="A372" s="111"/>
      <c r="B372" s="28"/>
      <c r="E372" s="2"/>
      <c r="F372" s="2"/>
      <c r="G372" s="96"/>
      <c r="H372" s="96"/>
      <c r="I372" s="57"/>
      <c r="J372" s="112"/>
      <c r="K372" s="96"/>
    </row>
    <row r="373">
      <c r="A373" s="111"/>
      <c r="B373" s="28"/>
      <c r="E373" s="2"/>
      <c r="F373" s="2"/>
      <c r="G373" s="96"/>
      <c r="H373" s="96"/>
      <c r="I373" s="57"/>
      <c r="J373" s="112"/>
      <c r="K373" s="96"/>
    </row>
    <row r="374">
      <c r="A374" s="111"/>
      <c r="B374" s="28"/>
      <c r="E374" s="2"/>
      <c r="F374" s="2"/>
      <c r="G374" s="96"/>
      <c r="H374" s="96"/>
      <c r="I374" s="57"/>
      <c r="J374" s="112"/>
      <c r="K374" s="96"/>
    </row>
    <row r="375">
      <c r="A375" s="111"/>
      <c r="B375" s="28"/>
      <c r="E375" s="2"/>
      <c r="F375" s="2"/>
      <c r="G375" s="96"/>
      <c r="H375" s="96"/>
      <c r="I375" s="57"/>
      <c r="J375" s="112"/>
      <c r="K375" s="96"/>
    </row>
    <row r="376">
      <c r="A376" s="111"/>
      <c r="B376" s="28"/>
      <c r="E376" s="2"/>
      <c r="F376" s="2"/>
      <c r="G376" s="96"/>
      <c r="H376" s="96"/>
      <c r="I376" s="57"/>
      <c r="J376" s="112"/>
      <c r="K376" s="96"/>
    </row>
    <row r="377">
      <c r="A377" s="111"/>
      <c r="B377" s="28"/>
      <c r="E377" s="2"/>
      <c r="F377" s="2"/>
      <c r="G377" s="96"/>
      <c r="H377" s="96"/>
      <c r="I377" s="57"/>
      <c r="J377" s="112"/>
      <c r="K377" s="96"/>
    </row>
    <row r="378">
      <c r="A378" s="111"/>
      <c r="B378" s="28"/>
      <c r="E378" s="2"/>
      <c r="F378" s="2"/>
      <c r="G378" s="96"/>
      <c r="H378" s="96"/>
      <c r="I378" s="57"/>
      <c r="J378" s="112"/>
      <c r="K378" s="96"/>
    </row>
    <row r="379">
      <c r="A379" s="111"/>
      <c r="B379" s="28"/>
      <c r="E379" s="2"/>
      <c r="F379" s="2"/>
      <c r="G379" s="96"/>
      <c r="H379" s="96"/>
      <c r="I379" s="57"/>
      <c r="J379" s="112"/>
      <c r="K379" s="96"/>
    </row>
    <row r="380">
      <c r="A380" s="111"/>
      <c r="B380" s="28"/>
      <c r="E380" s="2"/>
      <c r="F380" s="2"/>
      <c r="G380" s="96"/>
      <c r="H380" s="96"/>
      <c r="I380" s="57"/>
      <c r="J380" s="112"/>
      <c r="K380" s="96"/>
    </row>
    <row r="381">
      <c r="A381" s="111"/>
      <c r="B381" s="28"/>
      <c r="E381" s="2"/>
      <c r="F381" s="2"/>
      <c r="G381" s="96"/>
      <c r="H381" s="96"/>
      <c r="I381" s="57"/>
      <c r="J381" s="112"/>
      <c r="K381" s="96"/>
    </row>
    <row r="382">
      <c r="A382" s="111"/>
      <c r="B382" s="28"/>
      <c r="E382" s="2"/>
      <c r="F382" s="2"/>
      <c r="G382" s="96"/>
      <c r="H382" s="96"/>
      <c r="I382" s="57"/>
      <c r="J382" s="112"/>
      <c r="K382" s="96"/>
    </row>
    <row r="383">
      <c r="A383" s="111"/>
      <c r="B383" s="28"/>
      <c r="E383" s="2"/>
      <c r="F383" s="2"/>
      <c r="G383" s="96"/>
      <c r="H383" s="96"/>
      <c r="I383" s="57"/>
      <c r="J383" s="112"/>
      <c r="K383" s="96"/>
    </row>
    <row r="384">
      <c r="A384" s="111"/>
      <c r="B384" s="28"/>
      <c r="E384" s="2"/>
      <c r="F384" s="2"/>
      <c r="G384" s="96"/>
      <c r="H384" s="96"/>
      <c r="I384" s="57"/>
      <c r="J384" s="112"/>
      <c r="K384" s="96"/>
    </row>
    <row r="385">
      <c r="A385" s="111"/>
      <c r="B385" s="28"/>
      <c r="E385" s="2"/>
      <c r="F385" s="2"/>
      <c r="G385" s="96"/>
      <c r="H385" s="96"/>
      <c r="I385" s="57"/>
      <c r="J385" s="112"/>
      <c r="K385" s="96"/>
    </row>
    <row r="386">
      <c r="A386" s="111"/>
      <c r="B386" s="28"/>
      <c r="E386" s="2"/>
      <c r="F386" s="2"/>
      <c r="G386" s="96"/>
      <c r="H386" s="96"/>
      <c r="I386" s="57"/>
      <c r="J386" s="112"/>
      <c r="K386" s="96"/>
    </row>
    <row r="387">
      <c r="A387" s="111"/>
      <c r="B387" s="28"/>
      <c r="E387" s="2"/>
      <c r="F387" s="2"/>
      <c r="G387" s="96"/>
      <c r="H387" s="96"/>
      <c r="I387" s="57"/>
      <c r="J387" s="112"/>
      <c r="K387" s="96"/>
    </row>
    <row r="388">
      <c r="A388" s="111"/>
      <c r="B388" s="28"/>
      <c r="E388" s="2"/>
      <c r="F388" s="2"/>
      <c r="G388" s="96"/>
      <c r="H388" s="96"/>
      <c r="I388" s="57"/>
      <c r="J388" s="112"/>
      <c r="K388" s="96"/>
    </row>
    <row r="389">
      <c r="A389" s="111"/>
      <c r="B389" s="28"/>
      <c r="E389" s="2"/>
      <c r="F389" s="2"/>
      <c r="G389" s="96"/>
      <c r="H389" s="96"/>
      <c r="I389" s="57"/>
      <c r="J389" s="112"/>
      <c r="K389" s="96"/>
    </row>
    <row r="390">
      <c r="A390" s="111"/>
      <c r="B390" s="28"/>
      <c r="E390" s="2"/>
      <c r="F390" s="2"/>
      <c r="G390" s="96"/>
      <c r="H390" s="96"/>
      <c r="I390" s="57"/>
      <c r="J390" s="112"/>
      <c r="K390" s="96"/>
    </row>
    <row r="391">
      <c r="A391" s="111"/>
      <c r="B391" s="28"/>
      <c r="E391" s="2"/>
      <c r="F391" s="2"/>
      <c r="G391" s="96"/>
      <c r="H391" s="96"/>
      <c r="I391" s="57"/>
      <c r="J391" s="112"/>
      <c r="K391" s="96"/>
    </row>
    <row r="392">
      <c r="A392" s="111"/>
      <c r="B392" s="28"/>
      <c r="E392" s="2"/>
      <c r="F392" s="2"/>
      <c r="G392" s="96"/>
      <c r="H392" s="96"/>
      <c r="I392" s="57"/>
      <c r="J392" s="112"/>
      <c r="K392" s="96"/>
    </row>
    <row r="393">
      <c r="A393" s="111"/>
      <c r="B393" s="28"/>
      <c r="E393" s="2"/>
      <c r="F393" s="2"/>
      <c r="G393" s="96"/>
      <c r="H393" s="96"/>
      <c r="I393" s="57"/>
      <c r="J393" s="112"/>
      <c r="K393" s="96"/>
    </row>
    <row r="394">
      <c r="A394" s="111"/>
      <c r="B394" s="28"/>
      <c r="E394" s="2"/>
      <c r="F394" s="2"/>
      <c r="G394" s="96"/>
      <c r="H394" s="96"/>
      <c r="I394" s="57"/>
      <c r="J394" s="112"/>
      <c r="K394" s="96"/>
    </row>
    <row r="395">
      <c r="A395" s="111"/>
      <c r="B395" s="28"/>
      <c r="E395" s="2"/>
      <c r="F395" s="2"/>
      <c r="G395" s="96"/>
      <c r="H395" s="96"/>
      <c r="I395" s="57"/>
      <c r="J395" s="112"/>
      <c r="K395" s="96"/>
    </row>
    <row r="396">
      <c r="A396" s="111"/>
      <c r="B396" s="28"/>
      <c r="E396" s="2"/>
      <c r="F396" s="2"/>
      <c r="G396" s="96"/>
      <c r="H396" s="96"/>
      <c r="I396" s="57"/>
      <c r="J396" s="112"/>
      <c r="K396" s="96"/>
    </row>
    <row r="397">
      <c r="A397" s="111"/>
      <c r="B397" s="28"/>
      <c r="E397" s="2"/>
      <c r="F397" s="2"/>
      <c r="G397" s="96"/>
      <c r="H397" s="96"/>
      <c r="I397" s="57"/>
      <c r="J397" s="112"/>
      <c r="K397" s="96"/>
    </row>
    <row r="398">
      <c r="A398" s="111"/>
      <c r="B398" s="28"/>
      <c r="E398" s="2"/>
      <c r="F398" s="2"/>
      <c r="G398" s="96"/>
      <c r="H398" s="96"/>
      <c r="I398" s="57"/>
      <c r="J398" s="112"/>
      <c r="K398" s="96"/>
    </row>
    <row r="399">
      <c r="A399" s="111"/>
      <c r="B399" s="28"/>
      <c r="E399" s="2"/>
      <c r="F399" s="2"/>
      <c r="G399" s="96"/>
      <c r="H399" s="96"/>
      <c r="I399" s="57"/>
      <c r="J399" s="112"/>
      <c r="K399" s="96"/>
    </row>
    <row r="400">
      <c r="A400" s="111"/>
      <c r="B400" s="28"/>
      <c r="E400" s="2"/>
      <c r="F400" s="2"/>
      <c r="G400" s="96"/>
      <c r="H400" s="96"/>
      <c r="I400" s="57"/>
      <c r="J400" s="112"/>
      <c r="K400" s="96"/>
    </row>
    <row r="401">
      <c r="A401" s="111"/>
      <c r="B401" s="28"/>
      <c r="E401" s="2"/>
      <c r="F401" s="2"/>
      <c r="G401" s="96"/>
      <c r="H401" s="96"/>
      <c r="I401" s="57"/>
      <c r="J401" s="112"/>
      <c r="K401" s="96"/>
    </row>
    <row r="402">
      <c r="A402" s="111"/>
      <c r="B402" s="28"/>
      <c r="E402" s="2"/>
      <c r="F402" s="2"/>
      <c r="G402" s="96"/>
      <c r="H402" s="96"/>
      <c r="I402" s="57"/>
      <c r="J402" s="112"/>
      <c r="K402" s="96"/>
    </row>
    <row r="403">
      <c r="A403" s="111"/>
      <c r="B403" s="28"/>
      <c r="E403" s="2"/>
      <c r="F403" s="2"/>
      <c r="G403" s="96"/>
      <c r="H403" s="96"/>
      <c r="I403" s="57"/>
      <c r="J403" s="112"/>
      <c r="K403" s="96"/>
    </row>
    <row r="404">
      <c r="A404" s="111"/>
      <c r="B404" s="28"/>
      <c r="E404" s="2"/>
      <c r="F404" s="2"/>
      <c r="G404" s="96"/>
      <c r="H404" s="96"/>
      <c r="I404" s="57"/>
      <c r="J404" s="112"/>
      <c r="K404" s="96"/>
    </row>
    <row r="405">
      <c r="A405" s="111"/>
      <c r="B405" s="28"/>
      <c r="E405" s="2"/>
      <c r="F405" s="2"/>
      <c r="G405" s="96"/>
      <c r="H405" s="96"/>
      <c r="I405" s="57"/>
      <c r="J405" s="112"/>
      <c r="K405" s="96"/>
    </row>
    <row r="406">
      <c r="A406" s="111"/>
      <c r="B406" s="28"/>
      <c r="E406" s="2"/>
      <c r="F406" s="2"/>
      <c r="G406" s="96"/>
      <c r="H406" s="96"/>
      <c r="I406" s="57"/>
      <c r="J406" s="112"/>
      <c r="K406" s="96"/>
    </row>
    <row r="407">
      <c r="A407" s="111"/>
      <c r="B407" s="28"/>
      <c r="E407" s="2"/>
      <c r="F407" s="2"/>
      <c r="G407" s="96"/>
      <c r="H407" s="96"/>
      <c r="I407" s="57"/>
      <c r="J407" s="112"/>
      <c r="K407" s="96"/>
    </row>
    <row r="408">
      <c r="A408" s="111"/>
      <c r="B408" s="28"/>
      <c r="E408" s="2"/>
      <c r="F408" s="2"/>
      <c r="G408" s="96"/>
      <c r="H408" s="96"/>
      <c r="I408" s="57"/>
      <c r="J408" s="112"/>
      <c r="K408" s="96"/>
    </row>
    <row r="409">
      <c r="A409" s="111"/>
      <c r="B409" s="28"/>
      <c r="E409" s="2"/>
      <c r="F409" s="2"/>
      <c r="G409" s="96"/>
      <c r="H409" s="96"/>
      <c r="I409" s="57"/>
      <c r="J409" s="112"/>
      <c r="K409" s="96"/>
    </row>
    <row r="410">
      <c r="A410" s="111"/>
      <c r="B410" s="28"/>
      <c r="E410" s="2"/>
      <c r="F410" s="2"/>
      <c r="G410" s="96"/>
      <c r="H410" s="96"/>
      <c r="I410" s="57"/>
      <c r="J410" s="112"/>
      <c r="K410" s="96"/>
    </row>
    <row r="411">
      <c r="A411" s="111"/>
      <c r="B411" s="28"/>
      <c r="E411" s="2"/>
      <c r="F411" s="2"/>
      <c r="G411" s="96"/>
      <c r="H411" s="96"/>
      <c r="I411" s="57"/>
      <c r="J411" s="112"/>
      <c r="K411" s="96"/>
    </row>
    <row r="412">
      <c r="A412" s="111"/>
      <c r="B412" s="28"/>
      <c r="E412" s="2"/>
      <c r="F412" s="2"/>
      <c r="G412" s="96"/>
      <c r="H412" s="96"/>
      <c r="I412" s="57"/>
      <c r="J412" s="112"/>
      <c r="K412" s="96"/>
    </row>
    <row r="413">
      <c r="A413" s="111"/>
      <c r="B413" s="28"/>
      <c r="E413" s="2"/>
      <c r="F413" s="2"/>
      <c r="G413" s="96"/>
      <c r="H413" s="96"/>
      <c r="I413" s="57"/>
      <c r="J413" s="112"/>
      <c r="K413" s="96"/>
    </row>
    <row r="414">
      <c r="A414" s="111"/>
      <c r="B414" s="28"/>
      <c r="E414" s="2"/>
      <c r="F414" s="2"/>
      <c r="G414" s="96"/>
      <c r="H414" s="96"/>
      <c r="I414" s="57"/>
      <c r="J414" s="112"/>
      <c r="K414" s="96"/>
    </row>
    <row r="415">
      <c r="A415" s="111"/>
      <c r="B415" s="28"/>
      <c r="E415" s="2"/>
      <c r="F415" s="2"/>
      <c r="G415" s="96"/>
      <c r="H415" s="96"/>
      <c r="I415" s="57"/>
      <c r="J415" s="112"/>
      <c r="K415" s="96"/>
    </row>
    <row r="416">
      <c r="A416" s="111"/>
      <c r="B416" s="28"/>
      <c r="E416" s="2"/>
      <c r="F416" s="2"/>
      <c r="G416" s="96"/>
      <c r="H416" s="96"/>
      <c r="I416" s="57"/>
      <c r="J416" s="112"/>
      <c r="K416" s="96"/>
    </row>
    <row r="417">
      <c r="A417" s="111"/>
      <c r="B417" s="28"/>
      <c r="E417" s="2"/>
      <c r="F417" s="2"/>
      <c r="G417" s="96"/>
      <c r="H417" s="96"/>
      <c r="I417" s="57"/>
      <c r="J417" s="112"/>
      <c r="K417" s="96"/>
    </row>
    <row r="418">
      <c r="A418" s="111"/>
      <c r="B418" s="28"/>
      <c r="E418" s="2"/>
      <c r="F418" s="2"/>
      <c r="G418" s="96"/>
      <c r="H418" s="96"/>
      <c r="I418" s="57"/>
      <c r="J418" s="112"/>
      <c r="K418" s="96"/>
    </row>
    <row r="419">
      <c r="A419" s="111"/>
      <c r="B419" s="28"/>
      <c r="E419" s="2"/>
      <c r="F419" s="2"/>
      <c r="G419" s="96"/>
      <c r="H419" s="96"/>
      <c r="I419" s="57"/>
      <c r="J419" s="112"/>
      <c r="K419" s="96"/>
    </row>
    <row r="420">
      <c r="A420" s="111"/>
      <c r="B420" s="28"/>
      <c r="E420" s="2"/>
      <c r="F420" s="2"/>
      <c r="G420" s="96"/>
      <c r="H420" s="96"/>
      <c r="I420" s="57"/>
      <c r="J420" s="112"/>
      <c r="K420" s="96"/>
    </row>
    <row r="421">
      <c r="A421" s="111"/>
      <c r="B421" s="28"/>
      <c r="E421" s="2"/>
      <c r="F421" s="2"/>
      <c r="G421" s="96"/>
      <c r="H421" s="96"/>
      <c r="I421" s="57"/>
      <c r="J421" s="112"/>
      <c r="K421" s="96"/>
    </row>
    <row r="422">
      <c r="A422" s="111"/>
      <c r="B422" s="28"/>
      <c r="E422" s="2"/>
      <c r="F422" s="2"/>
      <c r="G422" s="96"/>
      <c r="H422" s="96"/>
      <c r="I422" s="57"/>
      <c r="J422" s="112"/>
      <c r="K422" s="96"/>
    </row>
    <row r="423">
      <c r="A423" s="111"/>
      <c r="B423" s="28"/>
      <c r="E423" s="2"/>
      <c r="F423" s="2"/>
      <c r="G423" s="96"/>
      <c r="H423" s="96"/>
      <c r="I423" s="57"/>
      <c r="J423" s="112"/>
      <c r="K423" s="96"/>
    </row>
    <row r="424">
      <c r="A424" s="111"/>
      <c r="B424" s="28"/>
      <c r="E424" s="2"/>
      <c r="F424" s="2"/>
      <c r="G424" s="96"/>
      <c r="H424" s="96"/>
      <c r="I424" s="57"/>
      <c r="J424" s="112"/>
      <c r="K424" s="96"/>
    </row>
    <row r="425">
      <c r="A425" s="111"/>
      <c r="B425" s="28"/>
      <c r="E425" s="2"/>
      <c r="F425" s="2"/>
      <c r="G425" s="96"/>
      <c r="H425" s="96"/>
      <c r="I425" s="57"/>
      <c r="J425" s="112"/>
      <c r="K425" s="96"/>
    </row>
    <row r="426">
      <c r="A426" s="111"/>
      <c r="B426" s="28"/>
      <c r="E426" s="2"/>
      <c r="F426" s="2"/>
      <c r="G426" s="96"/>
      <c r="H426" s="96"/>
      <c r="I426" s="57"/>
      <c r="J426" s="112"/>
      <c r="K426" s="96"/>
    </row>
    <row r="427">
      <c r="A427" s="111"/>
      <c r="B427" s="28"/>
      <c r="E427" s="2"/>
      <c r="F427" s="2"/>
      <c r="G427" s="96"/>
      <c r="H427" s="96"/>
      <c r="I427" s="57"/>
      <c r="J427" s="112"/>
      <c r="K427" s="96"/>
    </row>
    <row r="428">
      <c r="A428" s="111"/>
      <c r="B428" s="28"/>
      <c r="E428" s="2"/>
      <c r="F428" s="2"/>
      <c r="G428" s="96"/>
      <c r="H428" s="96"/>
      <c r="I428" s="57"/>
      <c r="J428" s="112"/>
      <c r="K428" s="96"/>
    </row>
    <row r="429">
      <c r="A429" s="111"/>
      <c r="B429" s="28"/>
      <c r="E429" s="2"/>
      <c r="F429" s="2"/>
      <c r="G429" s="96"/>
      <c r="H429" s="96"/>
      <c r="I429" s="57"/>
      <c r="J429" s="112"/>
      <c r="K429" s="96"/>
    </row>
    <row r="430">
      <c r="A430" s="111"/>
      <c r="B430" s="28"/>
      <c r="E430" s="2"/>
      <c r="F430" s="2"/>
      <c r="G430" s="96"/>
      <c r="H430" s="96"/>
      <c r="I430" s="57"/>
      <c r="J430" s="112"/>
      <c r="K430" s="96"/>
    </row>
    <row r="431">
      <c r="A431" s="111"/>
      <c r="B431" s="28"/>
      <c r="E431" s="2"/>
      <c r="F431" s="2"/>
      <c r="G431" s="96"/>
      <c r="H431" s="96"/>
      <c r="I431" s="57"/>
      <c r="J431" s="112"/>
      <c r="K431" s="96"/>
    </row>
    <row r="432">
      <c r="A432" s="111"/>
      <c r="B432" s="28"/>
      <c r="E432" s="2"/>
      <c r="F432" s="2"/>
      <c r="G432" s="96"/>
      <c r="H432" s="96"/>
      <c r="I432" s="57"/>
      <c r="J432" s="112"/>
      <c r="K432" s="96"/>
    </row>
    <row r="433">
      <c r="A433" s="111"/>
      <c r="B433" s="28"/>
      <c r="E433" s="2"/>
      <c r="F433" s="2"/>
      <c r="G433" s="96"/>
      <c r="H433" s="96"/>
      <c r="I433" s="57"/>
      <c r="J433" s="112"/>
      <c r="K433" s="96"/>
    </row>
    <row r="434">
      <c r="A434" s="111"/>
      <c r="B434" s="28"/>
      <c r="E434" s="2"/>
      <c r="F434" s="2"/>
      <c r="G434" s="96"/>
      <c r="H434" s="96"/>
      <c r="I434" s="57"/>
      <c r="J434" s="112"/>
      <c r="K434" s="96"/>
    </row>
    <row r="435">
      <c r="A435" s="111"/>
      <c r="B435" s="28"/>
      <c r="E435" s="2"/>
      <c r="F435" s="2"/>
      <c r="G435" s="96"/>
      <c r="H435" s="96"/>
      <c r="I435" s="57"/>
      <c r="J435" s="112"/>
      <c r="K435" s="96"/>
    </row>
    <row r="436">
      <c r="A436" s="111"/>
      <c r="B436" s="28"/>
      <c r="E436" s="2"/>
      <c r="F436" s="2"/>
      <c r="G436" s="96"/>
      <c r="H436" s="96"/>
      <c r="I436" s="57"/>
      <c r="J436" s="112"/>
      <c r="K436" s="96"/>
    </row>
    <row r="437">
      <c r="A437" s="111"/>
      <c r="B437" s="28"/>
      <c r="E437" s="2"/>
      <c r="F437" s="2"/>
      <c r="G437" s="96"/>
      <c r="H437" s="96"/>
      <c r="I437" s="57"/>
      <c r="J437" s="112"/>
      <c r="K437" s="96"/>
    </row>
    <row r="438">
      <c r="A438" s="111"/>
      <c r="B438" s="28"/>
      <c r="E438" s="2"/>
      <c r="F438" s="2"/>
      <c r="G438" s="96"/>
      <c r="H438" s="96"/>
      <c r="I438" s="57"/>
      <c r="J438" s="112"/>
      <c r="K438" s="96"/>
    </row>
    <row r="439">
      <c r="A439" s="111"/>
      <c r="B439" s="28"/>
      <c r="E439" s="2"/>
      <c r="F439" s="2"/>
      <c r="G439" s="96"/>
      <c r="H439" s="96"/>
      <c r="I439" s="57"/>
      <c r="J439" s="112"/>
      <c r="K439" s="96"/>
    </row>
    <row r="440">
      <c r="A440" s="111"/>
      <c r="B440" s="28"/>
      <c r="E440" s="2"/>
      <c r="F440" s="2"/>
      <c r="G440" s="96"/>
      <c r="H440" s="96"/>
      <c r="I440" s="57"/>
      <c r="J440" s="112"/>
      <c r="K440" s="96"/>
    </row>
    <row r="441">
      <c r="A441" s="111"/>
      <c r="B441" s="28"/>
      <c r="E441" s="2"/>
      <c r="F441" s="2"/>
      <c r="G441" s="96"/>
      <c r="H441" s="96"/>
      <c r="I441" s="57"/>
      <c r="J441" s="112"/>
      <c r="K441" s="96"/>
    </row>
    <row r="442">
      <c r="A442" s="111"/>
      <c r="B442" s="28"/>
      <c r="E442" s="2"/>
      <c r="F442" s="2"/>
      <c r="G442" s="96"/>
      <c r="H442" s="96"/>
      <c r="I442" s="57"/>
      <c r="J442" s="112"/>
      <c r="K442" s="96"/>
    </row>
    <row r="443">
      <c r="A443" s="111"/>
      <c r="B443" s="28"/>
      <c r="E443" s="2"/>
      <c r="F443" s="2"/>
      <c r="G443" s="96"/>
      <c r="H443" s="96"/>
      <c r="I443" s="57"/>
      <c r="J443" s="112"/>
      <c r="K443" s="96"/>
    </row>
    <row r="444">
      <c r="A444" s="111"/>
      <c r="B444" s="28"/>
      <c r="E444" s="2"/>
      <c r="F444" s="2"/>
      <c r="G444" s="96"/>
      <c r="H444" s="96"/>
      <c r="I444" s="57"/>
      <c r="J444" s="112"/>
      <c r="K444" s="96"/>
    </row>
    <row r="445">
      <c r="A445" s="111"/>
      <c r="B445" s="28"/>
      <c r="E445" s="2"/>
      <c r="F445" s="2"/>
      <c r="G445" s="96"/>
      <c r="H445" s="96"/>
      <c r="I445" s="57"/>
      <c r="J445" s="112"/>
      <c r="K445" s="96"/>
    </row>
    <row r="446">
      <c r="A446" s="111"/>
      <c r="B446" s="28"/>
      <c r="E446" s="2"/>
      <c r="F446" s="2"/>
      <c r="G446" s="96"/>
      <c r="H446" s="96"/>
      <c r="I446" s="57"/>
      <c r="J446" s="112"/>
      <c r="K446" s="96"/>
    </row>
    <row r="447">
      <c r="A447" s="111"/>
      <c r="B447" s="28"/>
      <c r="E447" s="2"/>
      <c r="F447" s="2"/>
      <c r="G447" s="96"/>
      <c r="H447" s="96"/>
      <c r="I447" s="57"/>
      <c r="J447" s="112"/>
      <c r="K447" s="96"/>
    </row>
    <row r="448">
      <c r="A448" s="111"/>
      <c r="B448" s="28"/>
      <c r="E448" s="2"/>
      <c r="F448" s="2"/>
      <c r="G448" s="96"/>
      <c r="H448" s="96"/>
      <c r="I448" s="57"/>
      <c r="J448" s="112"/>
      <c r="K448" s="96"/>
    </row>
    <row r="449">
      <c r="A449" s="111"/>
      <c r="B449" s="28"/>
      <c r="E449" s="2"/>
      <c r="F449" s="2"/>
      <c r="G449" s="96"/>
      <c r="H449" s="96"/>
      <c r="I449" s="57"/>
      <c r="J449" s="112"/>
      <c r="K449" s="96"/>
    </row>
    <row r="450">
      <c r="A450" s="111"/>
      <c r="B450" s="28"/>
      <c r="E450" s="2"/>
      <c r="F450" s="2"/>
      <c r="G450" s="96"/>
      <c r="H450" s="96"/>
      <c r="I450" s="57"/>
      <c r="J450" s="112"/>
      <c r="K450" s="96"/>
    </row>
    <row r="451">
      <c r="A451" s="111"/>
      <c r="B451" s="28"/>
      <c r="E451" s="2"/>
      <c r="F451" s="2"/>
      <c r="G451" s="96"/>
      <c r="H451" s="96"/>
      <c r="I451" s="57"/>
      <c r="J451" s="112"/>
      <c r="K451" s="96"/>
    </row>
    <row r="452">
      <c r="A452" s="111"/>
      <c r="B452" s="28"/>
      <c r="E452" s="2"/>
      <c r="F452" s="2"/>
      <c r="G452" s="96"/>
      <c r="H452" s="96"/>
      <c r="I452" s="57"/>
      <c r="J452" s="112"/>
      <c r="K452" s="96"/>
    </row>
    <row r="453">
      <c r="A453" s="111"/>
      <c r="B453" s="28"/>
      <c r="E453" s="2"/>
      <c r="F453" s="2"/>
      <c r="G453" s="96"/>
      <c r="H453" s="96"/>
      <c r="I453" s="57"/>
      <c r="J453" s="112"/>
      <c r="K453" s="96"/>
    </row>
    <row r="454">
      <c r="A454" s="111"/>
      <c r="B454" s="28"/>
      <c r="E454" s="2"/>
      <c r="F454" s="2"/>
      <c r="G454" s="96"/>
      <c r="H454" s="96"/>
      <c r="I454" s="57"/>
      <c r="J454" s="112"/>
      <c r="K454" s="96"/>
    </row>
    <row r="455">
      <c r="A455" s="111"/>
      <c r="B455" s="28"/>
      <c r="E455" s="2"/>
      <c r="F455" s="2"/>
      <c r="G455" s="96"/>
      <c r="H455" s="96"/>
      <c r="I455" s="57"/>
      <c r="J455" s="112"/>
      <c r="K455" s="96"/>
    </row>
    <row r="456">
      <c r="A456" s="111"/>
      <c r="B456" s="28"/>
      <c r="E456" s="2"/>
      <c r="F456" s="2"/>
      <c r="G456" s="96"/>
      <c r="H456" s="96"/>
      <c r="I456" s="57"/>
      <c r="J456" s="112"/>
      <c r="K456" s="96"/>
    </row>
    <row r="457">
      <c r="A457" s="111"/>
      <c r="B457" s="28"/>
      <c r="E457" s="2"/>
      <c r="F457" s="2"/>
      <c r="G457" s="96"/>
      <c r="H457" s="96"/>
      <c r="I457" s="57"/>
      <c r="J457" s="112"/>
      <c r="K457" s="96"/>
    </row>
    <row r="458">
      <c r="A458" s="111"/>
      <c r="B458" s="28"/>
      <c r="E458" s="2"/>
      <c r="F458" s="2"/>
      <c r="G458" s="96"/>
      <c r="H458" s="96"/>
      <c r="I458" s="57"/>
      <c r="J458" s="112"/>
      <c r="K458" s="96"/>
    </row>
    <row r="459">
      <c r="A459" s="111"/>
      <c r="B459" s="28"/>
      <c r="E459" s="2"/>
      <c r="F459" s="2"/>
      <c r="G459" s="96"/>
      <c r="H459" s="96"/>
      <c r="I459" s="57"/>
      <c r="J459" s="112"/>
      <c r="K459" s="96"/>
    </row>
    <row r="460">
      <c r="A460" s="111"/>
      <c r="B460" s="28"/>
      <c r="E460" s="2"/>
      <c r="F460" s="2"/>
      <c r="G460" s="96"/>
      <c r="H460" s="96"/>
      <c r="I460" s="57"/>
      <c r="J460" s="112"/>
      <c r="K460" s="96"/>
    </row>
    <row r="461">
      <c r="A461" s="111"/>
      <c r="B461" s="28"/>
      <c r="E461" s="2"/>
      <c r="F461" s="2"/>
      <c r="G461" s="96"/>
      <c r="H461" s="96"/>
      <c r="I461" s="57"/>
      <c r="J461" s="112"/>
      <c r="K461" s="96"/>
    </row>
    <row r="462">
      <c r="A462" s="111"/>
      <c r="B462" s="28"/>
      <c r="E462" s="2"/>
      <c r="F462" s="2"/>
      <c r="G462" s="96"/>
      <c r="H462" s="96"/>
      <c r="I462" s="57"/>
      <c r="J462" s="112"/>
      <c r="K462" s="96"/>
    </row>
    <row r="463">
      <c r="A463" s="111"/>
      <c r="B463" s="28"/>
      <c r="E463" s="2"/>
      <c r="F463" s="2"/>
      <c r="G463" s="96"/>
      <c r="H463" s="96"/>
      <c r="I463" s="57"/>
      <c r="J463" s="112"/>
      <c r="K463" s="96"/>
    </row>
    <row r="464">
      <c r="A464" s="111"/>
      <c r="B464" s="28"/>
      <c r="E464" s="2"/>
      <c r="F464" s="2"/>
      <c r="G464" s="96"/>
      <c r="H464" s="96"/>
      <c r="I464" s="57"/>
      <c r="J464" s="112"/>
      <c r="K464" s="96"/>
    </row>
    <row r="465">
      <c r="A465" s="111"/>
      <c r="B465" s="28"/>
      <c r="E465" s="2"/>
      <c r="F465" s="2"/>
      <c r="G465" s="96"/>
      <c r="H465" s="96"/>
      <c r="I465" s="57"/>
      <c r="J465" s="112"/>
      <c r="K465" s="96"/>
    </row>
    <row r="466">
      <c r="A466" s="111"/>
      <c r="B466" s="28"/>
      <c r="E466" s="2"/>
      <c r="F466" s="2"/>
      <c r="G466" s="96"/>
      <c r="H466" s="96"/>
      <c r="I466" s="57"/>
      <c r="J466" s="112"/>
      <c r="K466" s="96"/>
    </row>
    <row r="467">
      <c r="A467" s="111"/>
      <c r="B467" s="28"/>
      <c r="E467" s="2"/>
      <c r="F467" s="2"/>
      <c r="G467" s="96"/>
      <c r="H467" s="96"/>
      <c r="I467" s="57"/>
      <c r="J467" s="112"/>
      <c r="K467" s="96"/>
    </row>
    <row r="468">
      <c r="A468" s="111"/>
      <c r="B468" s="28"/>
      <c r="E468" s="2"/>
      <c r="F468" s="2"/>
      <c r="G468" s="96"/>
      <c r="H468" s="96"/>
      <c r="I468" s="57"/>
      <c r="J468" s="112"/>
      <c r="K468" s="96"/>
    </row>
    <row r="469">
      <c r="A469" s="111"/>
      <c r="B469" s="28"/>
      <c r="E469" s="2"/>
      <c r="F469" s="2"/>
      <c r="G469" s="96"/>
      <c r="H469" s="96"/>
      <c r="I469" s="57"/>
      <c r="J469" s="112"/>
      <c r="K469" s="96"/>
    </row>
    <row r="470">
      <c r="A470" s="111"/>
      <c r="B470" s="28"/>
      <c r="E470" s="2"/>
      <c r="F470" s="2"/>
      <c r="G470" s="96"/>
      <c r="H470" s="96"/>
      <c r="I470" s="57"/>
      <c r="J470" s="112"/>
      <c r="K470" s="96"/>
    </row>
    <row r="471">
      <c r="A471" s="111"/>
      <c r="B471" s="28"/>
      <c r="E471" s="2"/>
      <c r="F471" s="2"/>
      <c r="G471" s="96"/>
      <c r="H471" s="96"/>
      <c r="I471" s="57"/>
      <c r="J471" s="112"/>
      <c r="K471" s="96"/>
    </row>
    <row r="472">
      <c r="A472" s="111"/>
      <c r="B472" s="28"/>
      <c r="E472" s="2"/>
      <c r="F472" s="2"/>
      <c r="G472" s="96"/>
      <c r="H472" s="96"/>
      <c r="I472" s="57"/>
      <c r="J472" s="112"/>
      <c r="K472" s="96"/>
    </row>
    <row r="473">
      <c r="A473" s="111"/>
      <c r="B473" s="28"/>
      <c r="E473" s="2"/>
      <c r="F473" s="2"/>
      <c r="G473" s="96"/>
      <c r="H473" s="96"/>
      <c r="I473" s="57"/>
      <c r="J473" s="112"/>
      <c r="K473" s="96"/>
    </row>
    <row r="474">
      <c r="A474" s="111"/>
      <c r="B474" s="28"/>
      <c r="E474" s="2"/>
      <c r="F474" s="2"/>
      <c r="G474" s="96"/>
      <c r="H474" s="96"/>
      <c r="I474" s="57"/>
      <c r="J474" s="112"/>
      <c r="K474" s="96"/>
    </row>
    <row r="475">
      <c r="A475" s="111"/>
      <c r="B475" s="28"/>
      <c r="E475" s="2"/>
      <c r="F475" s="2"/>
      <c r="G475" s="96"/>
      <c r="H475" s="96"/>
      <c r="I475" s="57"/>
      <c r="J475" s="112"/>
      <c r="K475" s="96"/>
    </row>
    <row r="476">
      <c r="A476" s="111"/>
      <c r="B476" s="28"/>
      <c r="E476" s="2"/>
      <c r="F476" s="2"/>
      <c r="G476" s="96"/>
      <c r="H476" s="96"/>
      <c r="I476" s="57"/>
      <c r="J476" s="112"/>
      <c r="K476" s="96"/>
    </row>
    <row r="477">
      <c r="A477" s="111"/>
      <c r="B477" s="28"/>
      <c r="E477" s="2"/>
      <c r="F477" s="2"/>
      <c r="G477" s="96"/>
      <c r="H477" s="96"/>
      <c r="I477" s="57"/>
      <c r="J477" s="112"/>
      <c r="K477" s="96"/>
    </row>
    <row r="478">
      <c r="A478" s="111"/>
      <c r="B478" s="28"/>
      <c r="E478" s="2"/>
      <c r="F478" s="2"/>
      <c r="G478" s="96"/>
      <c r="H478" s="96"/>
      <c r="I478" s="57"/>
      <c r="J478" s="112"/>
      <c r="K478" s="96"/>
    </row>
    <row r="479">
      <c r="A479" s="111"/>
      <c r="B479" s="28"/>
      <c r="E479" s="2"/>
      <c r="F479" s="2"/>
      <c r="G479" s="96"/>
      <c r="H479" s="96"/>
      <c r="I479" s="57"/>
      <c r="J479" s="112"/>
      <c r="K479" s="96"/>
    </row>
    <row r="480">
      <c r="A480" s="111"/>
      <c r="B480" s="28"/>
      <c r="E480" s="2"/>
      <c r="F480" s="2"/>
      <c r="G480" s="96"/>
      <c r="H480" s="96"/>
      <c r="I480" s="57"/>
      <c r="J480" s="112"/>
      <c r="K480" s="96"/>
    </row>
    <row r="481">
      <c r="A481" s="111"/>
      <c r="B481" s="28"/>
      <c r="E481" s="2"/>
      <c r="F481" s="2"/>
      <c r="G481" s="96"/>
      <c r="H481" s="96"/>
      <c r="I481" s="57"/>
      <c r="J481" s="112"/>
      <c r="K481" s="96"/>
    </row>
    <row r="482">
      <c r="A482" s="111"/>
      <c r="B482" s="28"/>
      <c r="E482" s="2"/>
      <c r="F482" s="2"/>
      <c r="G482" s="96"/>
      <c r="H482" s="96"/>
      <c r="I482" s="57"/>
      <c r="J482" s="112"/>
      <c r="K482" s="96"/>
    </row>
    <row r="483">
      <c r="A483" s="111"/>
      <c r="B483" s="28"/>
      <c r="E483" s="2"/>
      <c r="F483" s="2"/>
      <c r="G483" s="96"/>
      <c r="H483" s="96"/>
      <c r="I483" s="57"/>
      <c r="J483" s="112"/>
      <c r="K483" s="96"/>
    </row>
    <row r="484">
      <c r="A484" s="111"/>
      <c r="B484" s="28"/>
      <c r="E484" s="2"/>
      <c r="F484" s="2"/>
      <c r="G484" s="96"/>
      <c r="H484" s="96"/>
      <c r="I484" s="57"/>
      <c r="J484" s="112"/>
      <c r="K484" s="96"/>
    </row>
    <row r="485">
      <c r="A485" s="111"/>
      <c r="B485" s="28"/>
      <c r="E485" s="2"/>
      <c r="F485" s="2"/>
      <c r="G485" s="96"/>
      <c r="H485" s="96"/>
      <c r="I485" s="57"/>
      <c r="J485" s="112"/>
      <c r="K485" s="96"/>
    </row>
    <row r="486">
      <c r="A486" s="111"/>
      <c r="B486" s="28"/>
      <c r="E486" s="2"/>
      <c r="F486" s="2"/>
      <c r="G486" s="96"/>
      <c r="H486" s="96"/>
      <c r="I486" s="57"/>
      <c r="J486" s="112"/>
      <c r="K486" s="96"/>
    </row>
    <row r="487">
      <c r="A487" s="111"/>
      <c r="B487" s="28"/>
      <c r="E487" s="2"/>
      <c r="F487" s="2"/>
      <c r="G487" s="96"/>
      <c r="H487" s="96"/>
      <c r="I487" s="57"/>
      <c r="J487" s="112"/>
      <c r="K487" s="96"/>
    </row>
    <row r="488">
      <c r="A488" s="111"/>
      <c r="B488" s="28"/>
      <c r="E488" s="2"/>
      <c r="F488" s="2"/>
      <c r="G488" s="96"/>
      <c r="H488" s="96"/>
      <c r="I488" s="57"/>
      <c r="J488" s="112"/>
      <c r="K488" s="96"/>
    </row>
    <row r="489">
      <c r="A489" s="111"/>
      <c r="B489" s="28"/>
      <c r="E489" s="2"/>
      <c r="F489" s="2"/>
      <c r="G489" s="96"/>
      <c r="H489" s="96"/>
      <c r="I489" s="57"/>
      <c r="J489" s="112"/>
      <c r="K489" s="96"/>
    </row>
    <row r="490">
      <c r="A490" s="111"/>
      <c r="B490" s="28"/>
      <c r="E490" s="2"/>
      <c r="F490" s="2"/>
      <c r="G490" s="96"/>
      <c r="H490" s="96"/>
      <c r="I490" s="57"/>
      <c r="J490" s="112"/>
      <c r="K490" s="96"/>
    </row>
    <row r="491">
      <c r="A491" s="111"/>
      <c r="B491" s="28"/>
      <c r="E491" s="2"/>
      <c r="F491" s="2"/>
      <c r="G491" s="96"/>
      <c r="H491" s="96"/>
      <c r="I491" s="57"/>
      <c r="J491" s="112"/>
      <c r="K491" s="96"/>
    </row>
    <row r="492">
      <c r="A492" s="111"/>
      <c r="B492" s="28"/>
      <c r="E492" s="2"/>
      <c r="F492" s="2"/>
      <c r="G492" s="96"/>
      <c r="H492" s="96"/>
      <c r="I492" s="57"/>
      <c r="J492" s="112"/>
      <c r="K492" s="96"/>
    </row>
    <row r="493">
      <c r="A493" s="111"/>
      <c r="B493" s="28"/>
      <c r="E493" s="2"/>
      <c r="F493" s="2"/>
      <c r="G493" s="96"/>
      <c r="H493" s="96"/>
      <c r="I493" s="57"/>
      <c r="J493" s="112"/>
      <c r="K493" s="96"/>
    </row>
    <row r="494">
      <c r="A494" s="111"/>
      <c r="B494" s="28"/>
      <c r="E494" s="2"/>
      <c r="F494" s="2"/>
      <c r="G494" s="96"/>
      <c r="H494" s="96"/>
      <c r="I494" s="57"/>
      <c r="J494" s="112"/>
      <c r="K494" s="96"/>
    </row>
    <row r="495">
      <c r="A495" s="111"/>
      <c r="B495" s="28"/>
      <c r="E495" s="2"/>
      <c r="F495" s="2"/>
      <c r="G495" s="96"/>
      <c r="H495" s="96"/>
      <c r="I495" s="57"/>
      <c r="J495" s="112"/>
      <c r="K495" s="96"/>
    </row>
    <row r="496">
      <c r="A496" s="111"/>
      <c r="B496" s="28"/>
      <c r="E496" s="2"/>
      <c r="F496" s="2"/>
      <c r="G496" s="96"/>
      <c r="H496" s="96"/>
      <c r="I496" s="57"/>
      <c r="J496" s="112"/>
      <c r="K496" s="96"/>
    </row>
    <row r="497">
      <c r="A497" s="111"/>
      <c r="B497" s="28"/>
      <c r="E497" s="2"/>
      <c r="F497" s="2"/>
      <c r="G497" s="96"/>
      <c r="H497" s="96"/>
      <c r="I497" s="57"/>
      <c r="J497" s="112"/>
      <c r="K497" s="96"/>
    </row>
    <row r="498">
      <c r="A498" s="111"/>
      <c r="B498" s="28"/>
      <c r="E498" s="2"/>
      <c r="F498" s="2"/>
      <c r="G498" s="96"/>
      <c r="H498" s="96"/>
      <c r="I498" s="57"/>
      <c r="J498" s="112"/>
      <c r="K498" s="96"/>
    </row>
    <row r="499">
      <c r="A499" s="111"/>
      <c r="B499" s="28"/>
      <c r="E499" s="2"/>
      <c r="F499" s="2"/>
      <c r="G499" s="96"/>
      <c r="H499" s="96"/>
      <c r="I499" s="57"/>
      <c r="J499" s="112"/>
      <c r="K499" s="96"/>
    </row>
    <row r="500">
      <c r="A500" s="111"/>
      <c r="B500" s="28"/>
      <c r="E500" s="2"/>
      <c r="F500" s="2"/>
      <c r="G500" s="96"/>
      <c r="H500" s="96"/>
      <c r="I500" s="57"/>
      <c r="J500" s="112"/>
      <c r="K500" s="96"/>
    </row>
    <row r="501">
      <c r="A501" s="111"/>
      <c r="E501" s="2"/>
      <c r="F501" s="2"/>
      <c r="G501" s="96"/>
      <c r="H501" s="96"/>
      <c r="I501" s="57"/>
      <c r="J501" s="112"/>
      <c r="K501" s="96"/>
    </row>
    <row r="502">
      <c r="A502" s="111"/>
      <c r="E502" s="2"/>
      <c r="F502" s="2"/>
      <c r="G502" s="96"/>
      <c r="H502" s="96"/>
      <c r="I502" s="57"/>
      <c r="J502" s="112"/>
      <c r="K502" s="96"/>
    </row>
    <row r="503">
      <c r="A503" s="111"/>
      <c r="E503" s="2"/>
      <c r="F503" s="2"/>
      <c r="G503" s="96"/>
      <c r="H503" s="96"/>
      <c r="I503" s="57"/>
      <c r="J503" s="112"/>
      <c r="K503" s="96"/>
    </row>
    <row r="504">
      <c r="A504" s="111"/>
      <c r="E504" s="2"/>
      <c r="F504" s="2"/>
      <c r="G504" s="96"/>
      <c r="H504" s="96"/>
      <c r="I504" s="57"/>
      <c r="J504" s="112"/>
      <c r="K504" s="96"/>
    </row>
    <row r="505">
      <c r="A505" s="111"/>
      <c r="E505" s="2"/>
      <c r="F505" s="2"/>
      <c r="G505" s="96"/>
      <c r="H505" s="96"/>
      <c r="I505" s="57"/>
      <c r="J505" s="112"/>
      <c r="K505" s="96"/>
    </row>
    <row r="506">
      <c r="A506" s="111"/>
      <c r="E506" s="2"/>
      <c r="F506" s="2"/>
      <c r="G506" s="96"/>
      <c r="H506" s="96"/>
      <c r="I506" s="57"/>
      <c r="J506" s="112"/>
      <c r="K506" s="96"/>
    </row>
    <row r="507">
      <c r="A507" s="111"/>
      <c r="E507" s="2"/>
      <c r="F507" s="2"/>
      <c r="G507" s="96"/>
      <c r="H507" s="96"/>
      <c r="I507" s="57"/>
      <c r="J507" s="112"/>
      <c r="K507" s="96"/>
    </row>
    <row r="508">
      <c r="A508" s="111"/>
      <c r="E508" s="2"/>
      <c r="F508" s="2"/>
      <c r="G508" s="96"/>
      <c r="H508" s="96"/>
      <c r="I508" s="57"/>
      <c r="J508" s="112"/>
      <c r="K508" s="96"/>
    </row>
    <row r="509">
      <c r="A509" s="111"/>
      <c r="E509" s="2"/>
      <c r="F509" s="2"/>
      <c r="G509" s="96"/>
      <c r="H509" s="96"/>
      <c r="I509" s="57"/>
      <c r="J509" s="112"/>
      <c r="K509" s="96"/>
    </row>
    <row r="510">
      <c r="A510" s="111"/>
      <c r="E510" s="2"/>
      <c r="F510" s="2"/>
      <c r="G510" s="96"/>
      <c r="H510" s="96"/>
      <c r="I510" s="57"/>
      <c r="J510" s="112"/>
      <c r="K510" s="96"/>
    </row>
    <row r="511">
      <c r="A511" s="111"/>
      <c r="E511" s="2"/>
      <c r="F511" s="2"/>
      <c r="G511" s="96"/>
      <c r="H511" s="96"/>
      <c r="I511" s="57"/>
      <c r="J511" s="112"/>
      <c r="K511" s="96"/>
    </row>
    <row r="512">
      <c r="A512" s="111"/>
      <c r="E512" s="2"/>
      <c r="F512" s="2"/>
      <c r="G512" s="96"/>
      <c r="H512" s="96"/>
      <c r="I512" s="57"/>
      <c r="J512" s="112"/>
      <c r="K512" s="96"/>
    </row>
    <row r="513">
      <c r="A513" s="111"/>
      <c r="E513" s="2"/>
      <c r="F513" s="2"/>
      <c r="G513" s="96"/>
      <c r="H513" s="96"/>
      <c r="I513" s="57"/>
      <c r="J513" s="112"/>
      <c r="K513" s="96"/>
    </row>
    <row r="514">
      <c r="A514" s="111"/>
      <c r="E514" s="2"/>
      <c r="F514" s="2"/>
      <c r="G514" s="96"/>
      <c r="H514" s="96"/>
      <c r="I514" s="57"/>
      <c r="J514" s="112"/>
      <c r="K514" s="96"/>
    </row>
    <row r="515">
      <c r="A515" s="111"/>
      <c r="E515" s="2"/>
      <c r="F515" s="2"/>
      <c r="G515" s="96"/>
      <c r="H515" s="96"/>
      <c r="I515" s="57"/>
      <c r="J515" s="112"/>
      <c r="K515" s="96"/>
    </row>
    <row r="516">
      <c r="A516" s="111"/>
      <c r="E516" s="2"/>
      <c r="F516" s="2"/>
      <c r="G516" s="96"/>
      <c r="H516" s="96"/>
      <c r="I516" s="57"/>
      <c r="J516" s="112"/>
      <c r="K516" s="96"/>
    </row>
    <row r="517">
      <c r="A517" s="111"/>
      <c r="E517" s="2"/>
      <c r="F517" s="2"/>
      <c r="G517" s="96"/>
      <c r="H517" s="96"/>
      <c r="I517" s="57"/>
      <c r="J517" s="112"/>
      <c r="K517" s="96"/>
    </row>
    <row r="518">
      <c r="A518" s="111"/>
      <c r="E518" s="2"/>
      <c r="F518" s="2"/>
      <c r="G518" s="96"/>
      <c r="H518" s="96"/>
      <c r="I518" s="57"/>
      <c r="J518" s="112"/>
      <c r="K518" s="96"/>
    </row>
    <row r="519">
      <c r="A519" s="111"/>
      <c r="E519" s="2"/>
      <c r="F519" s="2"/>
      <c r="G519" s="96"/>
      <c r="H519" s="96"/>
      <c r="I519" s="57"/>
      <c r="J519" s="112"/>
      <c r="K519" s="96"/>
    </row>
    <row r="520">
      <c r="A520" s="111"/>
      <c r="E520" s="2"/>
      <c r="F520" s="2"/>
      <c r="G520" s="96"/>
      <c r="H520" s="96"/>
      <c r="I520" s="57"/>
      <c r="J520" s="112"/>
      <c r="K520" s="96"/>
    </row>
    <row r="521">
      <c r="A521" s="111"/>
      <c r="E521" s="2"/>
      <c r="F521" s="2"/>
      <c r="G521" s="96"/>
      <c r="H521" s="96"/>
      <c r="I521" s="57"/>
      <c r="J521" s="112"/>
      <c r="K521" s="96"/>
    </row>
    <row r="522">
      <c r="A522" s="111"/>
      <c r="E522" s="2"/>
      <c r="F522" s="2"/>
      <c r="G522" s="96"/>
      <c r="H522" s="96"/>
      <c r="I522" s="57"/>
      <c r="J522" s="112"/>
      <c r="K522" s="96"/>
    </row>
    <row r="523">
      <c r="A523" s="111"/>
      <c r="E523" s="2"/>
      <c r="F523" s="2"/>
      <c r="G523" s="96"/>
      <c r="H523" s="96"/>
      <c r="I523" s="57"/>
      <c r="J523" s="112"/>
      <c r="K523" s="96"/>
    </row>
    <row r="524">
      <c r="A524" s="111"/>
      <c r="E524" s="2"/>
      <c r="F524" s="2"/>
      <c r="G524" s="96"/>
      <c r="H524" s="96"/>
      <c r="I524" s="57"/>
      <c r="J524" s="112"/>
      <c r="K524" s="96"/>
    </row>
    <row r="525">
      <c r="A525" s="111"/>
      <c r="E525" s="2"/>
      <c r="F525" s="2"/>
      <c r="G525" s="96"/>
      <c r="H525" s="96"/>
      <c r="I525" s="57"/>
      <c r="J525" s="112"/>
      <c r="K525" s="96"/>
    </row>
    <row r="526">
      <c r="A526" s="111"/>
      <c r="E526" s="2"/>
      <c r="F526" s="2"/>
      <c r="G526" s="96"/>
      <c r="H526" s="96"/>
      <c r="I526" s="57"/>
      <c r="J526" s="112"/>
      <c r="K526" s="96"/>
    </row>
    <row r="527">
      <c r="A527" s="111"/>
      <c r="E527" s="2"/>
      <c r="F527" s="2"/>
      <c r="G527" s="96"/>
      <c r="H527" s="96"/>
      <c r="I527" s="57"/>
      <c r="J527" s="112"/>
      <c r="K527" s="96"/>
    </row>
    <row r="528">
      <c r="A528" s="111"/>
      <c r="E528" s="2"/>
      <c r="F528" s="2"/>
      <c r="G528" s="96"/>
      <c r="H528" s="96"/>
      <c r="I528" s="57"/>
      <c r="J528" s="112"/>
      <c r="K528" s="96"/>
    </row>
    <row r="529">
      <c r="A529" s="111"/>
      <c r="E529" s="2"/>
      <c r="F529" s="2"/>
      <c r="G529" s="96"/>
      <c r="H529" s="96"/>
      <c r="I529" s="57"/>
      <c r="J529" s="112"/>
      <c r="K529" s="96"/>
    </row>
    <row r="530">
      <c r="A530" s="111"/>
      <c r="E530" s="2"/>
      <c r="F530" s="2"/>
      <c r="G530" s="96"/>
      <c r="H530" s="96"/>
      <c r="I530" s="57"/>
      <c r="J530" s="112"/>
      <c r="K530" s="96"/>
    </row>
    <row r="531">
      <c r="A531" s="111"/>
      <c r="E531" s="2"/>
      <c r="F531" s="2"/>
      <c r="G531" s="96"/>
      <c r="H531" s="96"/>
      <c r="I531" s="57"/>
      <c r="J531" s="112"/>
      <c r="K531" s="96"/>
    </row>
    <row r="532">
      <c r="A532" s="111"/>
      <c r="E532" s="2"/>
      <c r="F532" s="2"/>
      <c r="G532" s="96"/>
      <c r="H532" s="96"/>
      <c r="I532" s="57"/>
      <c r="J532" s="112"/>
      <c r="K532" s="96"/>
    </row>
    <row r="533">
      <c r="A533" s="111"/>
      <c r="E533" s="2"/>
      <c r="F533" s="2"/>
      <c r="G533" s="96"/>
      <c r="H533" s="96"/>
      <c r="I533" s="57"/>
      <c r="J533" s="112"/>
      <c r="K533" s="96"/>
    </row>
    <row r="534">
      <c r="A534" s="111"/>
      <c r="E534" s="2"/>
      <c r="F534" s="2"/>
      <c r="G534" s="96"/>
      <c r="H534" s="96"/>
      <c r="I534" s="57"/>
      <c r="J534" s="112"/>
      <c r="K534" s="96"/>
    </row>
    <row r="535">
      <c r="A535" s="111"/>
      <c r="E535" s="2"/>
      <c r="F535" s="2"/>
      <c r="G535" s="96"/>
      <c r="H535" s="96"/>
      <c r="I535" s="57"/>
      <c r="J535" s="112"/>
      <c r="K535" s="96"/>
    </row>
    <row r="536">
      <c r="A536" s="111"/>
      <c r="E536" s="2"/>
      <c r="F536" s="2"/>
      <c r="G536" s="96"/>
      <c r="H536" s="96"/>
      <c r="I536" s="57"/>
      <c r="J536" s="112"/>
      <c r="K536" s="96"/>
    </row>
    <row r="537">
      <c r="A537" s="111"/>
      <c r="E537" s="2"/>
      <c r="F537" s="2"/>
      <c r="G537" s="96"/>
      <c r="H537" s="96"/>
      <c r="I537" s="57"/>
      <c r="J537" s="112"/>
      <c r="K537" s="96"/>
    </row>
    <row r="538">
      <c r="A538" s="111"/>
      <c r="E538" s="2"/>
      <c r="F538" s="2"/>
      <c r="G538" s="96"/>
      <c r="H538" s="96"/>
      <c r="I538" s="57"/>
      <c r="J538" s="112"/>
      <c r="K538" s="96"/>
    </row>
    <row r="539">
      <c r="A539" s="111"/>
      <c r="E539" s="2"/>
      <c r="F539" s="2"/>
      <c r="G539" s="96"/>
      <c r="H539" s="96"/>
      <c r="I539" s="57"/>
      <c r="J539" s="112"/>
      <c r="K539" s="96"/>
    </row>
    <row r="540">
      <c r="A540" s="111"/>
      <c r="E540" s="2"/>
      <c r="F540" s="2"/>
      <c r="G540" s="96"/>
      <c r="H540" s="96"/>
      <c r="I540" s="57"/>
      <c r="J540" s="112"/>
      <c r="K540" s="96"/>
    </row>
    <row r="541">
      <c r="A541" s="111"/>
      <c r="E541" s="2"/>
      <c r="F541" s="2"/>
      <c r="G541" s="96"/>
      <c r="H541" s="96"/>
      <c r="I541" s="57"/>
      <c r="J541" s="112"/>
      <c r="K541" s="96"/>
    </row>
    <row r="542">
      <c r="A542" s="111"/>
      <c r="E542" s="2"/>
      <c r="F542" s="2"/>
      <c r="G542" s="96"/>
      <c r="H542" s="96"/>
      <c r="I542" s="57"/>
      <c r="J542" s="112"/>
      <c r="K542" s="96"/>
    </row>
    <row r="543">
      <c r="A543" s="111"/>
      <c r="E543" s="2"/>
      <c r="F543" s="2"/>
      <c r="G543" s="96"/>
      <c r="H543" s="96"/>
      <c r="I543" s="57"/>
      <c r="J543" s="112"/>
      <c r="K543" s="96"/>
    </row>
    <row r="544">
      <c r="A544" s="111"/>
      <c r="E544" s="2"/>
      <c r="F544" s="2"/>
      <c r="G544" s="96"/>
      <c r="H544" s="96"/>
      <c r="I544" s="57"/>
      <c r="J544" s="112"/>
      <c r="K544" s="96"/>
    </row>
    <row r="545">
      <c r="A545" s="111"/>
      <c r="E545" s="2"/>
      <c r="F545" s="2"/>
      <c r="G545" s="96"/>
      <c r="H545" s="96"/>
      <c r="I545" s="57"/>
      <c r="J545" s="112"/>
      <c r="K545" s="96"/>
    </row>
    <row r="546">
      <c r="A546" s="111"/>
      <c r="E546" s="2"/>
      <c r="F546" s="2"/>
      <c r="G546" s="96"/>
      <c r="H546" s="96"/>
      <c r="I546" s="57"/>
      <c r="J546" s="112"/>
      <c r="K546" s="96"/>
    </row>
    <row r="547">
      <c r="A547" s="111"/>
      <c r="E547" s="2"/>
      <c r="F547" s="2"/>
      <c r="G547" s="96"/>
      <c r="H547" s="96"/>
      <c r="I547" s="57"/>
      <c r="J547" s="112"/>
      <c r="K547" s="96"/>
    </row>
    <row r="548">
      <c r="A548" s="111"/>
      <c r="E548" s="2"/>
      <c r="F548" s="2"/>
      <c r="G548" s="96"/>
      <c r="H548" s="96"/>
      <c r="I548" s="57"/>
      <c r="J548" s="112"/>
      <c r="K548" s="96"/>
    </row>
    <row r="549">
      <c r="A549" s="111"/>
      <c r="E549" s="2"/>
      <c r="F549" s="2"/>
      <c r="G549" s="96"/>
      <c r="H549" s="96"/>
      <c r="I549" s="57"/>
      <c r="J549" s="112"/>
      <c r="K549" s="96"/>
    </row>
    <row r="550">
      <c r="A550" s="111"/>
      <c r="E550" s="2"/>
      <c r="F550" s="2"/>
      <c r="G550" s="96"/>
      <c r="H550" s="96"/>
      <c r="I550" s="57"/>
      <c r="J550" s="112"/>
      <c r="K550" s="96"/>
    </row>
    <row r="551">
      <c r="A551" s="111"/>
      <c r="E551" s="2"/>
      <c r="F551" s="2"/>
      <c r="G551" s="96"/>
      <c r="H551" s="96"/>
      <c r="I551" s="57"/>
      <c r="J551" s="112"/>
      <c r="K551" s="96"/>
    </row>
    <row r="552">
      <c r="A552" s="111"/>
      <c r="E552" s="2"/>
      <c r="F552" s="2"/>
      <c r="G552" s="96"/>
      <c r="H552" s="96"/>
      <c r="I552" s="57"/>
      <c r="J552" s="112"/>
      <c r="K552" s="96"/>
    </row>
    <row r="553">
      <c r="A553" s="111"/>
      <c r="E553" s="2"/>
      <c r="F553" s="2"/>
      <c r="G553" s="96"/>
      <c r="H553" s="96"/>
      <c r="I553" s="57"/>
      <c r="J553" s="112"/>
      <c r="K553" s="96"/>
    </row>
    <row r="554">
      <c r="A554" s="111"/>
      <c r="E554" s="2"/>
      <c r="F554" s="2"/>
      <c r="G554" s="96"/>
      <c r="H554" s="96"/>
      <c r="I554" s="57"/>
      <c r="J554" s="112"/>
      <c r="K554" s="96"/>
    </row>
    <row r="555">
      <c r="A555" s="111"/>
      <c r="E555" s="2"/>
      <c r="F555" s="2"/>
      <c r="G555" s="96"/>
      <c r="H555" s="96"/>
      <c r="I555" s="57"/>
      <c r="J555" s="112"/>
      <c r="K555" s="96"/>
    </row>
    <row r="556">
      <c r="A556" s="111"/>
      <c r="E556" s="2"/>
      <c r="F556" s="2"/>
      <c r="G556" s="96"/>
      <c r="H556" s="96"/>
      <c r="I556" s="57"/>
      <c r="J556" s="112"/>
      <c r="K556" s="96"/>
    </row>
    <row r="557">
      <c r="A557" s="111"/>
      <c r="E557" s="2"/>
      <c r="F557" s="2"/>
      <c r="G557" s="96"/>
      <c r="H557" s="96"/>
      <c r="I557" s="57"/>
      <c r="J557" s="112"/>
      <c r="K557" s="96"/>
    </row>
    <row r="558">
      <c r="A558" s="111"/>
      <c r="E558" s="2"/>
      <c r="F558" s="2"/>
      <c r="G558" s="96"/>
      <c r="H558" s="96"/>
      <c r="I558" s="57"/>
      <c r="J558" s="112"/>
      <c r="K558" s="96"/>
    </row>
    <row r="559">
      <c r="A559" s="111"/>
      <c r="E559" s="2"/>
      <c r="F559" s="2"/>
      <c r="G559" s="96"/>
      <c r="H559" s="96"/>
      <c r="I559" s="57"/>
      <c r="J559" s="112"/>
      <c r="K559" s="96"/>
    </row>
    <row r="560">
      <c r="A560" s="111"/>
      <c r="E560" s="2"/>
      <c r="F560" s="2"/>
      <c r="G560" s="96"/>
      <c r="H560" s="96"/>
      <c r="I560" s="57"/>
      <c r="J560" s="112"/>
      <c r="K560" s="96"/>
    </row>
    <row r="561">
      <c r="A561" s="111"/>
      <c r="E561" s="2"/>
      <c r="F561" s="2"/>
      <c r="G561" s="96"/>
      <c r="H561" s="96"/>
      <c r="I561" s="57"/>
      <c r="J561" s="112"/>
      <c r="K561" s="96"/>
    </row>
    <row r="562">
      <c r="A562" s="111"/>
      <c r="E562" s="2"/>
      <c r="F562" s="2"/>
      <c r="G562" s="96"/>
      <c r="H562" s="96"/>
      <c r="I562" s="57"/>
      <c r="J562" s="112"/>
      <c r="K562" s="96"/>
    </row>
    <row r="563">
      <c r="A563" s="111"/>
      <c r="E563" s="2"/>
      <c r="F563" s="2"/>
      <c r="G563" s="96"/>
      <c r="H563" s="96"/>
      <c r="I563" s="57"/>
      <c r="J563" s="112"/>
      <c r="K563" s="96"/>
    </row>
    <row r="564">
      <c r="A564" s="111"/>
      <c r="E564" s="2"/>
      <c r="F564" s="2"/>
      <c r="G564" s="96"/>
      <c r="H564" s="96"/>
      <c r="I564" s="57"/>
      <c r="J564" s="112"/>
      <c r="K564" s="96"/>
    </row>
    <row r="565">
      <c r="A565" s="111"/>
      <c r="E565" s="2"/>
      <c r="F565" s="2"/>
      <c r="G565" s="96"/>
      <c r="H565" s="96"/>
      <c r="I565" s="57"/>
      <c r="J565" s="112"/>
      <c r="K565" s="96"/>
    </row>
    <row r="566">
      <c r="A566" s="111"/>
      <c r="E566" s="2"/>
      <c r="F566" s="2"/>
      <c r="G566" s="96"/>
      <c r="H566" s="96"/>
      <c r="I566" s="57"/>
      <c r="J566" s="112"/>
      <c r="K566" s="96"/>
    </row>
    <row r="567">
      <c r="A567" s="111"/>
      <c r="E567" s="2"/>
      <c r="F567" s="2"/>
      <c r="G567" s="96"/>
      <c r="H567" s="96"/>
      <c r="I567" s="57"/>
      <c r="J567" s="112"/>
      <c r="K567" s="96"/>
    </row>
    <row r="568">
      <c r="A568" s="111"/>
      <c r="E568" s="2"/>
      <c r="F568" s="2"/>
      <c r="G568" s="96"/>
      <c r="H568" s="96"/>
      <c r="I568" s="57"/>
      <c r="J568" s="112"/>
      <c r="K568" s="96"/>
    </row>
    <row r="569">
      <c r="A569" s="111"/>
      <c r="E569" s="2"/>
      <c r="F569" s="2"/>
      <c r="G569" s="96"/>
      <c r="H569" s="96"/>
      <c r="I569" s="57"/>
      <c r="J569" s="112"/>
      <c r="K569" s="96"/>
    </row>
    <row r="570">
      <c r="A570" s="111"/>
      <c r="E570" s="2"/>
      <c r="F570" s="2"/>
      <c r="G570" s="96"/>
      <c r="H570" s="96"/>
      <c r="I570" s="57"/>
      <c r="J570" s="112"/>
      <c r="K570" s="96"/>
    </row>
    <row r="571">
      <c r="A571" s="111"/>
      <c r="E571" s="2"/>
      <c r="F571" s="2"/>
      <c r="G571" s="96"/>
      <c r="H571" s="96"/>
      <c r="I571" s="57"/>
      <c r="J571" s="112"/>
      <c r="K571" s="96"/>
    </row>
    <row r="572">
      <c r="A572" s="111"/>
      <c r="E572" s="2"/>
      <c r="F572" s="2"/>
      <c r="G572" s="96"/>
      <c r="H572" s="96"/>
      <c r="I572" s="57"/>
      <c r="J572" s="112"/>
      <c r="K572" s="96"/>
    </row>
    <row r="573">
      <c r="A573" s="111"/>
      <c r="E573" s="2"/>
      <c r="F573" s="2"/>
      <c r="G573" s="96"/>
      <c r="H573" s="96"/>
      <c r="I573" s="57"/>
      <c r="J573" s="112"/>
      <c r="K573" s="96"/>
    </row>
    <row r="574">
      <c r="A574" s="111"/>
      <c r="E574" s="2"/>
      <c r="F574" s="2"/>
      <c r="G574" s="96"/>
      <c r="H574" s="96"/>
      <c r="I574" s="57"/>
      <c r="J574" s="112"/>
      <c r="K574" s="96"/>
    </row>
    <row r="575">
      <c r="A575" s="111"/>
      <c r="E575" s="2"/>
      <c r="F575" s="2"/>
      <c r="G575" s="96"/>
      <c r="H575" s="96"/>
      <c r="I575" s="57"/>
      <c r="J575" s="112"/>
      <c r="K575" s="96"/>
    </row>
    <row r="576">
      <c r="A576" s="111"/>
      <c r="E576" s="2"/>
      <c r="F576" s="2"/>
      <c r="G576" s="96"/>
      <c r="H576" s="96"/>
      <c r="I576" s="57"/>
      <c r="J576" s="112"/>
      <c r="K576" s="96"/>
    </row>
    <row r="577">
      <c r="A577" s="111"/>
      <c r="E577" s="2"/>
      <c r="F577" s="2"/>
      <c r="G577" s="96"/>
      <c r="H577" s="96"/>
      <c r="I577" s="57"/>
      <c r="J577" s="112"/>
      <c r="K577" s="96"/>
    </row>
    <row r="578">
      <c r="A578" s="111"/>
      <c r="E578" s="2"/>
      <c r="F578" s="2"/>
      <c r="G578" s="96"/>
      <c r="H578" s="96"/>
      <c r="I578" s="57"/>
      <c r="J578" s="112"/>
      <c r="K578" s="96"/>
    </row>
    <row r="579">
      <c r="A579" s="111"/>
      <c r="E579" s="2"/>
      <c r="F579" s="2"/>
      <c r="G579" s="96"/>
      <c r="H579" s="96"/>
      <c r="I579" s="57"/>
      <c r="J579" s="112"/>
      <c r="K579" s="96"/>
    </row>
    <row r="580">
      <c r="A580" s="111"/>
      <c r="E580" s="2"/>
      <c r="F580" s="2"/>
      <c r="G580" s="96"/>
      <c r="H580" s="96"/>
      <c r="I580" s="57"/>
      <c r="J580" s="112"/>
      <c r="K580" s="96"/>
    </row>
    <row r="581">
      <c r="A581" s="111"/>
      <c r="E581" s="2"/>
      <c r="F581" s="2"/>
      <c r="G581" s="96"/>
      <c r="H581" s="96"/>
      <c r="I581" s="57"/>
      <c r="J581" s="112"/>
      <c r="K581" s="96"/>
    </row>
    <row r="582">
      <c r="A582" s="111"/>
      <c r="E582" s="2"/>
      <c r="F582" s="2"/>
      <c r="G582" s="96"/>
      <c r="H582" s="96"/>
      <c r="I582" s="57"/>
      <c r="J582" s="112"/>
      <c r="K582" s="96"/>
    </row>
    <row r="583">
      <c r="A583" s="111"/>
      <c r="E583" s="2"/>
      <c r="F583" s="2"/>
      <c r="G583" s="96"/>
      <c r="H583" s="96"/>
      <c r="I583" s="57"/>
      <c r="J583" s="112"/>
      <c r="K583" s="96"/>
    </row>
    <row r="584">
      <c r="A584" s="111"/>
      <c r="E584" s="2"/>
      <c r="F584" s="2"/>
      <c r="G584" s="96"/>
      <c r="H584" s="96"/>
      <c r="I584" s="57"/>
      <c r="J584" s="112"/>
      <c r="K584" s="96"/>
    </row>
    <row r="585">
      <c r="A585" s="111"/>
      <c r="E585" s="2"/>
      <c r="F585" s="2"/>
      <c r="G585" s="96"/>
      <c r="H585" s="96"/>
      <c r="I585" s="57"/>
      <c r="J585" s="112"/>
      <c r="K585" s="96"/>
    </row>
    <row r="586">
      <c r="A586" s="111"/>
      <c r="E586" s="2"/>
      <c r="F586" s="2"/>
      <c r="G586" s="96"/>
      <c r="H586" s="96"/>
      <c r="I586" s="57"/>
      <c r="J586" s="112"/>
      <c r="K586" s="96"/>
    </row>
    <row r="587">
      <c r="A587" s="111"/>
      <c r="E587" s="2"/>
      <c r="F587" s="2"/>
      <c r="G587" s="96"/>
      <c r="H587" s="96"/>
      <c r="I587" s="57"/>
      <c r="J587" s="112"/>
      <c r="K587" s="96"/>
    </row>
    <row r="588">
      <c r="A588" s="111"/>
      <c r="E588" s="2"/>
      <c r="F588" s="2"/>
      <c r="G588" s="96"/>
      <c r="H588" s="96"/>
      <c r="I588" s="57"/>
      <c r="J588" s="112"/>
      <c r="K588" s="96"/>
    </row>
    <row r="589">
      <c r="A589" s="111"/>
      <c r="E589" s="2"/>
      <c r="F589" s="2"/>
      <c r="G589" s="96"/>
      <c r="H589" s="96"/>
      <c r="I589" s="57"/>
      <c r="J589" s="112"/>
      <c r="K589" s="96"/>
    </row>
    <row r="590">
      <c r="A590" s="111"/>
      <c r="E590" s="2"/>
      <c r="F590" s="2"/>
      <c r="G590" s="96"/>
      <c r="H590" s="96"/>
      <c r="I590" s="57"/>
      <c r="J590" s="112"/>
      <c r="K590" s="96"/>
    </row>
    <row r="591">
      <c r="A591" s="111"/>
      <c r="E591" s="2"/>
      <c r="F591" s="2"/>
      <c r="G591" s="96"/>
      <c r="H591" s="96"/>
      <c r="I591" s="57"/>
      <c r="J591" s="112"/>
      <c r="K591" s="96"/>
    </row>
    <row r="592">
      <c r="A592" s="111"/>
      <c r="E592" s="2"/>
      <c r="F592" s="2"/>
      <c r="G592" s="96"/>
      <c r="H592" s="96"/>
      <c r="I592" s="57"/>
      <c r="J592" s="112"/>
      <c r="K592" s="96"/>
    </row>
    <row r="593">
      <c r="A593" s="111"/>
      <c r="E593" s="2"/>
      <c r="F593" s="2"/>
      <c r="G593" s="96"/>
      <c r="H593" s="96"/>
      <c r="I593" s="57"/>
      <c r="J593" s="112"/>
      <c r="K593" s="96"/>
    </row>
    <row r="594">
      <c r="A594" s="111"/>
      <c r="E594" s="2"/>
      <c r="F594" s="2"/>
      <c r="G594" s="96"/>
      <c r="H594" s="96"/>
      <c r="I594" s="57"/>
      <c r="J594" s="112"/>
      <c r="K594" s="96"/>
    </row>
    <row r="595">
      <c r="A595" s="111"/>
      <c r="E595" s="2"/>
      <c r="F595" s="2"/>
      <c r="G595" s="96"/>
      <c r="H595" s="96"/>
      <c r="I595" s="57"/>
      <c r="J595" s="112"/>
      <c r="K595" s="96"/>
    </row>
    <row r="596">
      <c r="A596" s="111"/>
      <c r="E596" s="2"/>
      <c r="F596" s="2"/>
      <c r="G596" s="96"/>
      <c r="H596" s="96"/>
      <c r="I596" s="57"/>
      <c r="J596" s="112"/>
      <c r="K596" s="96"/>
    </row>
    <row r="597">
      <c r="A597" s="111"/>
      <c r="E597" s="2"/>
      <c r="F597" s="2"/>
      <c r="G597" s="96"/>
      <c r="H597" s="96"/>
      <c r="I597" s="57"/>
      <c r="J597" s="112"/>
      <c r="K597" s="96"/>
    </row>
    <row r="598">
      <c r="A598" s="111"/>
      <c r="E598" s="2"/>
      <c r="F598" s="2"/>
      <c r="G598" s="96"/>
      <c r="H598" s="96"/>
      <c r="I598" s="57"/>
      <c r="J598" s="112"/>
      <c r="K598" s="96"/>
    </row>
    <row r="599">
      <c r="A599" s="111"/>
      <c r="E599" s="2"/>
      <c r="F599" s="2"/>
      <c r="G599" s="96"/>
      <c r="H599" s="96"/>
      <c r="I599" s="57"/>
      <c r="J599" s="112"/>
      <c r="K599" s="96"/>
    </row>
    <row r="600">
      <c r="A600" s="111"/>
      <c r="E600" s="2"/>
      <c r="F600" s="2"/>
      <c r="G600" s="96"/>
      <c r="H600" s="96"/>
      <c r="I600" s="57"/>
      <c r="J600" s="112"/>
      <c r="K600" s="96"/>
    </row>
    <row r="601">
      <c r="A601" s="111"/>
      <c r="E601" s="2"/>
      <c r="F601" s="2"/>
      <c r="G601" s="96"/>
      <c r="H601" s="96"/>
      <c r="I601" s="57"/>
      <c r="J601" s="112"/>
      <c r="K601" s="96"/>
    </row>
    <row r="602">
      <c r="A602" s="111"/>
      <c r="E602" s="2"/>
      <c r="F602" s="2"/>
      <c r="G602" s="96"/>
      <c r="H602" s="96"/>
      <c r="I602" s="57"/>
      <c r="J602" s="112"/>
      <c r="K602" s="96"/>
    </row>
    <row r="603">
      <c r="A603" s="111"/>
      <c r="E603" s="2"/>
      <c r="F603" s="2"/>
      <c r="G603" s="96"/>
      <c r="H603" s="96"/>
      <c r="I603" s="57"/>
      <c r="J603" s="112"/>
      <c r="K603" s="96"/>
    </row>
    <row r="604">
      <c r="A604" s="111"/>
      <c r="E604" s="2"/>
      <c r="F604" s="2"/>
      <c r="G604" s="96"/>
      <c r="H604" s="96"/>
      <c r="I604" s="57"/>
      <c r="J604" s="112"/>
      <c r="K604" s="96"/>
    </row>
    <row r="605">
      <c r="A605" s="111"/>
      <c r="E605" s="2"/>
      <c r="F605" s="2"/>
      <c r="G605" s="96"/>
      <c r="H605" s="96"/>
      <c r="I605" s="57"/>
      <c r="J605" s="112"/>
      <c r="K605" s="96"/>
    </row>
    <row r="606">
      <c r="A606" s="111"/>
      <c r="E606" s="2"/>
      <c r="F606" s="2"/>
      <c r="G606" s="96"/>
      <c r="H606" s="96"/>
      <c r="I606" s="57"/>
      <c r="J606" s="112"/>
      <c r="K606" s="96"/>
    </row>
    <row r="607">
      <c r="A607" s="111"/>
      <c r="E607" s="2"/>
      <c r="F607" s="2"/>
      <c r="G607" s="96"/>
      <c r="H607" s="96"/>
      <c r="I607" s="57"/>
      <c r="J607" s="112"/>
      <c r="K607" s="96"/>
    </row>
    <row r="608">
      <c r="A608" s="111"/>
      <c r="E608" s="2"/>
      <c r="F608" s="2"/>
      <c r="G608" s="96"/>
      <c r="H608" s="96"/>
      <c r="I608" s="57"/>
      <c r="J608" s="112"/>
      <c r="K608" s="96"/>
    </row>
    <row r="609">
      <c r="A609" s="111"/>
      <c r="E609" s="2"/>
      <c r="F609" s="2"/>
      <c r="G609" s="96"/>
      <c r="H609" s="96"/>
      <c r="I609" s="57"/>
      <c r="J609" s="112"/>
      <c r="K609" s="96"/>
    </row>
    <row r="610">
      <c r="A610" s="111"/>
      <c r="E610" s="2"/>
      <c r="F610" s="2"/>
      <c r="G610" s="96"/>
      <c r="H610" s="96"/>
      <c r="I610" s="57"/>
      <c r="J610" s="112"/>
      <c r="K610" s="96"/>
    </row>
    <row r="611">
      <c r="A611" s="111"/>
      <c r="E611" s="2"/>
      <c r="F611" s="2"/>
      <c r="G611" s="96"/>
      <c r="H611" s="96"/>
      <c r="I611" s="57"/>
      <c r="J611" s="112"/>
      <c r="K611" s="96"/>
    </row>
    <row r="612">
      <c r="A612" s="111"/>
      <c r="E612" s="2"/>
      <c r="F612" s="2"/>
      <c r="G612" s="96"/>
      <c r="H612" s="96"/>
      <c r="I612" s="57"/>
      <c r="J612" s="112"/>
      <c r="K612" s="96"/>
    </row>
    <row r="613">
      <c r="A613" s="111"/>
      <c r="E613" s="2"/>
      <c r="F613" s="2"/>
      <c r="G613" s="96"/>
      <c r="H613" s="96"/>
      <c r="I613" s="57"/>
      <c r="J613" s="112"/>
      <c r="K613" s="96"/>
    </row>
    <row r="614">
      <c r="A614" s="111"/>
      <c r="E614" s="2"/>
      <c r="F614" s="2"/>
      <c r="G614" s="96"/>
      <c r="H614" s="96"/>
      <c r="I614" s="57"/>
      <c r="J614" s="112"/>
      <c r="K614" s="96"/>
    </row>
    <row r="615">
      <c r="A615" s="111"/>
      <c r="E615" s="2"/>
      <c r="F615" s="2"/>
      <c r="G615" s="96"/>
      <c r="H615" s="96"/>
      <c r="I615" s="57"/>
      <c r="J615" s="112"/>
      <c r="K615" s="96"/>
    </row>
    <row r="616">
      <c r="A616" s="111"/>
      <c r="E616" s="2"/>
      <c r="F616" s="2"/>
      <c r="G616" s="96"/>
      <c r="H616" s="96"/>
      <c r="I616" s="57"/>
      <c r="J616" s="112"/>
      <c r="K616" s="96"/>
    </row>
    <row r="617">
      <c r="A617" s="111"/>
      <c r="E617" s="2"/>
      <c r="F617" s="2"/>
      <c r="G617" s="96"/>
      <c r="H617" s="96"/>
      <c r="I617" s="57"/>
      <c r="J617" s="112"/>
      <c r="K617" s="96"/>
    </row>
    <row r="618">
      <c r="A618" s="111"/>
      <c r="E618" s="2"/>
      <c r="F618" s="2"/>
      <c r="G618" s="96"/>
      <c r="H618" s="96"/>
      <c r="I618" s="57"/>
      <c r="J618" s="112"/>
      <c r="K618" s="96"/>
    </row>
    <row r="619">
      <c r="A619" s="111"/>
      <c r="E619" s="2"/>
      <c r="F619" s="2"/>
      <c r="G619" s="96"/>
      <c r="H619" s="96"/>
      <c r="I619" s="57"/>
      <c r="J619" s="112"/>
      <c r="K619" s="96"/>
    </row>
    <row r="620">
      <c r="A620" s="111"/>
      <c r="E620" s="2"/>
      <c r="F620" s="2"/>
      <c r="G620" s="96"/>
      <c r="H620" s="96"/>
      <c r="I620" s="57"/>
      <c r="J620" s="112"/>
      <c r="K620" s="96"/>
    </row>
    <row r="621">
      <c r="A621" s="111"/>
      <c r="E621" s="2"/>
      <c r="F621" s="2"/>
      <c r="G621" s="96"/>
      <c r="H621" s="96"/>
      <c r="I621" s="57"/>
      <c r="J621" s="112"/>
      <c r="K621" s="96"/>
    </row>
    <row r="622">
      <c r="A622" s="111"/>
      <c r="E622" s="2"/>
      <c r="F622" s="2"/>
      <c r="G622" s="96"/>
      <c r="H622" s="96"/>
      <c r="I622" s="57"/>
      <c r="J622" s="112"/>
      <c r="K622" s="96"/>
    </row>
    <row r="623">
      <c r="A623" s="111"/>
      <c r="E623" s="2"/>
      <c r="F623" s="2"/>
      <c r="G623" s="96"/>
      <c r="H623" s="96"/>
      <c r="I623" s="57"/>
      <c r="J623" s="112"/>
      <c r="K623" s="96"/>
    </row>
    <row r="624">
      <c r="A624" s="111"/>
      <c r="E624" s="2"/>
      <c r="F624" s="2"/>
      <c r="G624" s="96"/>
      <c r="H624" s="96"/>
      <c r="I624" s="57"/>
      <c r="J624" s="112"/>
      <c r="K624" s="96"/>
    </row>
    <row r="625">
      <c r="A625" s="111"/>
      <c r="E625" s="2"/>
      <c r="F625" s="2"/>
      <c r="G625" s="96"/>
      <c r="H625" s="96"/>
      <c r="I625" s="57"/>
      <c r="J625" s="112"/>
      <c r="K625" s="96"/>
    </row>
    <row r="626">
      <c r="A626" s="111"/>
      <c r="E626" s="2"/>
      <c r="F626" s="2"/>
      <c r="G626" s="96"/>
      <c r="H626" s="96"/>
      <c r="I626" s="57"/>
      <c r="J626" s="112"/>
      <c r="K626" s="96"/>
    </row>
    <row r="627">
      <c r="A627" s="111"/>
      <c r="E627" s="2"/>
      <c r="F627" s="2"/>
      <c r="G627" s="96"/>
      <c r="H627" s="96"/>
      <c r="I627" s="57"/>
      <c r="J627" s="112"/>
      <c r="K627" s="96"/>
    </row>
    <row r="628">
      <c r="A628" s="111"/>
      <c r="E628" s="2"/>
      <c r="F628" s="2"/>
      <c r="G628" s="96"/>
      <c r="H628" s="96"/>
      <c r="I628" s="57"/>
      <c r="J628" s="112"/>
      <c r="K628" s="96"/>
    </row>
    <row r="629">
      <c r="A629" s="111"/>
      <c r="E629" s="2"/>
      <c r="F629" s="2"/>
      <c r="G629" s="96"/>
      <c r="H629" s="96"/>
      <c r="I629" s="57"/>
      <c r="J629" s="112"/>
      <c r="K629" s="96"/>
    </row>
    <row r="630">
      <c r="A630" s="111"/>
      <c r="E630" s="2"/>
      <c r="F630" s="2"/>
      <c r="G630" s="96"/>
      <c r="H630" s="96"/>
      <c r="I630" s="57"/>
      <c r="J630" s="112"/>
      <c r="K630" s="96"/>
    </row>
    <row r="631">
      <c r="A631" s="111"/>
      <c r="E631" s="2"/>
      <c r="F631" s="2"/>
      <c r="G631" s="96"/>
      <c r="H631" s="96"/>
      <c r="I631" s="57"/>
      <c r="J631" s="112"/>
      <c r="K631" s="96"/>
    </row>
    <row r="632">
      <c r="A632" s="111"/>
      <c r="E632" s="2"/>
      <c r="F632" s="2"/>
      <c r="G632" s="96"/>
      <c r="H632" s="96"/>
      <c r="I632" s="57"/>
      <c r="J632" s="112"/>
      <c r="K632" s="96"/>
    </row>
    <row r="633">
      <c r="A633" s="111"/>
      <c r="E633" s="2"/>
      <c r="F633" s="2"/>
      <c r="G633" s="96"/>
      <c r="H633" s="96"/>
      <c r="I633" s="57"/>
      <c r="J633" s="112"/>
      <c r="K633" s="96"/>
    </row>
    <row r="634">
      <c r="A634" s="111"/>
      <c r="E634" s="2"/>
      <c r="F634" s="2"/>
      <c r="G634" s="96"/>
      <c r="H634" s="96"/>
      <c r="I634" s="57"/>
      <c r="J634" s="112"/>
      <c r="K634" s="96"/>
    </row>
    <row r="635">
      <c r="A635" s="111"/>
      <c r="E635" s="2"/>
      <c r="F635" s="2"/>
      <c r="G635" s="96"/>
      <c r="H635" s="96"/>
      <c r="I635" s="57"/>
      <c r="J635" s="112"/>
      <c r="K635" s="96"/>
    </row>
    <row r="636">
      <c r="A636" s="111"/>
      <c r="E636" s="2"/>
      <c r="F636" s="2"/>
      <c r="G636" s="96"/>
      <c r="H636" s="96"/>
      <c r="I636" s="57"/>
      <c r="J636" s="112"/>
      <c r="K636" s="96"/>
    </row>
    <row r="637">
      <c r="A637" s="111"/>
      <c r="E637" s="2"/>
      <c r="F637" s="2"/>
      <c r="G637" s="96"/>
      <c r="H637" s="96"/>
      <c r="I637" s="57"/>
      <c r="J637" s="112"/>
      <c r="K637" s="96"/>
    </row>
    <row r="638">
      <c r="A638" s="111"/>
      <c r="E638" s="2"/>
      <c r="F638" s="2"/>
      <c r="G638" s="96"/>
      <c r="H638" s="96"/>
      <c r="I638" s="57"/>
      <c r="J638" s="112"/>
      <c r="K638" s="96"/>
    </row>
    <row r="639">
      <c r="A639" s="111"/>
      <c r="E639" s="2"/>
      <c r="F639" s="2"/>
      <c r="G639" s="96"/>
      <c r="H639" s="96"/>
      <c r="I639" s="57"/>
      <c r="J639" s="112"/>
      <c r="K639" s="96"/>
    </row>
    <row r="640">
      <c r="A640" s="111"/>
      <c r="E640" s="2"/>
      <c r="F640" s="2"/>
      <c r="G640" s="96"/>
      <c r="H640" s="96"/>
      <c r="I640" s="57"/>
      <c r="J640" s="112"/>
      <c r="K640" s="96"/>
    </row>
    <row r="641">
      <c r="A641" s="111"/>
      <c r="E641" s="2"/>
      <c r="F641" s="2"/>
      <c r="G641" s="96"/>
      <c r="H641" s="96"/>
      <c r="I641" s="57"/>
      <c r="J641" s="112"/>
      <c r="K641" s="96"/>
    </row>
    <row r="642">
      <c r="A642" s="111"/>
      <c r="E642" s="2"/>
      <c r="F642" s="2"/>
      <c r="G642" s="96"/>
      <c r="H642" s="96"/>
      <c r="I642" s="57"/>
      <c r="J642" s="112"/>
      <c r="K642" s="96"/>
    </row>
    <row r="643">
      <c r="A643" s="111"/>
      <c r="E643" s="2"/>
      <c r="F643" s="2"/>
      <c r="G643" s="96"/>
      <c r="H643" s="96"/>
      <c r="I643" s="57"/>
      <c r="J643" s="112"/>
      <c r="K643" s="96"/>
    </row>
    <row r="644">
      <c r="A644" s="111"/>
      <c r="E644" s="2"/>
      <c r="F644" s="2"/>
      <c r="G644" s="96"/>
      <c r="H644" s="96"/>
      <c r="I644" s="57"/>
      <c r="J644" s="112"/>
      <c r="K644" s="96"/>
    </row>
    <row r="645">
      <c r="A645" s="111"/>
      <c r="E645" s="2"/>
      <c r="F645" s="2"/>
      <c r="G645" s="96"/>
      <c r="H645" s="96"/>
      <c r="I645" s="57"/>
      <c r="J645" s="112"/>
      <c r="K645" s="96"/>
    </row>
    <row r="646">
      <c r="A646" s="111"/>
      <c r="E646" s="2"/>
      <c r="F646" s="2"/>
      <c r="G646" s="96"/>
      <c r="H646" s="96"/>
      <c r="I646" s="57"/>
      <c r="J646" s="112"/>
      <c r="K646" s="96"/>
    </row>
    <row r="647">
      <c r="A647" s="111"/>
      <c r="E647" s="2"/>
      <c r="F647" s="2"/>
      <c r="G647" s="96"/>
      <c r="H647" s="96"/>
      <c r="I647" s="57"/>
      <c r="J647" s="112"/>
      <c r="K647" s="96"/>
    </row>
    <row r="648">
      <c r="A648" s="111"/>
      <c r="E648" s="2"/>
      <c r="F648" s="2"/>
      <c r="G648" s="96"/>
      <c r="H648" s="96"/>
      <c r="I648" s="57"/>
      <c r="J648" s="112"/>
      <c r="K648" s="96"/>
    </row>
    <row r="649">
      <c r="A649" s="111"/>
      <c r="E649" s="2"/>
      <c r="F649" s="2"/>
      <c r="G649" s="96"/>
      <c r="H649" s="96"/>
      <c r="I649" s="57"/>
      <c r="J649" s="112"/>
      <c r="K649" s="96"/>
    </row>
    <row r="650">
      <c r="A650" s="111"/>
      <c r="E650" s="2"/>
      <c r="F650" s="2"/>
      <c r="G650" s="96"/>
      <c r="H650" s="96"/>
      <c r="I650" s="57"/>
      <c r="J650" s="112"/>
      <c r="K650" s="96"/>
    </row>
    <row r="651">
      <c r="A651" s="111"/>
      <c r="E651" s="2"/>
      <c r="F651" s="2"/>
      <c r="G651" s="96"/>
      <c r="H651" s="96"/>
      <c r="I651" s="57"/>
      <c r="J651" s="112"/>
      <c r="K651" s="96"/>
    </row>
    <row r="652">
      <c r="A652" s="111"/>
      <c r="E652" s="2"/>
      <c r="F652" s="2"/>
      <c r="G652" s="96"/>
      <c r="H652" s="96"/>
      <c r="I652" s="57"/>
      <c r="J652" s="112"/>
      <c r="K652" s="96"/>
    </row>
    <row r="653">
      <c r="A653" s="111"/>
      <c r="E653" s="2"/>
      <c r="F653" s="2"/>
      <c r="G653" s="96"/>
      <c r="H653" s="96"/>
      <c r="I653" s="57"/>
      <c r="J653" s="112"/>
      <c r="K653" s="96"/>
    </row>
    <row r="654">
      <c r="A654" s="111"/>
      <c r="E654" s="2"/>
      <c r="F654" s="2"/>
      <c r="G654" s="96"/>
      <c r="H654" s="96"/>
      <c r="I654" s="57"/>
      <c r="J654" s="112"/>
      <c r="K654" s="96"/>
    </row>
    <row r="655">
      <c r="A655" s="111"/>
      <c r="E655" s="2"/>
      <c r="F655" s="2"/>
      <c r="G655" s="96"/>
      <c r="H655" s="96"/>
      <c r="I655" s="57"/>
      <c r="J655" s="112"/>
      <c r="K655" s="96"/>
    </row>
    <row r="656">
      <c r="A656" s="111"/>
      <c r="E656" s="2"/>
      <c r="F656" s="2"/>
      <c r="G656" s="96"/>
      <c r="H656" s="96"/>
      <c r="I656" s="57"/>
      <c r="J656" s="112"/>
      <c r="K656" s="96"/>
    </row>
    <row r="657">
      <c r="A657" s="111"/>
      <c r="E657" s="2"/>
      <c r="F657" s="2"/>
      <c r="G657" s="96"/>
      <c r="H657" s="96"/>
      <c r="I657" s="57"/>
      <c r="J657" s="112"/>
      <c r="K657" s="96"/>
    </row>
    <row r="658">
      <c r="A658" s="111"/>
      <c r="E658" s="2"/>
      <c r="F658" s="2"/>
      <c r="G658" s="96"/>
      <c r="H658" s="96"/>
      <c r="I658" s="57"/>
      <c r="J658" s="112"/>
      <c r="K658" s="96"/>
    </row>
    <row r="659">
      <c r="A659" s="111"/>
      <c r="E659" s="2"/>
      <c r="F659" s="2"/>
      <c r="G659" s="96"/>
      <c r="H659" s="96"/>
      <c r="I659" s="57"/>
      <c r="J659" s="112"/>
      <c r="K659" s="96"/>
    </row>
    <row r="660">
      <c r="A660" s="111"/>
      <c r="E660" s="2"/>
      <c r="F660" s="2"/>
      <c r="G660" s="96"/>
      <c r="H660" s="96"/>
      <c r="I660" s="57"/>
      <c r="J660" s="112"/>
      <c r="K660" s="96"/>
    </row>
    <row r="661">
      <c r="A661" s="111"/>
      <c r="E661" s="2"/>
      <c r="F661" s="2"/>
      <c r="G661" s="96"/>
      <c r="H661" s="96"/>
      <c r="I661" s="57"/>
      <c r="J661" s="112"/>
      <c r="K661" s="96"/>
    </row>
    <row r="662">
      <c r="A662" s="111"/>
      <c r="E662" s="2"/>
      <c r="F662" s="2"/>
      <c r="G662" s="96"/>
      <c r="H662" s="96"/>
      <c r="I662" s="57"/>
      <c r="J662" s="112"/>
      <c r="K662" s="96"/>
    </row>
    <row r="663">
      <c r="A663" s="111"/>
      <c r="E663" s="2"/>
      <c r="F663" s="2"/>
      <c r="G663" s="96"/>
      <c r="H663" s="96"/>
      <c r="I663" s="57"/>
      <c r="J663" s="112"/>
      <c r="K663" s="96"/>
    </row>
    <row r="664">
      <c r="A664" s="111"/>
      <c r="E664" s="2"/>
      <c r="F664" s="2"/>
      <c r="G664" s="96"/>
      <c r="H664" s="96"/>
      <c r="I664" s="57"/>
      <c r="J664" s="112"/>
      <c r="K664" s="96"/>
    </row>
    <row r="665">
      <c r="A665" s="111"/>
      <c r="E665" s="2"/>
      <c r="F665" s="2"/>
      <c r="G665" s="96"/>
      <c r="H665" s="96"/>
      <c r="I665" s="57"/>
      <c r="J665" s="112"/>
      <c r="K665" s="96"/>
    </row>
    <row r="666">
      <c r="A666" s="111"/>
      <c r="E666" s="2"/>
      <c r="F666" s="2"/>
      <c r="G666" s="96"/>
      <c r="H666" s="96"/>
      <c r="I666" s="57"/>
      <c r="J666" s="112"/>
      <c r="K666" s="96"/>
    </row>
    <row r="667">
      <c r="A667" s="111"/>
      <c r="E667" s="2"/>
      <c r="F667" s="2"/>
      <c r="G667" s="96"/>
      <c r="H667" s="96"/>
      <c r="I667" s="57"/>
      <c r="J667" s="112"/>
      <c r="K667" s="96"/>
    </row>
    <row r="668">
      <c r="A668" s="111"/>
      <c r="E668" s="2"/>
      <c r="F668" s="2"/>
      <c r="G668" s="96"/>
      <c r="H668" s="96"/>
      <c r="I668" s="57"/>
      <c r="J668" s="112"/>
      <c r="K668" s="96"/>
    </row>
    <row r="669">
      <c r="A669" s="111"/>
      <c r="E669" s="2"/>
      <c r="F669" s="2"/>
      <c r="G669" s="96"/>
      <c r="H669" s="96"/>
      <c r="I669" s="57"/>
      <c r="J669" s="112"/>
      <c r="K669" s="96"/>
    </row>
    <row r="670">
      <c r="A670" s="111"/>
      <c r="E670" s="2"/>
      <c r="F670" s="2"/>
      <c r="G670" s="96"/>
      <c r="H670" s="96"/>
      <c r="I670" s="57"/>
      <c r="J670" s="112"/>
      <c r="K670" s="96"/>
    </row>
    <row r="671">
      <c r="A671" s="111"/>
      <c r="E671" s="2"/>
      <c r="F671" s="2"/>
      <c r="G671" s="96"/>
      <c r="H671" s="96"/>
      <c r="I671" s="57"/>
      <c r="J671" s="112"/>
      <c r="K671" s="96"/>
    </row>
    <row r="672">
      <c r="A672" s="111"/>
      <c r="E672" s="2"/>
      <c r="F672" s="2"/>
      <c r="G672" s="96"/>
      <c r="H672" s="96"/>
      <c r="I672" s="57"/>
      <c r="J672" s="112"/>
      <c r="K672" s="96"/>
    </row>
    <row r="673">
      <c r="A673" s="111"/>
      <c r="E673" s="2"/>
      <c r="F673" s="2"/>
      <c r="G673" s="96"/>
      <c r="H673" s="96"/>
      <c r="I673" s="57"/>
      <c r="J673" s="112"/>
      <c r="K673" s="96"/>
    </row>
    <row r="674">
      <c r="A674" s="111"/>
      <c r="E674" s="2"/>
      <c r="F674" s="2"/>
      <c r="G674" s="96"/>
      <c r="H674" s="96"/>
      <c r="I674" s="57"/>
      <c r="J674" s="112"/>
      <c r="K674" s="96"/>
    </row>
    <row r="675">
      <c r="A675" s="111"/>
      <c r="E675" s="2"/>
      <c r="F675" s="2"/>
      <c r="G675" s="96"/>
      <c r="H675" s="96"/>
      <c r="I675" s="57"/>
      <c r="J675" s="112"/>
      <c r="K675" s="96"/>
    </row>
    <row r="676">
      <c r="A676" s="111"/>
      <c r="E676" s="2"/>
      <c r="F676" s="2"/>
      <c r="G676" s="96"/>
      <c r="H676" s="96"/>
      <c r="I676" s="57"/>
      <c r="J676" s="112"/>
      <c r="K676" s="96"/>
    </row>
    <row r="677">
      <c r="A677" s="111"/>
      <c r="E677" s="2"/>
      <c r="F677" s="2"/>
      <c r="G677" s="96"/>
      <c r="H677" s="96"/>
      <c r="I677" s="57"/>
      <c r="J677" s="112"/>
      <c r="K677" s="96"/>
    </row>
    <row r="678">
      <c r="A678" s="111"/>
      <c r="E678" s="2"/>
      <c r="F678" s="2"/>
      <c r="G678" s="96"/>
      <c r="H678" s="96"/>
      <c r="I678" s="57"/>
      <c r="J678" s="112"/>
      <c r="K678" s="96"/>
    </row>
    <row r="679">
      <c r="A679" s="111"/>
      <c r="E679" s="2"/>
      <c r="F679" s="2"/>
      <c r="G679" s="96"/>
      <c r="H679" s="96"/>
      <c r="I679" s="57"/>
      <c r="J679" s="112"/>
      <c r="K679" s="96"/>
    </row>
    <row r="680">
      <c r="A680" s="111"/>
      <c r="E680" s="2"/>
      <c r="F680" s="2"/>
      <c r="G680" s="96"/>
      <c r="H680" s="96"/>
      <c r="I680" s="57"/>
      <c r="J680" s="112"/>
      <c r="K680" s="96"/>
    </row>
    <row r="681">
      <c r="A681" s="111"/>
      <c r="E681" s="2"/>
      <c r="F681" s="2"/>
      <c r="G681" s="96"/>
      <c r="H681" s="96"/>
      <c r="I681" s="57"/>
      <c r="J681" s="112"/>
      <c r="K681" s="96"/>
    </row>
    <row r="682">
      <c r="A682" s="111"/>
      <c r="E682" s="2"/>
      <c r="F682" s="2"/>
      <c r="G682" s="96"/>
      <c r="H682" s="96"/>
      <c r="I682" s="57"/>
      <c r="J682" s="112"/>
      <c r="K682" s="96"/>
    </row>
    <row r="683">
      <c r="A683" s="111"/>
      <c r="E683" s="2"/>
      <c r="F683" s="2"/>
      <c r="G683" s="96"/>
      <c r="H683" s="96"/>
      <c r="I683" s="57"/>
      <c r="J683" s="112"/>
      <c r="K683" s="96"/>
    </row>
    <row r="684">
      <c r="A684" s="111"/>
      <c r="E684" s="2"/>
      <c r="F684" s="2"/>
      <c r="G684" s="96"/>
      <c r="H684" s="96"/>
      <c r="I684" s="57"/>
      <c r="J684" s="112"/>
      <c r="K684" s="96"/>
    </row>
    <row r="685">
      <c r="A685" s="111"/>
      <c r="E685" s="2"/>
      <c r="F685" s="2"/>
      <c r="G685" s="96"/>
      <c r="H685" s="96"/>
      <c r="I685" s="57"/>
      <c r="J685" s="112"/>
      <c r="K685" s="96"/>
    </row>
    <row r="686">
      <c r="A686" s="111"/>
      <c r="E686" s="2"/>
      <c r="F686" s="2"/>
      <c r="G686" s="96"/>
      <c r="H686" s="96"/>
      <c r="I686" s="57"/>
      <c r="J686" s="112"/>
      <c r="K686" s="96"/>
    </row>
    <row r="687">
      <c r="A687" s="111"/>
      <c r="E687" s="2"/>
      <c r="F687" s="2"/>
      <c r="G687" s="96"/>
      <c r="H687" s="96"/>
      <c r="I687" s="57"/>
      <c r="J687" s="112"/>
      <c r="K687" s="96"/>
    </row>
    <row r="688">
      <c r="A688" s="111"/>
      <c r="E688" s="2"/>
      <c r="F688" s="2"/>
      <c r="G688" s="96"/>
      <c r="H688" s="96"/>
      <c r="I688" s="57"/>
      <c r="J688" s="112"/>
      <c r="K688" s="96"/>
    </row>
    <row r="689">
      <c r="A689" s="111"/>
      <c r="E689" s="2"/>
      <c r="F689" s="2"/>
      <c r="G689" s="96"/>
      <c r="H689" s="96"/>
      <c r="I689" s="57"/>
      <c r="J689" s="112"/>
      <c r="K689" s="96"/>
    </row>
    <row r="690">
      <c r="A690" s="111"/>
      <c r="E690" s="2"/>
      <c r="F690" s="2"/>
      <c r="G690" s="96"/>
      <c r="H690" s="96"/>
      <c r="I690" s="57"/>
      <c r="J690" s="112"/>
      <c r="K690" s="96"/>
    </row>
    <row r="691">
      <c r="A691" s="111"/>
      <c r="E691" s="2"/>
      <c r="F691" s="2"/>
      <c r="G691" s="96"/>
      <c r="H691" s="96"/>
      <c r="I691" s="57"/>
      <c r="J691" s="112"/>
      <c r="K691" s="96"/>
    </row>
    <row r="692">
      <c r="A692" s="111"/>
      <c r="E692" s="2"/>
      <c r="F692" s="2"/>
      <c r="G692" s="96"/>
      <c r="H692" s="96"/>
      <c r="I692" s="57"/>
      <c r="J692" s="112"/>
      <c r="K692" s="96"/>
    </row>
    <row r="693">
      <c r="A693" s="111"/>
      <c r="E693" s="2"/>
      <c r="F693" s="2"/>
      <c r="G693" s="96"/>
      <c r="H693" s="96"/>
      <c r="I693" s="57"/>
      <c r="J693" s="112"/>
      <c r="K693" s="96"/>
    </row>
    <row r="694">
      <c r="A694" s="111"/>
      <c r="E694" s="2"/>
      <c r="F694" s="2"/>
      <c r="G694" s="96"/>
      <c r="H694" s="96"/>
      <c r="I694" s="57"/>
      <c r="J694" s="112"/>
      <c r="K694" s="96"/>
    </row>
    <row r="695">
      <c r="A695" s="111"/>
      <c r="E695" s="2"/>
      <c r="F695" s="2"/>
      <c r="G695" s="96"/>
      <c r="H695" s="96"/>
      <c r="I695" s="57"/>
      <c r="J695" s="112"/>
      <c r="K695" s="96"/>
    </row>
    <row r="696">
      <c r="A696" s="111"/>
      <c r="E696" s="2"/>
      <c r="F696" s="2"/>
      <c r="G696" s="96"/>
      <c r="H696" s="96"/>
      <c r="I696" s="57"/>
      <c r="J696" s="112"/>
      <c r="K696" s="96"/>
    </row>
    <row r="697">
      <c r="A697" s="111"/>
      <c r="E697" s="2"/>
      <c r="F697" s="2"/>
      <c r="G697" s="96"/>
      <c r="H697" s="96"/>
      <c r="I697" s="57"/>
      <c r="J697" s="112"/>
      <c r="K697" s="96"/>
    </row>
    <row r="698">
      <c r="A698" s="111"/>
      <c r="E698" s="2"/>
      <c r="F698" s="2"/>
      <c r="G698" s="96"/>
      <c r="H698" s="96"/>
      <c r="I698" s="57"/>
      <c r="J698" s="112"/>
      <c r="K698" s="96"/>
    </row>
    <row r="699">
      <c r="A699" s="111"/>
      <c r="E699" s="2"/>
      <c r="F699" s="2"/>
      <c r="G699" s="96"/>
      <c r="H699" s="96"/>
      <c r="I699" s="57"/>
      <c r="J699" s="112"/>
      <c r="K699" s="96"/>
    </row>
    <row r="700">
      <c r="A700" s="111"/>
      <c r="E700" s="2"/>
      <c r="F700" s="2"/>
      <c r="G700" s="96"/>
      <c r="H700" s="96"/>
      <c r="I700" s="57"/>
      <c r="J700" s="112"/>
      <c r="K700" s="96"/>
    </row>
    <row r="701">
      <c r="A701" s="111"/>
      <c r="E701" s="2"/>
      <c r="F701" s="2"/>
      <c r="G701" s="96"/>
      <c r="H701" s="96"/>
      <c r="I701" s="57"/>
      <c r="J701" s="112"/>
      <c r="K701" s="96"/>
    </row>
    <row r="702">
      <c r="A702" s="111"/>
      <c r="E702" s="2"/>
      <c r="F702" s="2"/>
      <c r="G702" s="96"/>
      <c r="H702" s="96"/>
      <c r="I702" s="57"/>
      <c r="J702" s="112"/>
      <c r="K702" s="96"/>
    </row>
    <row r="703">
      <c r="A703" s="111"/>
      <c r="E703" s="2"/>
      <c r="F703" s="2"/>
      <c r="G703" s="96"/>
      <c r="H703" s="96"/>
      <c r="I703" s="57"/>
      <c r="J703" s="112"/>
      <c r="K703" s="96"/>
    </row>
    <row r="704">
      <c r="A704" s="111"/>
      <c r="E704" s="2"/>
      <c r="F704" s="2"/>
      <c r="G704" s="96"/>
      <c r="H704" s="96"/>
      <c r="I704" s="57"/>
      <c r="J704" s="112"/>
      <c r="K704" s="96"/>
    </row>
    <row r="705">
      <c r="A705" s="111"/>
      <c r="E705" s="2"/>
      <c r="F705" s="2"/>
      <c r="G705" s="96"/>
      <c r="H705" s="96"/>
      <c r="I705" s="57"/>
      <c r="J705" s="112"/>
      <c r="K705" s="96"/>
    </row>
    <row r="706">
      <c r="A706" s="111"/>
      <c r="E706" s="2"/>
      <c r="F706" s="2"/>
      <c r="G706" s="96"/>
      <c r="H706" s="96"/>
      <c r="I706" s="57"/>
      <c r="J706" s="112"/>
      <c r="K706" s="96"/>
    </row>
    <row r="707">
      <c r="A707" s="111"/>
      <c r="E707" s="2"/>
      <c r="F707" s="2"/>
      <c r="G707" s="96"/>
      <c r="H707" s="96"/>
      <c r="I707" s="57"/>
      <c r="J707" s="112"/>
      <c r="K707" s="96"/>
    </row>
    <row r="708">
      <c r="A708" s="111"/>
      <c r="E708" s="2"/>
      <c r="F708" s="2"/>
      <c r="G708" s="96"/>
      <c r="H708" s="96"/>
      <c r="I708" s="57"/>
      <c r="J708" s="112"/>
      <c r="K708" s="96"/>
    </row>
    <row r="709">
      <c r="A709" s="111"/>
      <c r="E709" s="2"/>
      <c r="F709" s="2"/>
      <c r="G709" s="96"/>
      <c r="H709" s="96"/>
      <c r="I709" s="57"/>
      <c r="J709" s="112"/>
      <c r="K709" s="96"/>
    </row>
    <row r="710">
      <c r="A710" s="111"/>
      <c r="E710" s="2"/>
      <c r="F710" s="2"/>
      <c r="G710" s="96"/>
      <c r="H710" s="96"/>
      <c r="I710" s="57"/>
      <c r="J710" s="112"/>
      <c r="K710" s="96"/>
    </row>
    <row r="711">
      <c r="A711" s="111"/>
      <c r="E711" s="2"/>
      <c r="F711" s="2"/>
      <c r="G711" s="96"/>
      <c r="H711" s="96"/>
      <c r="I711" s="57"/>
      <c r="J711" s="112"/>
      <c r="K711" s="96"/>
    </row>
    <row r="712">
      <c r="A712" s="111"/>
      <c r="E712" s="2"/>
      <c r="F712" s="2"/>
      <c r="G712" s="96"/>
      <c r="H712" s="96"/>
      <c r="I712" s="57"/>
      <c r="J712" s="112"/>
      <c r="K712" s="96"/>
    </row>
    <row r="713">
      <c r="A713" s="111"/>
      <c r="E713" s="2"/>
      <c r="F713" s="2"/>
      <c r="G713" s="96"/>
      <c r="H713" s="96"/>
      <c r="I713" s="57"/>
      <c r="J713" s="112"/>
      <c r="K713" s="96"/>
    </row>
    <row r="714">
      <c r="A714" s="111"/>
      <c r="E714" s="2"/>
      <c r="F714" s="2"/>
      <c r="G714" s="96"/>
      <c r="H714" s="96"/>
      <c r="I714" s="57"/>
      <c r="J714" s="112"/>
      <c r="K714" s="96"/>
    </row>
    <row r="715">
      <c r="A715" s="111"/>
      <c r="E715" s="2"/>
      <c r="F715" s="2"/>
      <c r="G715" s="96"/>
      <c r="H715" s="96"/>
      <c r="I715" s="57"/>
      <c r="J715" s="112"/>
      <c r="K715" s="96"/>
    </row>
    <row r="716">
      <c r="A716" s="111"/>
      <c r="E716" s="2"/>
      <c r="F716" s="2"/>
      <c r="G716" s="96"/>
      <c r="H716" s="96"/>
      <c r="I716" s="57"/>
      <c r="J716" s="112"/>
      <c r="K716" s="96"/>
    </row>
    <row r="717">
      <c r="A717" s="111"/>
      <c r="E717" s="2"/>
      <c r="F717" s="2"/>
      <c r="G717" s="96"/>
      <c r="H717" s="96"/>
      <c r="I717" s="57"/>
      <c r="J717" s="112"/>
      <c r="K717" s="96"/>
    </row>
    <row r="718">
      <c r="A718" s="111"/>
      <c r="E718" s="2"/>
      <c r="F718" s="2"/>
      <c r="G718" s="96"/>
      <c r="H718" s="96"/>
      <c r="I718" s="57"/>
      <c r="J718" s="112"/>
      <c r="K718" s="96"/>
    </row>
    <row r="719">
      <c r="A719" s="111"/>
      <c r="E719" s="2"/>
      <c r="F719" s="2"/>
      <c r="G719" s="96"/>
      <c r="H719" s="96"/>
      <c r="I719" s="57"/>
      <c r="J719" s="112"/>
      <c r="K719" s="96"/>
    </row>
    <row r="720">
      <c r="A720" s="111"/>
      <c r="E720" s="2"/>
      <c r="F720" s="2"/>
      <c r="G720" s="96"/>
      <c r="H720" s="96"/>
      <c r="I720" s="57"/>
      <c r="J720" s="112"/>
      <c r="K720" s="96"/>
    </row>
    <row r="721">
      <c r="A721" s="111"/>
      <c r="E721" s="2"/>
      <c r="F721" s="2"/>
      <c r="G721" s="96"/>
      <c r="H721" s="96"/>
      <c r="I721" s="57"/>
      <c r="J721" s="112"/>
      <c r="K721" s="96"/>
    </row>
    <row r="722">
      <c r="A722" s="111"/>
      <c r="E722" s="2"/>
      <c r="F722" s="2"/>
      <c r="G722" s="96"/>
      <c r="H722" s="96"/>
      <c r="I722" s="57"/>
      <c r="J722" s="112"/>
      <c r="K722" s="96"/>
    </row>
    <row r="723">
      <c r="A723" s="111"/>
      <c r="E723" s="2"/>
      <c r="F723" s="2"/>
      <c r="G723" s="96"/>
      <c r="H723" s="96"/>
      <c r="I723" s="57"/>
      <c r="J723" s="112"/>
      <c r="K723" s="96"/>
    </row>
    <row r="724">
      <c r="A724" s="111"/>
      <c r="E724" s="2"/>
      <c r="F724" s="2"/>
      <c r="G724" s="96"/>
      <c r="H724" s="96"/>
      <c r="I724" s="57"/>
      <c r="J724" s="112"/>
      <c r="K724" s="96"/>
    </row>
    <row r="725">
      <c r="A725" s="111"/>
      <c r="E725" s="2"/>
      <c r="F725" s="2"/>
      <c r="G725" s="96"/>
      <c r="H725" s="96"/>
      <c r="I725" s="57"/>
      <c r="J725" s="112"/>
      <c r="K725" s="96"/>
    </row>
    <row r="726">
      <c r="A726" s="111"/>
      <c r="E726" s="2"/>
      <c r="F726" s="2"/>
      <c r="G726" s="96"/>
      <c r="H726" s="96"/>
      <c r="I726" s="57"/>
      <c r="J726" s="112"/>
      <c r="K726" s="96"/>
    </row>
    <row r="727">
      <c r="A727" s="111"/>
      <c r="E727" s="2"/>
      <c r="F727" s="2"/>
      <c r="G727" s="96"/>
      <c r="H727" s="96"/>
      <c r="I727" s="57"/>
      <c r="J727" s="112"/>
      <c r="K727" s="96"/>
    </row>
    <row r="728">
      <c r="A728" s="111"/>
      <c r="E728" s="2"/>
      <c r="F728" s="2"/>
      <c r="G728" s="96"/>
      <c r="H728" s="96"/>
      <c r="I728" s="57"/>
      <c r="J728" s="112"/>
      <c r="K728" s="96"/>
    </row>
    <row r="729">
      <c r="A729" s="111"/>
      <c r="E729" s="2"/>
      <c r="F729" s="2"/>
      <c r="G729" s="96"/>
      <c r="H729" s="96"/>
      <c r="I729" s="57"/>
      <c r="J729" s="112"/>
      <c r="K729" s="96"/>
    </row>
    <row r="730">
      <c r="A730" s="111"/>
      <c r="E730" s="2"/>
      <c r="F730" s="2"/>
      <c r="G730" s="96"/>
      <c r="H730" s="96"/>
      <c r="I730" s="57"/>
      <c r="J730" s="112"/>
      <c r="K730" s="96"/>
    </row>
    <row r="731">
      <c r="A731" s="111"/>
      <c r="E731" s="2"/>
      <c r="F731" s="2"/>
      <c r="G731" s="96"/>
      <c r="H731" s="96"/>
      <c r="I731" s="57"/>
      <c r="J731" s="112"/>
      <c r="K731" s="96"/>
    </row>
    <row r="732">
      <c r="A732" s="111"/>
      <c r="E732" s="2"/>
      <c r="F732" s="2"/>
      <c r="G732" s="96"/>
      <c r="H732" s="96"/>
      <c r="I732" s="57"/>
      <c r="J732" s="112"/>
      <c r="K732" s="96"/>
    </row>
    <row r="733">
      <c r="A733" s="111"/>
      <c r="E733" s="2"/>
      <c r="F733" s="2"/>
      <c r="G733" s="96"/>
      <c r="H733" s="96"/>
      <c r="I733" s="57"/>
      <c r="J733" s="112"/>
      <c r="K733" s="96"/>
    </row>
    <row r="734">
      <c r="A734" s="111"/>
      <c r="E734" s="2"/>
      <c r="F734" s="2"/>
      <c r="G734" s="96"/>
      <c r="H734" s="96"/>
      <c r="I734" s="57"/>
      <c r="J734" s="112"/>
      <c r="K734" s="96"/>
    </row>
    <row r="735">
      <c r="A735" s="111"/>
      <c r="E735" s="2"/>
      <c r="F735" s="2"/>
      <c r="G735" s="96"/>
      <c r="H735" s="96"/>
      <c r="I735" s="57"/>
      <c r="J735" s="112"/>
      <c r="K735" s="96"/>
    </row>
    <row r="736">
      <c r="A736" s="111"/>
      <c r="E736" s="2"/>
      <c r="F736" s="2"/>
      <c r="G736" s="96"/>
      <c r="H736" s="96"/>
      <c r="I736" s="57"/>
      <c r="J736" s="112"/>
      <c r="K736" s="96"/>
    </row>
    <row r="737">
      <c r="A737" s="111"/>
      <c r="E737" s="2"/>
      <c r="F737" s="2"/>
      <c r="G737" s="96"/>
      <c r="H737" s="96"/>
      <c r="I737" s="57"/>
      <c r="J737" s="112"/>
      <c r="K737" s="96"/>
    </row>
    <row r="738">
      <c r="A738" s="111"/>
      <c r="E738" s="2"/>
      <c r="F738" s="2"/>
      <c r="G738" s="96"/>
      <c r="H738" s="96"/>
      <c r="I738" s="57"/>
      <c r="J738" s="112"/>
      <c r="K738" s="96"/>
    </row>
    <row r="739">
      <c r="A739" s="111"/>
      <c r="E739" s="2"/>
      <c r="F739" s="2"/>
      <c r="G739" s="96"/>
      <c r="H739" s="96"/>
      <c r="I739" s="57"/>
      <c r="J739" s="112"/>
      <c r="K739" s="96"/>
    </row>
    <row r="740">
      <c r="A740" s="111"/>
      <c r="E740" s="2"/>
      <c r="F740" s="2"/>
      <c r="G740" s="96"/>
      <c r="H740" s="96"/>
      <c r="I740" s="57"/>
      <c r="J740" s="112"/>
      <c r="K740" s="96"/>
    </row>
    <row r="741">
      <c r="A741" s="111"/>
      <c r="E741" s="2"/>
      <c r="F741" s="2"/>
      <c r="G741" s="96"/>
      <c r="H741" s="96"/>
      <c r="I741" s="57"/>
      <c r="J741" s="112"/>
      <c r="K741" s="96"/>
    </row>
    <row r="742">
      <c r="A742" s="111"/>
      <c r="E742" s="2"/>
      <c r="F742" s="2"/>
      <c r="G742" s="96"/>
      <c r="H742" s="96"/>
      <c r="I742" s="57"/>
      <c r="J742" s="112"/>
      <c r="K742" s="96"/>
    </row>
    <row r="743">
      <c r="A743" s="111"/>
      <c r="E743" s="2"/>
      <c r="F743" s="2"/>
      <c r="G743" s="96"/>
      <c r="H743" s="96"/>
      <c r="I743" s="57"/>
      <c r="J743" s="112"/>
      <c r="K743" s="96"/>
    </row>
    <row r="744">
      <c r="A744" s="111"/>
      <c r="E744" s="2"/>
      <c r="F744" s="2"/>
      <c r="G744" s="96"/>
      <c r="H744" s="96"/>
      <c r="I744" s="57"/>
      <c r="J744" s="112"/>
      <c r="K744" s="96"/>
    </row>
    <row r="745">
      <c r="A745" s="111"/>
      <c r="E745" s="2"/>
      <c r="F745" s="2"/>
      <c r="G745" s="96"/>
      <c r="H745" s="96"/>
      <c r="I745" s="57"/>
      <c r="J745" s="112"/>
      <c r="K745" s="96"/>
    </row>
    <row r="746">
      <c r="A746" s="111"/>
      <c r="E746" s="2"/>
      <c r="F746" s="2"/>
      <c r="G746" s="96"/>
      <c r="H746" s="96"/>
      <c r="I746" s="57"/>
      <c r="J746" s="112"/>
      <c r="K746" s="96"/>
    </row>
    <row r="747">
      <c r="A747" s="111"/>
      <c r="E747" s="2"/>
      <c r="F747" s="2"/>
      <c r="G747" s="96"/>
      <c r="H747" s="96"/>
      <c r="I747" s="57"/>
      <c r="J747" s="112"/>
      <c r="K747" s="96"/>
    </row>
    <row r="748">
      <c r="A748" s="111"/>
      <c r="E748" s="2"/>
      <c r="F748" s="2"/>
      <c r="G748" s="96"/>
      <c r="H748" s="96"/>
      <c r="I748" s="57"/>
      <c r="J748" s="112"/>
      <c r="K748" s="96"/>
    </row>
    <row r="749">
      <c r="A749" s="111"/>
      <c r="E749" s="2"/>
      <c r="F749" s="2"/>
      <c r="G749" s="96"/>
      <c r="H749" s="96"/>
      <c r="I749" s="57"/>
      <c r="J749" s="112"/>
      <c r="K749" s="96"/>
    </row>
    <row r="750">
      <c r="A750" s="111"/>
      <c r="E750" s="2"/>
      <c r="F750" s="2"/>
      <c r="G750" s="96"/>
      <c r="H750" s="96"/>
      <c r="I750" s="57"/>
      <c r="J750" s="112"/>
      <c r="K750" s="96"/>
    </row>
    <row r="751">
      <c r="A751" s="111"/>
      <c r="E751" s="2"/>
      <c r="F751" s="2"/>
      <c r="G751" s="96"/>
      <c r="H751" s="96"/>
      <c r="I751" s="57"/>
      <c r="J751" s="112"/>
      <c r="K751" s="96"/>
    </row>
    <row r="752">
      <c r="A752" s="111"/>
      <c r="E752" s="2"/>
      <c r="F752" s="2"/>
      <c r="G752" s="96"/>
      <c r="H752" s="96"/>
      <c r="I752" s="57"/>
      <c r="J752" s="112"/>
      <c r="K752" s="96"/>
    </row>
    <row r="753">
      <c r="A753" s="111"/>
      <c r="E753" s="2"/>
      <c r="F753" s="2"/>
      <c r="G753" s="96"/>
      <c r="H753" s="96"/>
      <c r="I753" s="57"/>
      <c r="J753" s="112"/>
      <c r="K753" s="96"/>
    </row>
    <row r="754">
      <c r="A754" s="111"/>
      <c r="E754" s="2"/>
      <c r="F754" s="2"/>
      <c r="G754" s="96"/>
      <c r="H754" s="96"/>
      <c r="I754" s="57"/>
      <c r="J754" s="112"/>
      <c r="K754" s="96"/>
    </row>
    <row r="755">
      <c r="A755" s="111"/>
      <c r="E755" s="2"/>
      <c r="F755" s="2"/>
      <c r="G755" s="96"/>
      <c r="H755" s="96"/>
      <c r="I755" s="57"/>
      <c r="J755" s="112"/>
      <c r="K755" s="96"/>
    </row>
    <row r="756">
      <c r="A756" s="111"/>
      <c r="E756" s="2"/>
      <c r="F756" s="2"/>
      <c r="G756" s="96"/>
      <c r="H756" s="96"/>
      <c r="I756" s="57"/>
      <c r="J756" s="112"/>
      <c r="K756" s="96"/>
    </row>
    <row r="757">
      <c r="A757" s="111"/>
      <c r="E757" s="2"/>
      <c r="F757" s="2"/>
      <c r="G757" s="96"/>
      <c r="H757" s="96"/>
      <c r="I757" s="57"/>
      <c r="J757" s="112"/>
      <c r="K757" s="96"/>
    </row>
    <row r="758">
      <c r="A758" s="111"/>
      <c r="E758" s="2"/>
      <c r="F758" s="2"/>
      <c r="G758" s="96"/>
      <c r="H758" s="96"/>
      <c r="I758" s="57"/>
      <c r="J758" s="112"/>
      <c r="K758" s="96"/>
    </row>
    <row r="759">
      <c r="A759" s="111"/>
      <c r="E759" s="2"/>
      <c r="F759" s="2"/>
      <c r="G759" s="96"/>
      <c r="H759" s="96"/>
      <c r="I759" s="57"/>
      <c r="J759" s="112"/>
      <c r="K759" s="96"/>
    </row>
    <row r="760">
      <c r="A760" s="111"/>
      <c r="E760" s="2"/>
      <c r="F760" s="2"/>
      <c r="G760" s="96"/>
      <c r="H760" s="96"/>
      <c r="I760" s="57"/>
      <c r="J760" s="112"/>
      <c r="K760" s="96"/>
    </row>
    <row r="761">
      <c r="A761" s="111"/>
      <c r="E761" s="2"/>
      <c r="F761" s="2"/>
      <c r="G761" s="96"/>
      <c r="H761" s="96"/>
      <c r="I761" s="57"/>
      <c r="J761" s="112"/>
      <c r="K761" s="96"/>
    </row>
    <row r="762">
      <c r="A762" s="111"/>
      <c r="E762" s="2"/>
      <c r="F762" s="2"/>
      <c r="G762" s="96"/>
      <c r="H762" s="96"/>
      <c r="I762" s="57"/>
      <c r="J762" s="112"/>
      <c r="K762" s="96"/>
    </row>
    <row r="763">
      <c r="A763" s="111"/>
      <c r="E763" s="2"/>
      <c r="F763" s="2"/>
      <c r="G763" s="96"/>
      <c r="H763" s="96"/>
      <c r="I763" s="57"/>
      <c r="J763" s="112"/>
      <c r="K763" s="96"/>
    </row>
    <row r="764">
      <c r="A764" s="111"/>
      <c r="E764" s="2"/>
      <c r="F764" s="2"/>
      <c r="G764" s="96"/>
      <c r="H764" s="96"/>
      <c r="I764" s="57"/>
      <c r="J764" s="112"/>
      <c r="K764" s="96"/>
    </row>
    <row r="765">
      <c r="A765" s="111"/>
      <c r="E765" s="2"/>
      <c r="F765" s="2"/>
      <c r="G765" s="96"/>
      <c r="H765" s="96"/>
      <c r="I765" s="57"/>
      <c r="J765" s="112"/>
      <c r="K765" s="96"/>
    </row>
    <row r="766">
      <c r="A766" s="111"/>
      <c r="E766" s="2"/>
      <c r="F766" s="2"/>
      <c r="G766" s="96"/>
      <c r="H766" s="96"/>
      <c r="I766" s="57"/>
      <c r="J766" s="112"/>
      <c r="K766" s="96"/>
    </row>
    <row r="767">
      <c r="A767" s="111"/>
      <c r="E767" s="2"/>
      <c r="F767" s="2"/>
      <c r="G767" s="96"/>
      <c r="H767" s="96"/>
      <c r="I767" s="57"/>
      <c r="J767" s="112"/>
      <c r="K767" s="96"/>
    </row>
    <row r="768">
      <c r="A768" s="111"/>
      <c r="E768" s="2"/>
      <c r="F768" s="2"/>
      <c r="G768" s="96"/>
      <c r="H768" s="96"/>
      <c r="I768" s="57"/>
      <c r="J768" s="112"/>
      <c r="K768" s="96"/>
    </row>
    <row r="769">
      <c r="A769" s="111"/>
      <c r="E769" s="2"/>
      <c r="F769" s="2"/>
      <c r="G769" s="96"/>
      <c r="H769" s="96"/>
      <c r="I769" s="57"/>
      <c r="J769" s="112"/>
      <c r="K769" s="96"/>
    </row>
    <row r="770">
      <c r="A770" s="111"/>
      <c r="E770" s="2"/>
      <c r="F770" s="2"/>
      <c r="G770" s="96"/>
      <c r="H770" s="96"/>
      <c r="I770" s="57"/>
      <c r="J770" s="112"/>
      <c r="K770" s="96"/>
    </row>
    <row r="771">
      <c r="A771" s="111"/>
      <c r="E771" s="2"/>
      <c r="F771" s="2"/>
      <c r="G771" s="96"/>
      <c r="H771" s="96"/>
      <c r="I771" s="57"/>
      <c r="J771" s="112"/>
      <c r="K771" s="96"/>
    </row>
    <row r="772">
      <c r="A772" s="111"/>
      <c r="E772" s="2"/>
      <c r="F772" s="2"/>
      <c r="G772" s="96"/>
      <c r="H772" s="96"/>
      <c r="I772" s="57"/>
      <c r="J772" s="112"/>
      <c r="K772" s="96"/>
    </row>
    <row r="773">
      <c r="A773" s="111"/>
      <c r="E773" s="2"/>
      <c r="F773" s="2"/>
      <c r="G773" s="96"/>
      <c r="H773" s="96"/>
      <c r="I773" s="57"/>
      <c r="J773" s="112"/>
      <c r="K773" s="96"/>
    </row>
    <row r="774">
      <c r="A774" s="111"/>
      <c r="E774" s="2"/>
      <c r="F774" s="2"/>
      <c r="G774" s="96"/>
      <c r="H774" s="96"/>
      <c r="I774" s="57"/>
      <c r="J774" s="112"/>
      <c r="K774" s="96"/>
    </row>
    <row r="775">
      <c r="A775" s="111"/>
      <c r="E775" s="2"/>
      <c r="F775" s="2"/>
      <c r="G775" s="96"/>
      <c r="H775" s="96"/>
      <c r="I775" s="57"/>
      <c r="J775" s="112"/>
      <c r="K775" s="96"/>
    </row>
    <row r="776">
      <c r="A776" s="111"/>
      <c r="E776" s="2"/>
      <c r="F776" s="2"/>
      <c r="G776" s="96"/>
      <c r="H776" s="96"/>
      <c r="I776" s="57"/>
      <c r="J776" s="112"/>
      <c r="K776" s="96"/>
    </row>
    <row r="777">
      <c r="A777" s="111"/>
      <c r="E777" s="2"/>
      <c r="F777" s="2"/>
      <c r="G777" s="96"/>
      <c r="H777" s="96"/>
      <c r="I777" s="57"/>
      <c r="J777" s="112"/>
      <c r="K777" s="96"/>
    </row>
    <row r="778">
      <c r="A778" s="111"/>
      <c r="E778" s="2"/>
      <c r="F778" s="2"/>
      <c r="G778" s="96"/>
      <c r="H778" s="96"/>
      <c r="I778" s="57"/>
      <c r="J778" s="112"/>
      <c r="K778" s="96"/>
    </row>
    <row r="779">
      <c r="A779" s="111"/>
      <c r="E779" s="2"/>
      <c r="F779" s="2"/>
      <c r="G779" s="96"/>
      <c r="H779" s="96"/>
      <c r="I779" s="57"/>
      <c r="J779" s="112"/>
      <c r="K779" s="96"/>
    </row>
    <row r="780">
      <c r="A780" s="111"/>
      <c r="E780" s="2"/>
      <c r="F780" s="2"/>
      <c r="G780" s="96"/>
      <c r="H780" s="96"/>
      <c r="I780" s="57"/>
      <c r="J780" s="112"/>
      <c r="K780" s="96"/>
    </row>
    <row r="781">
      <c r="A781" s="111"/>
      <c r="E781" s="2"/>
      <c r="F781" s="2"/>
      <c r="G781" s="96"/>
      <c r="H781" s="96"/>
      <c r="I781" s="57"/>
      <c r="J781" s="112"/>
      <c r="K781" s="96"/>
    </row>
    <row r="782">
      <c r="A782" s="111"/>
      <c r="E782" s="2"/>
      <c r="F782" s="2"/>
      <c r="G782" s="96"/>
      <c r="H782" s="96"/>
      <c r="I782" s="57"/>
      <c r="J782" s="112"/>
      <c r="K782" s="96"/>
    </row>
    <row r="783">
      <c r="A783" s="111"/>
      <c r="E783" s="2"/>
      <c r="F783" s="2"/>
      <c r="G783" s="96"/>
      <c r="H783" s="96"/>
      <c r="I783" s="57"/>
      <c r="J783" s="112"/>
      <c r="K783" s="96"/>
    </row>
    <row r="784">
      <c r="A784" s="111"/>
      <c r="E784" s="2"/>
      <c r="F784" s="2"/>
      <c r="G784" s="96"/>
      <c r="H784" s="96"/>
      <c r="I784" s="57"/>
      <c r="J784" s="112"/>
      <c r="K784" s="96"/>
    </row>
    <row r="785">
      <c r="A785" s="111"/>
      <c r="E785" s="2"/>
      <c r="F785" s="2"/>
      <c r="G785" s="96"/>
      <c r="H785" s="96"/>
      <c r="I785" s="57"/>
      <c r="J785" s="112"/>
      <c r="K785" s="96"/>
    </row>
    <row r="786">
      <c r="A786" s="111"/>
      <c r="E786" s="2"/>
      <c r="F786" s="2"/>
      <c r="G786" s="96"/>
      <c r="H786" s="96"/>
      <c r="I786" s="57"/>
      <c r="J786" s="112"/>
      <c r="K786" s="96"/>
    </row>
    <row r="787">
      <c r="A787" s="111"/>
      <c r="E787" s="2"/>
      <c r="F787" s="2"/>
      <c r="G787" s="96"/>
      <c r="H787" s="96"/>
      <c r="I787" s="57"/>
      <c r="J787" s="112"/>
      <c r="K787" s="96"/>
    </row>
    <row r="788">
      <c r="A788" s="111"/>
      <c r="E788" s="2"/>
      <c r="F788" s="2"/>
      <c r="G788" s="96"/>
      <c r="H788" s="96"/>
      <c r="I788" s="57"/>
      <c r="J788" s="112"/>
      <c r="K788" s="96"/>
    </row>
    <row r="789">
      <c r="A789" s="111"/>
      <c r="E789" s="2"/>
      <c r="F789" s="2"/>
      <c r="G789" s="96"/>
      <c r="H789" s="96"/>
      <c r="I789" s="57"/>
      <c r="J789" s="112"/>
      <c r="K789" s="96"/>
    </row>
    <row r="790">
      <c r="A790" s="111"/>
      <c r="E790" s="2"/>
      <c r="F790" s="2"/>
      <c r="G790" s="96"/>
      <c r="H790" s="96"/>
      <c r="I790" s="57"/>
      <c r="J790" s="112"/>
      <c r="K790" s="96"/>
    </row>
    <row r="791">
      <c r="A791" s="111"/>
      <c r="E791" s="2"/>
      <c r="F791" s="2"/>
      <c r="G791" s="96"/>
      <c r="H791" s="96"/>
      <c r="I791" s="57"/>
      <c r="J791" s="112"/>
      <c r="K791" s="96"/>
    </row>
    <row r="792">
      <c r="A792" s="111"/>
      <c r="E792" s="2"/>
      <c r="F792" s="2"/>
      <c r="G792" s="96"/>
      <c r="H792" s="96"/>
      <c r="I792" s="57"/>
      <c r="J792" s="112"/>
      <c r="K792" s="96"/>
    </row>
    <row r="793">
      <c r="A793" s="111"/>
      <c r="E793" s="2"/>
      <c r="F793" s="2"/>
      <c r="G793" s="96"/>
      <c r="H793" s="96"/>
      <c r="I793" s="57"/>
      <c r="J793" s="112"/>
      <c r="K793" s="96"/>
    </row>
    <row r="794">
      <c r="A794" s="111"/>
      <c r="E794" s="2"/>
      <c r="F794" s="2"/>
      <c r="G794" s="96"/>
      <c r="H794" s="96"/>
      <c r="I794" s="57"/>
      <c r="J794" s="112"/>
      <c r="K794" s="96"/>
    </row>
    <row r="795">
      <c r="A795" s="111"/>
      <c r="E795" s="2"/>
      <c r="F795" s="2"/>
      <c r="G795" s="96"/>
      <c r="H795" s="96"/>
      <c r="I795" s="57"/>
      <c r="J795" s="112"/>
      <c r="K795" s="96"/>
    </row>
    <row r="796">
      <c r="A796" s="111"/>
      <c r="E796" s="2"/>
      <c r="F796" s="2"/>
      <c r="G796" s="96"/>
      <c r="H796" s="96"/>
      <c r="I796" s="57"/>
      <c r="J796" s="112"/>
      <c r="K796" s="96"/>
    </row>
    <row r="797">
      <c r="A797" s="111"/>
      <c r="E797" s="2"/>
      <c r="F797" s="2"/>
      <c r="G797" s="96"/>
      <c r="H797" s="96"/>
      <c r="I797" s="57"/>
      <c r="J797" s="112"/>
      <c r="K797" s="96"/>
    </row>
    <row r="798">
      <c r="A798" s="111"/>
      <c r="E798" s="2"/>
      <c r="F798" s="2"/>
      <c r="G798" s="96"/>
      <c r="H798" s="96"/>
      <c r="I798" s="57"/>
      <c r="J798" s="112"/>
      <c r="K798" s="96"/>
    </row>
    <row r="799">
      <c r="A799" s="111"/>
      <c r="E799" s="2"/>
      <c r="F799" s="2"/>
      <c r="G799" s="96"/>
      <c r="H799" s="96"/>
      <c r="I799" s="57"/>
      <c r="J799" s="112"/>
      <c r="K799" s="96"/>
    </row>
    <row r="800">
      <c r="A800" s="111"/>
      <c r="E800" s="2"/>
      <c r="F800" s="2"/>
      <c r="G800" s="96"/>
      <c r="H800" s="96"/>
      <c r="I800" s="57"/>
      <c r="J800" s="112"/>
      <c r="K800" s="96"/>
    </row>
    <row r="801">
      <c r="A801" s="111"/>
      <c r="E801" s="2"/>
      <c r="F801" s="2"/>
      <c r="G801" s="96"/>
      <c r="H801" s="96"/>
      <c r="I801" s="57"/>
      <c r="J801" s="112"/>
      <c r="K801" s="96"/>
    </row>
    <row r="802">
      <c r="A802" s="111"/>
      <c r="E802" s="2"/>
      <c r="F802" s="2"/>
      <c r="G802" s="96"/>
      <c r="H802" s="96"/>
      <c r="I802" s="57"/>
      <c r="J802" s="112"/>
      <c r="K802" s="96"/>
    </row>
    <row r="803">
      <c r="A803" s="111"/>
      <c r="E803" s="2"/>
      <c r="F803" s="2"/>
      <c r="G803" s="96"/>
      <c r="H803" s="96"/>
      <c r="I803" s="57"/>
      <c r="J803" s="112"/>
      <c r="K803" s="96"/>
    </row>
    <row r="804">
      <c r="A804" s="111"/>
      <c r="E804" s="2"/>
      <c r="F804" s="2"/>
      <c r="G804" s="96"/>
      <c r="H804" s="96"/>
      <c r="I804" s="57"/>
      <c r="J804" s="112"/>
      <c r="K804" s="96"/>
    </row>
    <row r="805">
      <c r="A805" s="111"/>
      <c r="E805" s="2"/>
      <c r="F805" s="2"/>
      <c r="G805" s="96"/>
      <c r="H805" s="96"/>
      <c r="I805" s="57"/>
      <c r="J805" s="112"/>
      <c r="K805" s="96"/>
    </row>
    <row r="806">
      <c r="A806" s="111"/>
      <c r="E806" s="2"/>
      <c r="F806" s="2"/>
      <c r="G806" s="96"/>
      <c r="H806" s="96"/>
      <c r="I806" s="57"/>
      <c r="J806" s="112"/>
      <c r="K806" s="96"/>
    </row>
    <row r="807">
      <c r="A807" s="111"/>
      <c r="E807" s="2"/>
      <c r="F807" s="2"/>
      <c r="G807" s="96"/>
      <c r="H807" s="96"/>
      <c r="I807" s="57"/>
      <c r="J807" s="112"/>
      <c r="K807" s="96"/>
    </row>
    <row r="808">
      <c r="A808" s="111"/>
      <c r="E808" s="2"/>
      <c r="F808" s="2"/>
      <c r="G808" s="96"/>
      <c r="H808" s="96"/>
      <c r="I808" s="57"/>
      <c r="J808" s="112"/>
      <c r="K808" s="96"/>
    </row>
    <row r="809">
      <c r="A809" s="111"/>
      <c r="E809" s="2"/>
      <c r="F809" s="2"/>
      <c r="G809" s="96"/>
      <c r="H809" s="96"/>
      <c r="I809" s="57"/>
      <c r="J809" s="112"/>
      <c r="K809" s="96"/>
    </row>
    <row r="810">
      <c r="A810" s="111"/>
      <c r="E810" s="2"/>
      <c r="F810" s="2"/>
      <c r="G810" s="96"/>
      <c r="H810" s="96"/>
      <c r="I810" s="57"/>
      <c r="J810" s="112"/>
      <c r="K810" s="96"/>
    </row>
    <row r="811">
      <c r="A811" s="111"/>
      <c r="E811" s="2"/>
      <c r="F811" s="2"/>
      <c r="G811" s="96"/>
      <c r="H811" s="96"/>
      <c r="I811" s="57"/>
      <c r="J811" s="112"/>
      <c r="K811" s="96"/>
    </row>
    <row r="812">
      <c r="A812" s="111"/>
      <c r="E812" s="2"/>
      <c r="F812" s="2"/>
      <c r="G812" s="96"/>
      <c r="H812" s="96"/>
      <c r="I812" s="57"/>
      <c r="J812" s="112"/>
      <c r="K812" s="96"/>
    </row>
    <row r="813">
      <c r="A813" s="111"/>
      <c r="E813" s="2"/>
      <c r="F813" s="2"/>
      <c r="G813" s="96"/>
      <c r="H813" s="96"/>
      <c r="I813" s="57"/>
      <c r="J813" s="112"/>
      <c r="K813" s="96"/>
    </row>
    <row r="814">
      <c r="A814" s="111"/>
      <c r="E814" s="2"/>
      <c r="F814" s="2"/>
      <c r="G814" s="96"/>
      <c r="H814" s="96"/>
      <c r="I814" s="57"/>
      <c r="J814" s="112"/>
      <c r="K814" s="96"/>
    </row>
    <row r="815">
      <c r="A815" s="111"/>
      <c r="E815" s="2"/>
      <c r="F815" s="2"/>
      <c r="G815" s="96"/>
      <c r="H815" s="96"/>
      <c r="I815" s="57"/>
      <c r="J815" s="112"/>
      <c r="K815" s="96"/>
    </row>
    <row r="816">
      <c r="A816" s="111"/>
      <c r="E816" s="2"/>
      <c r="F816" s="2"/>
      <c r="G816" s="96"/>
      <c r="H816" s="96"/>
      <c r="I816" s="57"/>
      <c r="J816" s="112"/>
      <c r="K816" s="96"/>
    </row>
    <row r="817">
      <c r="A817" s="111"/>
      <c r="E817" s="2"/>
      <c r="F817" s="2"/>
      <c r="G817" s="96"/>
      <c r="H817" s="96"/>
      <c r="I817" s="57"/>
      <c r="J817" s="112"/>
      <c r="K817" s="96"/>
    </row>
    <row r="818">
      <c r="A818" s="111"/>
      <c r="E818" s="2"/>
      <c r="F818" s="2"/>
      <c r="G818" s="96"/>
      <c r="H818" s="96"/>
      <c r="I818" s="57"/>
      <c r="J818" s="112"/>
      <c r="K818" s="96"/>
    </row>
    <row r="819">
      <c r="A819" s="111"/>
      <c r="E819" s="2"/>
      <c r="F819" s="2"/>
      <c r="G819" s="96"/>
      <c r="H819" s="96"/>
      <c r="I819" s="57"/>
      <c r="J819" s="112"/>
      <c r="K819" s="96"/>
    </row>
    <row r="820">
      <c r="A820" s="111"/>
      <c r="E820" s="2"/>
      <c r="F820" s="2"/>
      <c r="G820" s="96"/>
      <c r="H820" s="96"/>
      <c r="I820" s="57"/>
      <c r="J820" s="112"/>
      <c r="K820" s="96"/>
    </row>
    <row r="821">
      <c r="A821" s="111"/>
      <c r="E821" s="2"/>
      <c r="F821" s="2"/>
      <c r="G821" s="96"/>
      <c r="H821" s="96"/>
      <c r="I821" s="57"/>
      <c r="J821" s="112"/>
      <c r="K821" s="96"/>
    </row>
    <row r="822">
      <c r="A822" s="111"/>
      <c r="E822" s="2"/>
      <c r="F822" s="2"/>
      <c r="G822" s="96"/>
      <c r="H822" s="96"/>
      <c r="I822" s="57"/>
      <c r="J822" s="112"/>
      <c r="K822" s="96"/>
    </row>
    <row r="823">
      <c r="A823" s="111"/>
      <c r="E823" s="2"/>
      <c r="F823" s="2"/>
      <c r="G823" s="96"/>
      <c r="H823" s="96"/>
      <c r="I823" s="57"/>
      <c r="J823" s="112"/>
      <c r="K823" s="96"/>
    </row>
    <row r="824">
      <c r="A824" s="111"/>
      <c r="E824" s="2"/>
      <c r="F824" s="2"/>
      <c r="G824" s="96"/>
      <c r="H824" s="96"/>
      <c r="I824" s="57"/>
      <c r="J824" s="112"/>
      <c r="K824" s="96"/>
    </row>
    <row r="825">
      <c r="A825" s="111"/>
      <c r="E825" s="2"/>
      <c r="F825" s="2"/>
      <c r="G825" s="96"/>
      <c r="H825" s="96"/>
      <c r="I825" s="57"/>
      <c r="J825" s="112"/>
      <c r="K825" s="96"/>
    </row>
    <row r="826">
      <c r="A826" s="111"/>
      <c r="E826" s="2"/>
      <c r="F826" s="2"/>
      <c r="G826" s="96"/>
      <c r="H826" s="96"/>
      <c r="I826" s="57"/>
      <c r="J826" s="112"/>
      <c r="K826" s="96"/>
    </row>
    <row r="827">
      <c r="A827" s="111"/>
      <c r="E827" s="2"/>
      <c r="F827" s="2"/>
      <c r="G827" s="96"/>
      <c r="H827" s="96"/>
      <c r="I827" s="57"/>
      <c r="J827" s="112"/>
      <c r="K827" s="96"/>
    </row>
    <row r="828">
      <c r="A828" s="111"/>
      <c r="E828" s="2"/>
      <c r="F828" s="2"/>
      <c r="G828" s="96"/>
      <c r="H828" s="96"/>
      <c r="I828" s="57"/>
      <c r="J828" s="112"/>
      <c r="K828" s="96"/>
    </row>
    <row r="829">
      <c r="A829" s="111"/>
      <c r="E829" s="2"/>
      <c r="F829" s="2"/>
      <c r="G829" s="96"/>
      <c r="H829" s="96"/>
      <c r="I829" s="57"/>
      <c r="J829" s="112"/>
      <c r="K829" s="96"/>
    </row>
    <row r="830">
      <c r="A830" s="111"/>
      <c r="E830" s="2"/>
      <c r="F830" s="2"/>
      <c r="G830" s="96"/>
      <c r="H830" s="96"/>
      <c r="I830" s="57"/>
      <c r="J830" s="112"/>
      <c r="K830" s="96"/>
    </row>
    <row r="831">
      <c r="A831" s="111"/>
      <c r="E831" s="2"/>
      <c r="F831" s="2"/>
      <c r="G831" s="96"/>
      <c r="H831" s="96"/>
      <c r="I831" s="57"/>
      <c r="J831" s="112"/>
      <c r="K831" s="96"/>
    </row>
    <row r="832">
      <c r="A832" s="111"/>
      <c r="E832" s="2"/>
      <c r="F832" s="2"/>
      <c r="G832" s="96"/>
      <c r="H832" s="96"/>
      <c r="I832" s="57"/>
      <c r="J832" s="112"/>
      <c r="K832" s="96"/>
    </row>
    <row r="833">
      <c r="A833" s="111"/>
      <c r="E833" s="2"/>
      <c r="F833" s="2"/>
      <c r="G833" s="96"/>
      <c r="H833" s="96"/>
      <c r="I833" s="57"/>
      <c r="J833" s="112"/>
      <c r="K833" s="96"/>
    </row>
    <row r="834">
      <c r="A834" s="111"/>
      <c r="E834" s="2"/>
      <c r="F834" s="2"/>
      <c r="G834" s="96"/>
      <c r="H834" s="96"/>
      <c r="I834" s="57"/>
      <c r="J834" s="112"/>
      <c r="K834" s="96"/>
    </row>
    <row r="835">
      <c r="A835" s="111"/>
      <c r="E835" s="2"/>
      <c r="F835" s="2"/>
      <c r="G835" s="96"/>
      <c r="H835" s="96"/>
      <c r="I835" s="57"/>
      <c r="J835" s="112"/>
      <c r="K835" s="96"/>
    </row>
    <row r="836">
      <c r="A836" s="111"/>
      <c r="E836" s="2"/>
      <c r="F836" s="2"/>
      <c r="G836" s="96"/>
      <c r="H836" s="96"/>
      <c r="I836" s="57"/>
      <c r="J836" s="112"/>
      <c r="K836" s="96"/>
    </row>
    <row r="837">
      <c r="A837" s="111"/>
      <c r="E837" s="2"/>
      <c r="F837" s="2"/>
      <c r="G837" s="96"/>
      <c r="H837" s="96"/>
      <c r="I837" s="57"/>
      <c r="J837" s="112"/>
      <c r="K837" s="96"/>
    </row>
    <row r="838">
      <c r="A838" s="111"/>
      <c r="E838" s="2"/>
      <c r="F838" s="2"/>
      <c r="G838" s="96"/>
      <c r="H838" s="96"/>
      <c r="I838" s="57"/>
      <c r="J838" s="112"/>
      <c r="K838" s="96"/>
    </row>
    <row r="839">
      <c r="A839" s="111"/>
      <c r="E839" s="2"/>
      <c r="F839" s="2"/>
      <c r="G839" s="96"/>
      <c r="H839" s="96"/>
      <c r="I839" s="57"/>
      <c r="J839" s="112"/>
      <c r="K839" s="96"/>
    </row>
    <row r="840">
      <c r="A840" s="111"/>
      <c r="E840" s="2"/>
      <c r="F840" s="2"/>
      <c r="G840" s="96"/>
      <c r="H840" s="96"/>
      <c r="I840" s="57"/>
      <c r="J840" s="112"/>
      <c r="K840" s="96"/>
    </row>
    <row r="841">
      <c r="A841" s="111"/>
      <c r="E841" s="2"/>
      <c r="F841" s="2"/>
      <c r="G841" s="96"/>
      <c r="H841" s="96"/>
      <c r="I841" s="57"/>
      <c r="J841" s="112"/>
      <c r="K841" s="96"/>
    </row>
    <row r="842">
      <c r="A842" s="111"/>
      <c r="E842" s="2"/>
      <c r="F842" s="2"/>
      <c r="G842" s="96"/>
      <c r="H842" s="96"/>
      <c r="I842" s="57"/>
      <c r="J842" s="112"/>
      <c r="K842" s="96"/>
    </row>
    <row r="843">
      <c r="A843" s="111"/>
      <c r="E843" s="2"/>
      <c r="F843" s="2"/>
      <c r="G843" s="96"/>
      <c r="H843" s="96"/>
      <c r="I843" s="57"/>
      <c r="J843" s="112"/>
      <c r="K843" s="96"/>
    </row>
    <row r="844">
      <c r="A844" s="111"/>
      <c r="E844" s="2"/>
      <c r="F844" s="2"/>
      <c r="G844" s="96"/>
      <c r="H844" s="96"/>
      <c r="I844" s="57"/>
      <c r="J844" s="112"/>
      <c r="K844" s="96"/>
    </row>
    <row r="845">
      <c r="A845" s="111"/>
      <c r="E845" s="2"/>
      <c r="F845" s="2"/>
      <c r="G845" s="96"/>
      <c r="H845" s="96"/>
      <c r="I845" s="57"/>
      <c r="J845" s="112"/>
      <c r="K845" s="96"/>
    </row>
    <row r="846">
      <c r="A846" s="111"/>
      <c r="E846" s="2"/>
      <c r="F846" s="2"/>
      <c r="G846" s="96"/>
      <c r="H846" s="96"/>
      <c r="I846" s="57"/>
      <c r="J846" s="112"/>
      <c r="K846" s="96"/>
    </row>
    <row r="847">
      <c r="A847" s="111"/>
      <c r="E847" s="2"/>
      <c r="F847" s="2"/>
      <c r="G847" s="96"/>
      <c r="H847" s="96"/>
      <c r="I847" s="57"/>
      <c r="J847" s="112"/>
      <c r="K847" s="96"/>
    </row>
    <row r="848">
      <c r="A848" s="111"/>
      <c r="E848" s="2"/>
      <c r="F848" s="2"/>
      <c r="G848" s="96"/>
      <c r="H848" s="96"/>
      <c r="I848" s="57"/>
      <c r="J848" s="112"/>
      <c r="K848" s="96"/>
    </row>
    <row r="849">
      <c r="A849" s="111"/>
      <c r="E849" s="2"/>
      <c r="F849" s="2"/>
      <c r="G849" s="96"/>
      <c r="H849" s="96"/>
      <c r="I849" s="57"/>
      <c r="J849" s="112"/>
      <c r="K849" s="96"/>
    </row>
    <row r="850">
      <c r="A850" s="111"/>
      <c r="E850" s="2"/>
      <c r="F850" s="2"/>
      <c r="G850" s="96"/>
      <c r="H850" s="96"/>
      <c r="I850" s="57"/>
      <c r="J850" s="112"/>
      <c r="K850" s="96"/>
    </row>
    <row r="851">
      <c r="A851" s="111"/>
      <c r="E851" s="2"/>
      <c r="F851" s="2"/>
      <c r="G851" s="96"/>
      <c r="H851" s="96"/>
      <c r="I851" s="57"/>
      <c r="J851" s="112"/>
      <c r="K851" s="96"/>
    </row>
    <row r="852">
      <c r="A852" s="111"/>
      <c r="E852" s="2"/>
      <c r="F852" s="2"/>
      <c r="G852" s="96"/>
      <c r="H852" s="96"/>
      <c r="I852" s="57"/>
      <c r="J852" s="112"/>
      <c r="K852" s="96"/>
    </row>
    <row r="853">
      <c r="A853" s="111"/>
      <c r="E853" s="2"/>
      <c r="F853" s="2"/>
      <c r="G853" s="96"/>
      <c r="H853" s="96"/>
      <c r="I853" s="57"/>
      <c r="J853" s="112"/>
      <c r="K853" s="96"/>
    </row>
    <row r="854">
      <c r="A854" s="111"/>
      <c r="E854" s="2"/>
      <c r="F854" s="2"/>
      <c r="G854" s="96"/>
      <c r="H854" s="96"/>
      <c r="I854" s="57"/>
      <c r="J854" s="112"/>
      <c r="K854" s="96"/>
    </row>
    <row r="855">
      <c r="A855" s="111"/>
      <c r="E855" s="2"/>
      <c r="F855" s="2"/>
      <c r="G855" s="96"/>
      <c r="H855" s="96"/>
      <c r="I855" s="57"/>
      <c r="J855" s="112"/>
      <c r="K855" s="96"/>
    </row>
    <row r="856">
      <c r="A856" s="111"/>
      <c r="E856" s="2"/>
      <c r="F856" s="2"/>
      <c r="G856" s="96"/>
      <c r="H856" s="96"/>
      <c r="I856" s="57"/>
      <c r="J856" s="112"/>
      <c r="K856" s="96"/>
    </row>
    <row r="857">
      <c r="A857" s="111"/>
      <c r="E857" s="2"/>
      <c r="F857" s="2"/>
      <c r="G857" s="96"/>
      <c r="H857" s="96"/>
      <c r="I857" s="57"/>
      <c r="J857" s="112"/>
      <c r="K857" s="96"/>
    </row>
    <row r="858">
      <c r="A858" s="111"/>
      <c r="E858" s="2"/>
      <c r="F858" s="2"/>
      <c r="G858" s="96"/>
      <c r="H858" s="96"/>
      <c r="I858" s="57"/>
      <c r="J858" s="112"/>
      <c r="K858" s="96"/>
    </row>
    <row r="859">
      <c r="A859" s="111"/>
      <c r="E859" s="2"/>
      <c r="F859" s="2"/>
      <c r="G859" s="96"/>
      <c r="H859" s="96"/>
      <c r="I859" s="57"/>
      <c r="J859" s="112"/>
      <c r="K859" s="96"/>
    </row>
    <row r="860">
      <c r="A860" s="111"/>
      <c r="E860" s="2"/>
      <c r="F860" s="2"/>
      <c r="G860" s="96"/>
      <c r="H860" s="96"/>
      <c r="I860" s="57"/>
      <c r="J860" s="112"/>
      <c r="K860" s="96"/>
    </row>
    <row r="861">
      <c r="A861" s="111"/>
      <c r="E861" s="2"/>
      <c r="F861" s="2"/>
      <c r="G861" s="96"/>
      <c r="H861" s="96"/>
      <c r="I861" s="57"/>
      <c r="J861" s="112"/>
      <c r="K861" s="96"/>
    </row>
    <row r="862">
      <c r="A862" s="111"/>
      <c r="E862" s="2"/>
      <c r="F862" s="2"/>
      <c r="G862" s="96"/>
      <c r="H862" s="96"/>
      <c r="I862" s="57"/>
      <c r="J862" s="112"/>
      <c r="K862" s="96"/>
    </row>
    <row r="863">
      <c r="A863" s="111"/>
      <c r="E863" s="2"/>
      <c r="F863" s="2"/>
      <c r="G863" s="96"/>
      <c r="H863" s="96"/>
      <c r="I863" s="57"/>
      <c r="J863" s="112"/>
      <c r="K863" s="96"/>
    </row>
    <row r="864">
      <c r="A864" s="111"/>
      <c r="E864" s="2"/>
      <c r="F864" s="2"/>
      <c r="G864" s="96"/>
      <c r="H864" s="96"/>
      <c r="I864" s="57"/>
      <c r="J864" s="112"/>
      <c r="K864" s="96"/>
    </row>
    <row r="865">
      <c r="A865" s="111"/>
      <c r="E865" s="2"/>
      <c r="F865" s="2"/>
      <c r="G865" s="96"/>
      <c r="H865" s="96"/>
      <c r="I865" s="57"/>
      <c r="J865" s="112"/>
      <c r="K865" s="96"/>
    </row>
    <row r="866">
      <c r="A866" s="111"/>
      <c r="E866" s="2"/>
      <c r="F866" s="2"/>
      <c r="G866" s="96"/>
      <c r="H866" s="96"/>
      <c r="I866" s="57"/>
      <c r="J866" s="112"/>
      <c r="K866" s="96"/>
    </row>
    <row r="867">
      <c r="A867" s="111"/>
      <c r="E867" s="2"/>
      <c r="F867" s="2"/>
      <c r="G867" s="96"/>
      <c r="H867" s="96"/>
      <c r="I867" s="57"/>
      <c r="J867" s="112"/>
      <c r="K867" s="96"/>
    </row>
    <row r="868">
      <c r="A868" s="111"/>
      <c r="E868" s="2"/>
      <c r="F868" s="2"/>
      <c r="G868" s="96"/>
      <c r="H868" s="96"/>
      <c r="I868" s="57"/>
      <c r="J868" s="112"/>
      <c r="K868" s="96"/>
    </row>
    <row r="869">
      <c r="A869" s="111"/>
      <c r="E869" s="2"/>
      <c r="F869" s="2"/>
      <c r="G869" s="96"/>
      <c r="H869" s="96"/>
      <c r="I869" s="57"/>
      <c r="J869" s="112"/>
      <c r="K869" s="96"/>
    </row>
    <row r="870">
      <c r="A870" s="111"/>
      <c r="E870" s="2"/>
      <c r="F870" s="2"/>
      <c r="G870" s="96"/>
      <c r="H870" s="96"/>
      <c r="I870" s="57"/>
      <c r="J870" s="112"/>
      <c r="K870" s="96"/>
    </row>
    <row r="871">
      <c r="A871" s="111"/>
      <c r="E871" s="2"/>
      <c r="F871" s="2"/>
      <c r="G871" s="96"/>
      <c r="H871" s="96"/>
      <c r="I871" s="57"/>
      <c r="J871" s="112"/>
      <c r="K871" s="96"/>
    </row>
    <row r="872">
      <c r="A872" s="111"/>
      <c r="E872" s="2"/>
      <c r="F872" s="2"/>
      <c r="G872" s="96"/>
      <c r="H872" s="96"/>
      <c r="I872" s="57"/>
      <c r="J872" s="112"/>
      <c r="K872" s="96"/>
    </row>
    <row r="873">
      <c r="A873" s="111"/>
      <c r="E873" s="2"/>
      <c r="F873" s="2"/>
      <c r="G873" s="96"/>
      <c r="H873" s="96"/>
      <c r="I873" s="57"/>
      <c r="J873" s="112"/>
      <c r="K873" s="96"/>
    </row>
    <row r="874">
      <c r="A874" s="111"/>
      <c r="E874" s="2"/>
      <c r="F874" s="2"/>
      <c r="G874" s="96"/>
      <c r="H874" s="96"/>
      <c r="I874" s="57"/>
      <c r="J874" s="112"/>
      <c r="K874" s="96"/>
    </row>
    <row r="875">
      <c r="A875" s="111"/>
      <c r="E875" s="2"/>
      <c r="F875" s="2"/>
      <c r="G875" s="96"/>
      <c r="H875" s="96"/>
      <c r="I875" s="57"/>
      <c r="J875" s="112"/>
      <c r="K875" s="96"/>
    </row>
    <row r="876">
      <c r="A876" s="111"/>
      <c r="E876" s="2"/>
      <c r="F876" s="2"/>
      <c r="G876" s="96"/>
      <c r="H876" s="96"/>
      <c r="I876" s="57"/>
      <c r="J876" s="112"/>
      <c r="K876" s="96"/>
    </row>
    <row r="877">
      <c r="A877" s="111"/>
      <c r="E877" s="2"/>
      <c r="F877" s="2"/>
      <c r="G877" s="96"/>
      <c r="H877" s="96"/>
      <c r="I877" s="57"/>
      <c r="J877" s="112"/>
      <c r="K877" s="96"/>
    </row>
    <row r="878">
      <c r="A878" s="111"/>
      <c r="E878" s="2"/>
      <c r="F878" s="2"/>
      <c r="G878" s="96"/>
      <c r="H878" s="96"/>
      <c r="I878" s="57"/>
      <c r="J878" s="112"/>
      <c r="K878" s="96"/>
    </row>
    <row r="879">
      <c r="A879" s="111"/>
      <c r="E879" s="2"/>
      <c r="F879" s="2"/>
      <c r="G879" s="96"/>
      <c r="H879" s="96"/>
      <c r="I879" s="57"/>
      <c r="J879" s="112"/>
      <c r="K879" s="96"/>
    </row>
    <row r="880">
      <c r="A880" s="111"/>
      <c r="E880" s="2"/>
      <c r="F880" s="2"/>
      <c r="G880" s="96"/>
      <c r="H880" s="96"/>
      <c r="I880" s="57"/>
      <c r="J880" s="112"/>
      <c r="K880" s="96"/>
    </row>
    <row r="881">
      <c r="A881" s="111"/>
      <c r="E881" s="2"/>
      <c r="F881" s="2"/>
      <c r="G881" s="96"/>
      <c r="H881" s="96"/>
      <c r="I881" s="57"/>
      <c r="J881" s="112"/>
      <c r="K881" s="96"/>
    </row>
    <row r="882">
      <c r="A882" s="111"/>
      <c r="E882" s="2"/>
      <c r="F882" s="2"/>
      <c r="G882" s="96"/>
      <c r="H882" s="96"/>
      <c r="I882" s="57"/>
      <c r="J882" s="112"/>
      <c r="K882" s="96"/>
    </row>
    <row r="883">
      <c r="A883" s="111"/>
      <c r="E883" s="2"/>
      <c r="F883" s="2"/>
      <c r="G883" s="96"/>
      <c r="H883" s="96"/>
      <c r="I883" s="57"/>
      <c r="J883" s="112"/>
      <c r="K883" s="96"/>
    </row>
    <row r="884">
      <c r="A884" s="111"/>
      <c r="E884" s="2"/>
      <c r="F884" s="2"/>
      <c r="G884" s="96"/>
      <c r="H884" s="96"/>
      <c r="I884" s="57"/>
      <c r="J884" s="112"/>
      <c r="K884" s="96"/>
    </row>
    <row r="885">
      <c r="A885" s="111"/>
      <c r="E885" s="2"/>
      <c r="F885" s="2"/>
      <c r="G885" s="96"/>
      <c r="H885" s="96"/>
      <c r="I885" s="57"/>
      <c r="J885" s="112"/>
      <c r="K885" s="96"/>
    </row>
    <row r="886">
      <c r="A886" s="111"/>
      <c r="E886" s="2"/>
      <c r="F886" s="2"/>
      <c r="G886" s="96"/>
      <c r="H886" s="96"/>
      <c r="I886" s="57"/>
      <c r="J886" s="112"/>
      <c r="K886" s="96"/>
    </row>
    <row r="887">
      <c r="A887" s="111"/>
      <c r="E887" s="2"/>
      <c r="F887" s="2"/>
      <c r="G887" s="96"/>
      <c r="H887" s="96"/>
      <c r="I887" s="57"/>
      <c r="J887" s="112"/>
      <c r="K887" s="96"/>
    </row>
    <row r="888">
      <c r="A888" s="111"/>
      <c r="E888" s="2"/>
      <c r="F888" s="2"/>
      <c r="G888" s="96"/>
      <c r="H888" s="96"/>
      <c r="I888" s="57"/>
      <c r="J888" s="112"/>
      <c r="K888" s="96"/>
    </row>
    <row r="889">
      <c r="A889" s="111"/>
      <c r="E889" s="2"/>
      <c r="F889" s="2"/>
      <c r="G889" s="96"/>
      <c r="H889" s="96"/>
      <c r="I889" s="57"/>
      <c r="J889" s="112"/>
      <c r="K889" s="96"/>
    </row>
    <row r="890">
      <c r="A890" s="111"/>
      <c r="E890" s="2"/>
      <c r="F890" s="2"/>
      <c r="G890" s="96"/>
      <c r="H890" s="96"/>
      <c r="I890" s="57"/>
      <c r="J890" s="112"/>
      <c r="K890" s="96"/>
    </row>
    <row r="891">
      <c r="A891" s="111"/>
      <c r="E891" s="2"/>
      <c r="F891" s="2"/>
      <c r="G891" s="96"/>
      <c r="H891" s="96"/>
      <c r="I891" s="57"/>
      <c r="J891" s="112"/>
      <c r="K891" s="96"/>
    </row>
    <row r="892">
      <c r="A892" s="111"/>
      <c r="E892" s="2"/>
      <c r="F892" s="2"/>
      <c r="G892" s="96"/>
      <c r="H892" s="96"/>
      <c r="I892" s="57"/>
      <c r="J892" s="112"/>
      <c r="K892" s="96"/>
    </row>
    <row r="893">
      <c r="A893" s="111"/>
      <c r="E893" s="2"/>
      <c r="F893" s="2"/>
      <c r="G893" s="96"/>
      <c r="H893" s="96"/>
      <c r="I893" s="57"/>
      <c r="J893" s="112"/>
      <c r="K893" s="96"/>
    </row>
    <row r="894">
      <c r="A894" s="111"/>
      <c r="E894" s="2"/>
      <c r="F894" s="2"/>
      <c r="G894" s="96"/>
      <c r="H894" s="96"/>
      <c r="I894" s="57"/>
      <c r="J894" s="112"/>
      <c r="K894" s="96"/>
    </row>
    <row r="895">
      <c r="A895" s="111"/>
      <c r="E895" s="2"/>
      <c r="F895" s="2"/>
      <c r="G895" s="96"/>
      <c r="H895" s="96"/>
      <c r="I895" s="57"/>
      <c r="J895" s="112"/>
      <c r="K895" s="96"/>
    </row>
    <row r="896">
      <c r="A896" s="111"/>
      <c r="E896" s="2"/>
      <c r="F896" s="2"/>
      <c r="G896" s="96"/>
      <c r="H896" s="96"/>
      <c r="I896" s="57"/>
      <c r="J896" s="112"/>
      <c r="K896" s="96"/>
    </row>
    <row r="897">
      <c r="A897" s="111"/>
      <c r="E897" s="2"/>
      <c r="F897" s="2"/>
      <c r="G897" s="96"/>
      <c r="H897" s="96"/>
      <c r="I897" s="57"/>
      <c r="J897" s="112"/>
      <c r="K897" s="96"/>
    </row>
    <row r="898">
      <c r="A898" s="111"/>
      <c r="E898" s="2"/>
      <c r="F898" s="2"/>
      <c r="G898" s="96"/>
      <c r="H898" s="96"/>
      <c r="I898" s="57"/>
      <c r="J898" s="112"/>
      <c r="K898" s="96"/>
    </row>
    <row r="899">
      <c r="A899" s="111"/>
      <c r="E899" s="2"/>
      <c r="F899" s="2"/>
      <c r="G899" s="96"/>
      <c r="H899" s="96"/>
      <c r="I899" s="57"/>
      <c r="J899" s="112"/>
      <c r="K899" s="96"/>
    </row>
    <row r="900">
      <c r="A900" s="111"/>
      <c r="E900" s="2"/>
      <c r="F900" s="2"/>
      <c r="G900" s="96"/>
      <c r="H900" s="96"/>
      <c r="I900" s="57"/>
      <c r="J900" s="112"/>
      <c r="K900" s="96"/>
    </row>
    <row r="901">
      <c r="A901" s="111"/>
      <c r="E901" s="2"/>
      <c r="F901" s="2"/>
      <c r="G901" s="96"/>
      <c r="H901" s="96"/>
      <c r="I901" s="57"/>
      <c r="J901" s="112"/>
      <c r="K901" s="96"/>
    </row>
    <row r="902">
      <c r="A902" s="111"/>
      <c r="E902" s="2"/>
      <c r="F902" s="2"/>
      <c r="G902" s="96"/>
      <c r="H902" s="96"/>
      <c r="I902" s="57"/>
      <c r="J902" s="112"/>
      <c r="K902" s="96"/>
    </row>
    <row r="903">
      <c r="A903" s="111"/>
      <c r="E903" s="2"/>
      <c r="F903" s="2"/>
      <c r="G903" s="96"/>
      <c r="H903" s="96"/>
      <c r="I903" s="57"/>
      <c r="J903" s="112"/>
      <c r="K903" s="96"/>
    </row>
    <row r="904">
      <c r="A904" s="111"/>
      <c r="E904" s="2"/>
      <c r="F904" s="2"/>
      <c r="G904" s="96"/>
      <c r="H904" s="96"/>
      <c r="I904" s="57"/>
      <c r="J904" s="112"/>
      <c r="K904" s="96"/>
    </row>
    <row r="905">
      <c r="A905" s="111"/>
      <c r="E905" s="2"/>
      <c r="F905" s="2"/>
      <c r="G905" s="96"/>
      <c r="H905" s="96"/>
      <c r="I905" s="57"/>
      <c r="J905" s="112"/>
      <c r="K905" s="96"/>
    </row>
    <row r="906">
      <c r="A906" s="111"/>
      <c r="E906" s="2"/>
      <c r="F906" s="2"/>
      <c r="G906" s="96"/>
      <c r="H906" s="96"/>
      <c r="I906" s="57"/>
      <c r="J906" s="112"/>
      <c r="K906" s="96"/>
    </row>
    <row r="907">
      <c r="A907" s="111"/>
      <c r="E907" s="2"/>
      <c r="F907" s="2"/>
      <c r="G907" s="96"/>
      <c r="H907" s="96"/>
      <c r="I907" s="57"/>
      <c r="J907" s="112"/>
      <c r="K907" s="96"/>
    </row>
    <row r="908">
      <c r="A908" s="111"/>
      <c r="E908" s="2"/>
      <c r="F908" s="2"/>
      <c r="G908" s="96"/>
      <c r="H908" s="96"/>
      <c r="I908" s="57"/>
      <c r="J908" s="112"/>
      <c r="K908" s="96"/>
    </row>
    <row r="909">
      <c r="A909" s="111"/>
      <c r="E909" s="2"/>
      <c r="F909" s="2"/>
      <c r="G909" s="96"/>
      <c r="H909" s="96"/>
      <c r="I909" s="57"/>
      <c r="J909" s="112"/>
      <c r="K909" s="96"/>
    </row>
    <row r="910">
      <c r="A910" s="111"/>
      <c r="E910" s="2"/>
      <c r="F910" s="2"/>
      <c r="G910" s="96"/>
      <c r="H910" s="96"/>
      <c r="I910" s="57"/>
      <c r="J910" s="112"/>
      <c r="K910" s="96"/>
    </row>
    <row r="911">
      <c r="A911" s="111"/>
      <c r="E911" s="2"/>
      <c r="F911" s="2"/>
      <c r="G911" s="96"/>
      <c r="H911" s="96"/>
      <c r="I911" s="57"/>
      <c r="J911" s="112"/>
      <c r="K911" s="96"/>
    </row>
    <row r="912">
      <c r="A912" s="111"/>
      <c r="E912" s="2"/>
      <c r="F912" s="2"/>
      <c r="G912" s="96"/>
      <c r="H912" s="96"/>
      <c r="I912" s="57"/>
      <c r="J912" s="112"/>
      <c r="K912" s="96"/>
    </row>
    <row r="913">
      <c r="A913" s="111"/>
      <c r="E913" s="2"/>
      <c r="F913" s="2"/>
      <c r="G913" s="96"/>
      <c r="H913" s="96"/>
      <c r="I913" s="57"/>
      <c r="J913" s="112"/>
      <c r="K913" s="96"/>
    </row>
    <row r="914">
      <c r="A914" s="111"/>
      <c r="E914" s="2"/>
      <c r="F914" s="2"/>
      <c r="G914" s="96"/>
      <c r="H914" s="96"/>
      <c r="I914" s="57"/>
      <c r="J914" s="112"/>
      <c r="K914" s="96"/>
    </row>
    <row r="915">
      <c r="A915" s="111"/>
      <c r="E915" s="2"/>
      <c r="F915" s="2"/>
      <c r="G915" s="96"/>
      <c r="H915" s="96"/>
      <c r="I915" s="57"/>
      <c r="J915" s="112"/>
      <c r="K915" s="96"/>
    </row>
    <row r="916">
      <c r="A916" s="111"/>
      <c r="E916" s="2"/>
      <c r="F916" s="2"/>
      <c r="G916" s="96"/>
      <c r="H916" s="96"/>
      <c r="I916" s="57"/>
      <c r="J916" s="112"/>
      <c r="K916" s="96"/>
    </row>
    <row r="917">
      <c r="A917" s="111"/>
      <c r="E917" s="2"/>
      <c r="F917" s="2"/>
      <c r="G917" s="96"/>
      <c r="H917" s="96"/>
      <c r="I917" s="57"/>
      <c r="J917" s="112"/>
      <c r="K917" s="96"/>
    </row>
    <row r="918">
      <c r="A918" s="111"/>
      <c r="E918" s="2"/>
      <c r="F918" s="2"/>
      <c r="G918" s="96"/>
      <c r="H918" s="96"/>
      <c r="I918" s="57"/>
      <c r="J918" s="112"/>
      <c r="K918" s="96"/>
    </row>
    <row r="919">
      <c r="A919" s="111"/>
      <c r="E919" s="2"/>
      <c r="F919" s="2"/>
      <c r="G919" s="96"/>
      <c r="H919" s="96"/>
      <c r="I919" s="57"/>
      <c r="J919" s="112"/>
      <c r="K919" s="96"/>
    </row>
    <row r="920">
      <c r="A920" s="111"/>
      <c r="E920" s="2"/>
      <c r="F920" s="2"/>
      <c r="G920" s="96"/>
      <c r="H920" s="96"/>
      <c r="I920" s="57"/>
      <c r="J920" s="112"/>
      <c r="K920" s="96"/>
    </row>
    <row r="921">
      <c r="A921" s="111"/>
      <c r="E921" s="2"/>
      <c r="F921" s="2"/>
      <c r="G921" s="96"/>
      <c r="H921" s="96"/>
      <c r="I921" s="57"/>
      <c r="J921" s="112"/>
      <c r="K921" s="96"/>
    </row>
    <row r="922">
      <c r="A922" s="111"/>
      <c r="E922" s="2"/>
      <c r="F922" s="2"/>
      <c r="G922" s="96"/>
      <c r="H922" s="96"/>
      <c r="I922" s="57"/>
      <c r="J922" s="112"/>
      <c r="K922" s="96"/>
    </row>
    <row r="923">
      <c r="A923" s="111"/>
      <c r="E923" s="2"/>
      <c r="F923" s="2"/>
      <c r="G923" s="96"/>
      <c r="H923" s="96"/>
      <c r="I923" s="57"/>
      <c r="J923" s="112"/>
      <c r="K923" s="96"/>
    </row>
    <row r="924">
      <c r="A924" s="111"/>
      <c r="E924" s="2"/>
      <c r="F924" s="2"/>
      <c r="G924" s="96"/>
      <c r="H924" s="96"/>
      <c r="I924" s="57"/>
      <c r="J924" s="112"/>
      <c r="K924" s="96"/>
    </row>
    <row r="925">
      <c r="A925" s="111"/>
      <c r="E925" s="2"/>
      <c r="F925" s="2"/>
      <c r="G925" s="96"/>
      <c r="H925" s="96"/>
      <c r="I925" s="57"/>
      <c r="J925" s="112"/>
      <c r="K925" s="96"/>
    </row>
    <row r="926">
      <c r="A926" s="111"/>
      <c r="E926" s="2"/>
      <c r="F926" s="2"/>
      <c r="G926" s="96"/>
      <c r="H926" s="96"/>
      <c r="I926" s="57"/>
      <c r="J926" s="112"/>
      <c r="K926" s="96"/>
    </row>
    <row r="927">
      <c r="A927" s="111"/>
      <c r="E927" s="2"/>
      <c r="F927" s="2"/>
      <c r="G927" s="96"/>
      <c r="H927" s="96"/>
      <c r="I927" s="57"/>
      <c r="J927" s="112"/>
      <c r="K927" s="96"/>
    </row>
    <row r="928">
      <c r="A928" s="111"/>
      <c r="E928" s="2"/>
      <c r="F928" s="2"/>
      <c r="G928" s="96"/>
      <c r="H928" s="96"/>
      <c r="I928" s="57"/>
      <c r="J928" s="112"/>
      <c r="K928" s="96"/>
    </row>
    <row r="929">
      <c r="A929" s="111"/>
      <c r="E929" s="2"/>
      <c r="F929" s="2"/>
      <c r="G929" s="96"/>
      <c r="H929" s="96"/>
      <c r="I929" s="57"/>
      <c r="J929" s="112"/>
      <c r="K929" s="96"/>
    </row>
    <row r="930">
      <c r="A930" s="111"/>
      <c r="E930" s="2"/>
      <c r="F930" s="2"/>
      <c r="G930" s="96"/>
      <c r="H930" s="96"/>
      <c r="I930" s="57"/>
      <c r="J930" s="112"/>
      <c r="K930" s="96"/>
    </row>
    <row r="931">
      <c r="A931" s="111"/>
      <c r="E931" s="2"/>
      <c r="F931" s="2"/>
      <c r="G931" s="96"/>
      <c r="H931" s="96"/>
      <c r="I931" s="57"/>
      <c r="J931" s="112"/>
      <c r="K931" s="96"/>
    </row>
    <row r="932">
      <c r="A932" s="111"/>
      <c r="E932" s="2"/>
      <c r="F932" s="2"/>
      <c r="G932" s="96"/>
      <c r="H932" s="96"/>
      <c r="I932" s="57"/>
      <c r="J932" s="112"/>
      <c r="K932" s="96"/>
    </row>
    <row r="933">
      <c r="A933" s="111"/>
      <c r="E933" s="2"/>
      <c r="F933" s="2"/>
      <c r="G933" s="96"/>
      <c r="H933" s="96"/>
      <c r="I933" s="57"/>
      <c r="J933" s="112"/>
      <c r="K933" s="96"/>
    </row>
    <row r="934">
      <c r="A934" s="111"/>
      <c r="E934" s="2"/>
      <c r="F934" s="2"/>
      <c r="G934" s="96"/>
      <c r="H934" s="96"/>
      <c r="I934" s="57"/>
      <c r="J934" s="112"/>
      <c r="K934" s="96"/>
    </row>
    <row r="935">
      <c r="A935" s="111"/>
      <c r="E935" s="2"/>
      <c r="F935" s="2"/>
      <c r="G935" s="96"/>
      <c r="H935" s="96"/>
      <c r="I935" s="57"/>
      <c r="J935" s="112"/>
      <c r="K935" s="96"/>
    </row>
    <row r="936">
      <c r="A936" s="111"/>
      <c r="E936" s="2"/>
      <c r="F936" s="2"/>
      <c r="G936" s="96"/>
      <c r="H936" s="96"/>
      <c r="I936" s="57"/>
      <c r="J936" s="112"/>
      <c r="K936" s="96"/>
    </row>
    <row r="937">
      <c r="A937" s="111"/>
      <c r="E937" s="2"/>
      <c r="F937" s="2"/>
      <c r="G937" s="96"/>
      <c r="H937" s="96"/>
      <c r="I937" s="57"/>
      <c r="J937" s="112"/>
      <c r="K937" s="96"/>
    </row>
    <row r="938">
      <c r="A938" s="111"/>
      <c r="E938" s="2"/>
      <c r="F938" s="2"/>
      <c r="G938" s="96"/>
      <c r="H938" s="96"/>
      <c r="I938" s="57"/>
      <c r="J938" s="112"/>
      <c r="K938" s="96"/>
    </row>
    <row r="939">
      <c r="A939" s="111"/>
      <c r="E939" s="2"/>
      <c r="F939" s="2"/>
      <c r="G939" s="96"/>
      <c r="H939" s="96"/>
      <c r="I939" s="57"/>
      <c r="J939" s="112"/>
      <c r="K939" s="96"/>
    </row>
    <row r="940">
      <c r="A940" s="111"/>
      <c r="E940" s="2"/>
      <c r="F940" s="2"/>
      <c r="G940" s="96"/>
      <c r="H940" s="96"/>
      <c r="I940" s="57"/>
      <c r="J940" s="112"/>
      <c r="K940" s="96"/>
    </row>
    <row r="941">
      <c r="A941" s="111"/>
      <c r="E941" s="2"/>
      <c r="F941" s="2"/>
      <c r="G941" s="96"/>
      <c r="H941" s="96"/>
      <c r="I941" s="57"/>
      <c r="J941" s="112"/>
      <c r="K941" s="96"/>
    </row>
    <row r="942">
      <c r="A942" s="111"/>
      <c r="E942" s="2"/>
      <c r="F942" s="2"/>
      <c r="G942" s="96"/>
      <c r="H942" s="96"/>
      <c r="I942" s="57"/>
      <c r="J942" s="112"/>
      <c r="K942" s="96"/>
    </row>
    <row r="943">
      <c r="A943" s="111"/>
      <c r="E943" s="2"/>
      <c r="F943" s="2"/>
      <c r="G943" s="96"/>
      <c r="H943" s="96"/>
      <c r="I943" s="57"/>
      <c r="J943" s="112"/>
      <c r="K943" s="96"/>
    </row>
    <row r="944">
      <c r="A944" s="111"/>
      <c r="E944" s="2"/>
      <c r="F944" s="2"/>
      <c r="G944" s="96"/>
      <c r="H944" s="96"/>
      <c r="I944" s="57"/>
      <c r="J944" s="112"/>
      <c r="K944" s="96"/>
    </row>
    <row r="945">
      <c r="A945" s="111"/>
      <c r="E945" s="2"/>
      <c r="F945" s="2"/>
      <c r="G945" s="96"/>
      <c r="H945" s="96"/>
      <c r="I945" s="57"/>
      <c r="J945" s="112"/>
      <c r="K945" s="96"/>
    </row>
    <row r="946">
      <c r="A946" s="111"/>
      <c r="E946" s="2"/>
      <c r="F946" s="2"/>
      <c r="G946" s="96"/>
      <c r="H946" s="96"/>
      <c r="I946" s="57"/>
      <c r="J946" s="112"/>
      <c r="K946" s="96"/>
    </row>
    <row r="947">
      <c r="A947" s="111"/>
      <c r="E947" s="2"/>
      <c r="F947" s="2"/>
      <c r="G947" s="96"/>
      <c r="H947" s="96"/>
      <c r="I947" s="57"/>
      <c r="J947" s="112"/>
      <c r="K947" s="96"/>
    </row>
    <row r="948">
      <c r="A948" s="111"/>
      <c r="E948" s="2"/>
      <c r="F948" s="2"/>
      <c r="G948" s="96"/>
      <c r="H948" s="96"/>
      <c r="I948" s="57"/>
      <c r="J948" s="112"/>
      <c r="K948" s="96"/>
    </row>
    <row r="949">
      <c r="A949" s="111"/>
      <c r="E949" s="2"/>
      <c r="F949" s="2"/>
      <c r="G949" s="96"/>
      <c r="H949" s="96"/>
      <c r="I949" s="57"/>
      <c r="J949" s="112"/>
      <c r="K949" s="96"/>
    </row>
    <row r="950">
      <c r="A950" s="111"/>
      <c r="E950" s="2"/>
      <c r="F950" s="2"/>
      <c r="G950" s="96"/>
      <c r="H950" s="96"/>
      <c r="I950" s="57"/>
      <c r="J950" s="112"/>
      <c r="K950" s="96"/>
    </row>
    <row r="951">
      <c r="A951" s="111"/>
      <c r="E951" s="2"/>
      <c r="F951" s="2"/>
      <c r="G951" s="96"/>
      <c r="H951" s="96"/>
      <c r="I951" s="57"/>
      <c r="J951" s="112"/>
      <c r="K951" s="96"/>
    </row>
    <row r="952">
      <c r="A952" s="111"/>
      <c r="E952" s="2"/>
      <c r="F952" s="2"/>
      <c r="G952" s="96"/>
      <c r="H952" s="96"/>
      <c r="I952" s="57"/>
      <c r="J952" s="112"/>
      <c r="K952" s="96"/>
    </row>
    <row r="953">
      <c r="A953" s="111"/>
      <c r="E953" s="2"/>
      <c r="F953" s="2"/>
      <c r="G953" s="96"/>
      <c r="H953" s="96"/>
      <c r="I953" s="57"/>
      <c r="J953" s="112"/>
      <c r="K953" s="96"/>
    </row>
    <row r="954">
      <c r="A954" s="111"/>
      <c r="E954" s="2"/>
      <c r="F954" s="2"/>
      <c r="G954" s="96"/>
      <c r="H954" s="96"/>
      <c r="I954" s="57"/>
      <c r="J954" s="112"/>
      <c r="K954" s="96"/>
    </row>
    <row r="955">
      <c r="A955" s="111"/>
      <c r="E955" s="2"/>
      <c r="F955" s="2"/>
      <c r="G955" s="96"/>
      <c r="H955" s="96"/>
      <c r="I955" s="57"/>
      <c r="J955" s="112"/>
      <c r="K955" s="96"/>
    </row>
    <row r="956">
      <c r="A956" s="111"/>
      <c r="E956" s="2"/>
      <c r="F956" s="2"/>
      <c r="G956" s="96"/>
      <c r="H956" s="96"/>
      <c r="I956" s="57"/>
      <c r="J956" s="112"/>
      <c r="K956" s="96"/>
    </row>
    <row r="957">
      <c r="A957" s="111"/>
      <c r="E957" s="2"/>
      <c r="F957" s="2"/>
      <c r="G957" s="96"/>
      <c r="H957" s="96"/>
      <c r="I957" s="57"/>
      <c r="J957" s="112"/>
      <c r="K957" s="96"/>
    </row>
    <row r="958">
      <c r="A958" s="111"/>
      <c r="E958" s="2"/>
      <c r="F958" s="2"/>
      <c r="G958" s="96"/>
      <c r="H958" s="96"/>
      <c r="I958" s="57"/>
      <c r="J958" s="112"/>
      <c r="K958" s="96"/>
    </row>
    <row r="959">
      <c r="A959" s="111"/>
      <c r="E959" s="2"/>
      <c r="F959" s="2"/>
      <c r="G959" s="96"/>
      <c r="H959" s="96"/>
      <c r="I959" s="57"/>
      <c r="J959" s="112"/>
      <c r="K959" s="96"/>
    </row>
    <row r="960">
      <c r="A960" s="111"/>
      <c r="E960" s="2"/>
      <c r="F960" s="2"/>
      <c r="G960" s="96"/>
      <c r="H960" s="96"/>
      <c r="I960" s="57"/>
      <c r="J960" s="112"/>
      <c r="K960" s="96"/>
    </row>
    <row r="961">
      <c r="A961" s="111"/>
      <c r="E961" s="2"/>
      <c r="F961" s="2"/>
      <c r="G961" s="96"/>
      <c r="H961" s="96"/>
      <c r="I961" s="57"/>
      <c r="J961" s="112"/>
      <c r="K961" s="96"/>
    </row>
    <row r="962">
      <c r="A962" s="111"/>
      <c r="E962" s="2"/>
      <c r="F962" s="2"/>
      <c r="G962" s="96"/>
      <c r="H962" s="96"/>
      <c r="I962" s="57"/>
      <c r="J962" s="112"/>
      <c r="K962" s="96"/>
    </row>
    <row r="963">
      <c r="A963" s="111"/>
      <c r="E963" s="2"/>
      <c r="F963" s="2"/>
      <c r="G963" s="96"/>
      <c r="H963" s="96"/>
      <c r="I963" s="57"/>
      <c r="J963" s="112"/>
      <c r="K963" s="96"/>
    </row>
    <row r="964">
      <c r="A964" s="111"/>
      <c r="E964" s="2"/>
      <c r="F964" s="2"/>
      <c r="G964" s="96"/>
      <c r="H964" s="96"/>
      <c r="I964" s="57"/>
      <c r="J964" s="112"/>
      <c r="K964" s="96"/>
    </row>
    <row r="965">
      <c r="A965" s="111"/>
      <c r="E965" s="2"/>
      <c r="F965" s="2"/>
      <c r="G965" s="96"/>
      <c r="H965" s="96"/>
      <c r="I965" s="57"/>
      <c r="J965" s="112"/>
      <c r="K965" s="96"/>
    </row>
    <row r="966">
      <c r="A966" s="111"/>
      <c r="E966" s="2"/>
      <c r="F966" s="2"/>
      <c r="G966" s="96"/>
      <c r="H966" s="96"/>
      <c r="I966" s="57"/>
      <c r="J966" s="112"/>
      <c r="K966" s="96"/>
    </row>
    <row r="967">
      <c r="A967" s="111"/>
      <c r="E967" s="2"/>
      <c r="F967" s="2"/>
      <c r="G967" s="96"/>
      <c r="H967" s="96"/>
      <c r="I967" s="57"/>
      <c r="J967" s="112"/>
      <c r="K967" s="96"/>
    </row>
    <row r="968">
      <c r="A968" s="111"/>
      <c r="E968" s="2"/>
      <c r="F968" s="2"/>
      <c r="G968" s="96"/>
      <c r="H968" s="96"/>
      <c r="I968" s="57"/>
      <c r="J968" s="112"/>
      <c r="K968" s="96"/>
    </row>
    <row r="969">
      <c r="A969" s="111"/>
      <c r="E969" s="2"/>
      <c r="F969" s="2"/>
      <c r="G969" s="96"/>
      <c r="H969" s="96"/>
      <c r="I969" s="57"/>
      <c r="J969" s="112"/>
      <c r="K969" s="96"/>
    </row>
    <row r="970">
      <c r="A970" s="111"/>
      <c r="E970" s="2"/>
      <c r="F970" s="2"/>
      <c r="G970" s="96"/>
      <c r="H970" s="96"/>
      <c r="I970" s="57"/>
      <c r="J970" s="112"/>
      <c r="K970" s="96"/>
    </row>
    <row r="971">
      <c r="A971" s="111"/>
      <c r="E971" s="2"/>
      <c r="F971" s="2"/>
      <c r="G971" s="96"/>
      <c r="H971" s="96"/>
      <c r="I971" s="57"/>
      <c r="J971" s="112"/>
      <c r="K971" s="96"/>
    </row>
    <row r="972">
      <c r="A972" s="111"/>
      <c r="E972" s="2"/>
      <c r="F972" s="2"/>
      <c r="G972" s="96"/>
      <c r="H972" s="96"/>
      <c r="I972" s="57"/>
      <c r="J972" s="112"/>
      <c r="K972" s="96"/>
    </row>
    <row r="973">
      <c r="A973" s="111"/>
      <c r="E973" s="2"/>
      <c r="F973" s="2"/>
      <c r="G973" s="96"/>
      <c r="H973" s="96"/>
      <c r="I973" s="57"/>
      <c r="J973" s="112"/>
      <c r="K973" s="96"/>
    </row>
    <row r="974">
      <c r="A974" s="111"/>
      <c r="E974" s="2"/>
      <c r="F974" s="2"/>
      <c r="G974" s="96"/>
      <c r="H974" s="96"/>
      <c r="I974" s="57"/>
      <c r="J974" s="112"/>
      <c r="K974" s="96"/>
    </row>
    <row r="975">
      <c r="A975" s="111"/>
      <c r="E975" s="2"/>
      <c r="F975" s="2"/>
      <c r="G975" s="96"/>
      <c r="H975" s="96"/>
      <c r="I975" s="57"/>
      <c r="J975" s="112"/>
      <c r="K975" s="96"/>
    </row>
    <row r="976">
      <c r="A976" s="111"/>
      <c r="E976" s="2"/>
      <c r="F976" s="2"/>
      <c r="G976" s="96"/>
      <c r="H976" s="96"/>
      <c r="I976" s="57"/>
      <c r="J976" s="112"/>
      <c r="K976" s="96"/>
    </row>
    <row r="977">
      <c r="A977" s="111"/>
      <c r="E977" s="2"/>
      <c r="F977" s="2"/>
      <c r="G977" s="96"/>
      <c r="H977" s="96"/>
      <c r="I977" s="57"/>
      <c r="J977" s="112"/>
      <c r="K977" s="96"/>
    </row>
    <row r="978">
      <c r="A978" s="111"/>
      <c r="E978" s="2"/>
      <c r="F978" s="2"/>
      <c r="G978" s="96"/>
      <c r="H978" s="96"/>
      <c r="I978" s="57"/>
      <c r="J978" s="112"/>
      <c r="K978" s="96"/>
    </row>
    <row r="979">
      <c r="A979" s="111"/>
      <c r="E979" s="2"/>
      <c r="F979" s="2"/>
      <c r="G979" s="96"/>
      <c r="H979" s="96"/>
      <c r="I979" s="57"/>
      <c r="J979" s="112"/>
      <c r="K979" s="96"/>
    </row>
    <row r="980">
      <c r="A980" s="111"/>
      <c r="E980" s="2"/>
      <c r="F980" s="2"/>
      <c r="G980" s="96"/>
      <c r="H980" s="96"/>
      <c r="I980" s="57"/>
      <c r="J980" s="112"/>
      <c r="K980" s="96"/>
    </row>
    <row r="981">
      <c r="A981" s="111"/>
      <c r="E981" s="2"/>
      <c r="F981" s="2"/>
      <c r="G981" s="96"/>
      <c r="H981" s="96"/>
      <c r="I981" s="57"/>
      <c r="J981" s="112"/>
      <c r="K981" s="96"/>
    </row>
    <row r="982">
      <c r="A982" s="111"/>
      <c r="E982" s="2"/>
      <c r="F982" s="2"/>
      <c r="G982" s="96"/>
      <c r="H982" s="96"/>
      <c r="I982" s="57"/>
      <c r="J982" s="112"/>
      <c r="K982" s="96"/>
    </row>
    <row r="983">
      <c r="A983" s="111"/>
      <c r="E983" s="2"/>
      <c r="F983" s="2"/>
      <c r="G983" s="96"/>
      <c r="H983" s="96"/>
      <c r="I983" s="57"/>
      <c r="J983" s="112"/>
      <c r="K983" s="96"/>
    </row>
    <row r="984">
      <c r="A984" s="111"/>
      <c r="E984" s="2"/>
      <c r="F984" s="2"/>
      <c r="G984" s="96"/>
      <c r="H984" s="96"/>
      <c r="I984" s="57"/>
      <c r="J984" s="112"/>
      <c r="K984" s="96"/>
    </row>
    <row r="985">
      <c r="A985" s="111"/>
      <c r="E985" s="2"/>
      <c r="F985" s="2"/>
      <c r="G985" s="96"/>
      <c r="H985" s="96"/>
      <c r="I985" s="57"/>
      <c r="J985" s="112"/>
      <c r="K985" s="96"/>
    </row>
    <row r="986">
      <c r="A986" s="111"/>
      <c r="E986" s="2"/>
      <c r="F986" s="2"/>
      <c r="G986" s="96"/>
      <c r="H986" s="96"/>
      <c r="I986" s="57"/>
      <c r="J986" s="112"/>
      <c r="K986" s="96"/>
    </row>
    <row r="987">
      <c r="A987" s="111"/>
      <c r="E987" s="2"/>
      <c r="F987" s="2"/>
      <c r="G987" s="96"/>
      <c r="H987" s="96"/>
      <c r="I987" s="57"/>
      <c r="J987" s="112"/>
      <c r="K987" s="96"/>
    </row>
    <row r="988">
      <c r="A988" s="111"/>
      <c r="E988" s="2"/>
      <c r="F988" s="2"/>
      <c r="G988" s="96"/>
      <c r="H988" s="96"/>
      <c r="I988" s="57"/>
      <c r="J988" s="112"/>
      <c r="K988" s="96"/>
    </row>
    <row r="989">
      <c r="A989" s="111"/>
      <c r="E989" s="2"/>
      <c r="F989" s="2"/>
      <c r="G989" s="96"/>
      <c r="H989" s="96"/>
      <c r="I989" s="57"/>
      <c r="J989" s="112"/>
      <c r="K989" s="96"/>
    </row>
    <row r="990">
      <c r="A990" s="111"/>
      <c r="E990" s="2"/>
      <c r="F990" s="2"/>
      <c r="G990" s="96"/>
      <c r="H990" s="96"/>
      <c r="I990" s="57"/>
      <c r="J990" s="112"/>
      <c r="K990" s="96"/>
    </row>
    <row r="991">
      <c r="A991" s="111"/>
      <c r="E991" s="2"/>
      <c r="F991" s="2"/>
      <c r="G991" s="96"/>
      <c r="H991" s="96"/>
      <c r="I991" s="57"/>
      <c r="J991" s="112"/>
      <c r="K991" s="96"/>
    </row>
    <row r="992">
      <c r="A992" s="111"/>
      <c r="E992" s="2"/>
      <c r="F992" s="2"/>
      <c r="G992" s="96"/>
      <c r="H992" s="96"/>
      <c r="I992" s="57"/>
      <c r="J992" s="112"/>
      <c r="K992" s="96"/>
    </row>
    <row r="993">
      <c r="A993" s="111"/>
      <c r="E993" s="2"/>
      <c r="F993" s="2"/>
      <c r="G993" s="96"/>
      <c r="H993" s="96"/>
      <c r="I993" s="57"/>
      <c r="J993" s="112"/>
      <c r="K993" s="96"/>
    </row>
    <row r="994">
      <c r="A994" s="111"/>
      <c r="E994" s="2"/>
      <c r="F994" s="2"/>
      <c r="G994" s="96"/>
      <c r="H994" s="96"/>
      <c r="I994" s="57"/>
      <c r="J994" s="112"/>
      <c r="K994" s="96"/>
    </row>
    <row r="995">
      <c r="A995" s="111"/>
      <c r="E995" s="2"/>
      <c r="F995" s="2"/>
      <c r="G995" s="96"/>
      <c r="H995" s="96"/>
      <c r="I995" s="57"/>
      <c r="J995" s="112"/>
      <c r="K995" s="96"/>
    </row>
    <row r="996">
      <c r="A996" s="111"/>
      <c r="E996" s="2"/>
      <c r="F996" s="2"/>
      <c r="G996" s="96"/>
      <c r="H996" s="96"/>
      <c r="I996" s="57"/>
      <c r="J996" s="112"/>
      <c r="K996" s="96"/>
    </row>
    <row r="997">
      <c r="A997" s="111"/>
      <c r="E997" s="2"/>
      <c r="F997" s="2"/>
      <c r="G997" s="96"/>
      <c r="H997" s="96"/>
      <c r="I997" s="57"/>
      <c r="J997" s="112"/>
      <c r="K997" s="96"/>
    </row>
    <row r="998">
      <c r="A998" s="111"/>
      <c r="E998" s="2"/>
      <c r="F998" s="2"/>
      <c r="G998" s="96"/>
      <c r="H998" s="96"/>
      <c r="I998" s="57"/>
      <c r="J998" s="112"/>
      <c r="K998" s="96"/>
    </row>
  </sheetData>
  <customSheetViews>
    <customSheetView guid="{B51585CC-8073-4133-B0AA-E7D466A67C70}" filter="1" showAutoFilter="1">
      <autoFilter ref="$A$1:$L$135"/>
    </customSheetView>
  </customSheetViews>
  <conditionalFormatting sqref="J2:J257">
    <cfRule type="cellIs" dxfId="12" priority="1" operator="greaterThan">
      <formula>0</formula>
    </cfRule>
  </conditionalFormatting>
  <conditionalFormatting sqref="K2:K998">
    <cfRule type="containsBlanks" dxfId="12" priority="2">
      <formula>LEN(TRIM(K2))=0</formula>
    </cfRule>
  </conditionalFormatting>
  <dataValidations>
    <dataValidation type="list" allowBlank="1" showDropDown="1" showErrorMessage="1" sqref="H2:H500">
      <formula1>"Phone Pe SK,Paytm SK,PhonePe VK,PAYTM B QR,Cash"</formula1>
    </dataValidation>
    <dataValidation type="custom" allowBlank="1" sqref="A2:A187 A189:A250">
      <formula1>OR(NOT(ISERROR(DATEVALUE(A2))), AND(ISNUMBER(A2), LEFT(CELL("format", A2))="D"))</formula1>
    </dataValidation>
    <dataValidation type="list" allowBlank="1" showDropDown="1" showErrorMessage="1" sqref="B2:B500">
      <formula1>Inventory!$A$2:$A$100</formula1>
    </dataValidation>
    <dataValidation type="list" allowBlank="1" showDropDown="1" sqref="G2:G500">
      <formula1>Customers!$A$2:$A$101</formula1>
    </dataValidation>
  </dataValidations>
  <drawing r:id="rId1"/>
  <tableParts count="1">
    <tablePart r:id="rId3"/>
  </tableParts>
  <extLst>
    <ext uri="{3A4CF648-6AED-40f4-86FF-DC5316D8AED3}">
      <x14:slicerList>
        <x14:slicer r:id="rId4"/>
      </x14:slicerList>
    </ext>
  </extLst>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75"/>
    <col customWidth="1" min="3" max="3" width="2.0"/>
    <col customWidth="1" min="5" max="5" width="1.75"/>
    <col customWidth="1" min="6" max="6" width="14.63"/>
    <col customWidth="1" min="7" max="7" width="1.5"/>
    <col customWidth="1" min="9" max="9" width="2.5"/>
    <col customWidth="1" min="12" max="12" width="21.13"/>
    <col customWidth="1" min="14" max="14" width="3.25"/>
  </cols>
  <sheetData>
    <row r="3">
      <c r="B3" s="18" t="s">
        <v>43</v>
      </c>
      <c r="D3" s="79">
        <f>M3</f>
        <v>16235</v>
      </c>
      <c r="F3" s="18" t="s">
        <v>45</v>
      </c>
      <c r="H3" s="82">
        <f>SUMPRODUCT((Inventory!G2:G100&lt;=Inventory!H2:H100)*(Inventory!A2:A100&lt;&gt;""))</f>
        <v>55</v>
      </c>
      <c r="J3" s="28" t="str">
        <f>IFERROR(__xludf.DUMMYFUNCTION("FILTER(Inventory!B2:B9, Inventory!G2:G9 &lt;= Inventory!H2:H9)"),"Opening Balance")</f>
        <v>Opening Balance</v>
      </c>
      <c r="L3" s="84" t="s">
        <v>48</v>
      </c>
      <c r="M3" s="85">
        <f>sum(M4:M33)</f>
        <v>16235</v>
      </c>
    </row>
    <row r="4">
      <c r="J4" s="28" t="str">
        <f>IFERROR(__xludf.DUMMYFUNCTION("""COMPUTED_VALUE"""),"CTRNG")</f>
        <v>CTRNG</v>
      </c>
      <c r="L4" s="86">
        <v>46204.0</v>
      </c>
      <c r="M4" s="85">
        <f>SUMIF(Sales!A:A,L4,Sales!I:I)</f>
        <v>4390</v>
      </c>
    </row>
    <row r="5">
      <c r="B5" s="41" t="s">
        <v>51</v>
      </c>
      <c r="D5" s="37">
        <f>SUM(Sales!F:F)</f>
        <v>21325</v>
      </c>
      <c r="J5" s="28" t="str">
        <f>IFERROR(__xludf.DUMMYFUNCTION("""COMPUTED_VALUE"""),"Jumbo Cooler")</f>
        <v>Jumbo Cooler</v>
      </c>
      <c r="L5" s="86">
        <v>46205.0</v>
      </c>
      <c r="M5" s="85">
        <f>SUMIF(Sales!A:A,L5,Sales!I:I)</f>
        <v>0</v>
      </c>
    </row>
    <row r="6">
      <c r="F6" s="82"/>
      <c r="J6" s="28" t="str">
        <f>IFERROR(__xludf.DUMMYFUNCTION("""COMPUTED_VALUE"""),"Chair ")</f>
        <v>Chair </v>
      </c>
      <c r="L6" s="86">
        <v>46206.0</v>
      </c>
      <c r="M6" s="85">
        <f>SUMIF(Sales!A:A,L6,Sales!I:I)</f>
        <v>1300</v>
      </c>
    </row>
    <row r="7">
      <c r="B7" s="18" t="s">
        <v>55</v>
      </c>
      <c r="D7" s="87">
        <f>D3-D5</f>
        <v>-5090</v>
      </c>
      <c r="J7" s="28" t="str">
        <f>IFERROR(__xludf.DUMMYFUNCTION("""COMPUTED_VALUE"""),"Round Table ")</f>
        <v>Round Table </v>
      </c>
      <c r="L7" s="86">
        <v>46207.0</v>
      </c>
      <c r="M7" s="85">
        <f>SUMIF(Sales!A:A,L7,Sales!I:I)</f>
        <v>1220</v>
      </c>
    </row>
    <row r="8">
      <c r="D8" s="88"/>
      <c r="J8" s="28" t="str">
        <f>IFERROR(__xludf.DUMMYFUNCTION("""COMPUTED_VALUE"""),"Fan")</f>
        <v>Fan</v>
      </c>
      <c r="L8" s="86">
        <v>46208.0</v>
      </c>
      <c r="M8" s="85">
        <f>SUMIF(Sales!A:A,L8,Sales!I:I)</f>
        <v>2510</v>
      </c>
    </row>
    <row r="9">
      <c r="J9" s="28" t="str">
        <f>IFERROR(__xludf.DUMMYFUNCTION("""COMPUTED_VALUE"""),"Gadi ")</f>
        <v>Gadi </v>
      </c>
      <c r="L9" s="86">
        <v>46209.0</v>
      </c>
      <c r="M9" s="85">
        <f>SUMIF(Sales!A:A,L9,Sales!I:I)</f>
        <v>250</v>
      </c>
    </row>
    <row r="10">
      <c r="B10" s="18" t="s">
        <v>56</v>
      </c>
      <c r="D10" s="37">
        <f>SUM(Sales!J:J)</f>
        <v>5090</v>
      </c>
      <c r="J10" s="28" t="str">
        <f>IFERROR(__xludf.DUMMYFUNCTION("""COMPUTED_VALUE"""),"Drum")</f>
        <v>Drum</v>
      </c>
      <c r="L10" s="86">
        <v>46210.0</v>
      </c>
      <c r="M10" s="85">
        <f>SUMIF(Sales!A:A,L10,Sales!I:I)</f>
        <v>4870</v>
      </c>
    </row>
    <row r="11">
      <c r="L11" s="86">
        <v>46211.0</v>
      </c>
      <c r="M11" s="85">
        <f>SUMIF(Sales!A:A,L11,Sales!I:I)</f>
        <v>1300</v>
      </c>
    </row>
    <row r="12">
      <c r="B12" s="18" t="s">
        <v>58</v>
      </c>
      <c r="D12" s="89">
        <f>D5-D3</f>
        <v>5090</v>
      </c>
      <c r="L12" s="86">
        <v>46212.0</v>
      </c>
      <c r="M12" s="85">
        <f>SUMIF(Sales!A:A,L12,Sales!I:I)</f>
        <v>395</v>
      </c>
    </row>
    <row r="13">
      <c r="L13" s="86">
        <v>46213.0</v>
      </c>
      <c r="M13" s="85">
        <f>SUMIF(Sales!A:A,L13,Sales!I:I)</f>
        <v>0</v>
      </c>
    </row>
    <row r="14">
      <c r="L14" s="86">
        <v>46214.0</v>
      </c>
      <c r="M14" s="85">
        <f>SUMIF(Sales!A:A,L14,Sales!I:I)</f>
        <v>0</v>
      </c>
    </row>
    <row r="15">
      <c r="L15" s="86">
        <v>46215.0</v>
      </c>
      <c r="M15" s="85">
        <f>SUMIF(Sales!A:A,L15,Sales!I:I)</f>
        <v>0</v>
      </c>
    </row>
    <row r="16">
      <c r="L16" s="86">
        <v>46216.0</v>
      </c>
      <c r="M16" s="85">
        <f>SUMIF(Sales!A:A,L16,Sales!I:I)</f>
        <v>0</v>
      </c>
    </row>
    <row r="17">
      <c r="L17" s="86">
        <v>46217.0</v>
      </c>
      <c r="M17" s="85">
        <f>SUMIF(Sales!A:A,L17,Sales!I:I)</f>
        <v>0</v>
      </c>
    </row>
    <row r="18">
      <c r="L18" s="86">
        <v>46218.0</v>
      </c>
      <c r="M18" s="85">
        <f>SUMIF(Sales!A:A,L18,Sales!I:I)</f>
        <v>0</v>
      </c>
    </row>
    <row r="19">
      <c r="L19" s="86">
        <v>46219.0</v>
      </c>
      <c r="M19" s="85">
        <f>SUMIF(Sales!A:A,L19,Sales!I:I)</f>
        <v>0</v>
      </c>
    </row>
    <row r="20">
      <c r="L20" s="86">
        <v>46220.0</v>
      </c>
      <c r="M20" s="85">
        <f>SUMIF(Sales!A:A,L20,Sales!I:I)</f>
        <v>0</v>
      </c>
    </row>
    <row r="21">
      <c r="L21" s="86">
        <v>46221.0</v>
      </c>
      <c r="M21" s="85">
        <f>SUMIF(Sales!A:A,L21,Sales!I:I)</f>
        <v>0</v>
      </c>
    </row>
    <row r="22">
      <c r="L22" s="86">
        <v>46222.0</v>
      </c>
      <c r="M22" s="85">
        <f>SUMIF(Sales!A:A,L22,Sales!I:I)</f>
        <v>0</v>
      </c>
    </row>
    <row r="23">
      <c r="L23" s="86">
        <v>46223.0</v>
      </c>
      <c r="M23" s="85">
        <f>SUMIF(Sales!A:A,L23,Sales!I:I)</f>
        <v>0</v>
      </c>
    </row>
    <row r="24">
      <c r="L24" s="86">
        <v>46224.0</v>
      </c>
      <c r="M24" s="85">
        <f>SUMIF(Sales!A:A,L24,Sales!I:I)</f>
        <v>0</v>
      </c>
    </row>
    <row r="25">
      <c r="L25" s="86">
        <v>46225.0</v>
      </c>
      <c r="M25" s="85">
        <f>SUMIF(Sales!A:A,L25,Sales!I:I)</f>
        <v>0</v>
      </c>
    </row>
    <row r="26">
      <c r="L26" s="86">
        <v>46226.0</v>
      </c>
      <c r="M26" s="85">
        <f>SUMIF(Sales!A:A,L26,Sales!I:I)</f>
        <v>0</v>
      </c>
    </row>
    <row r="27">
      <c r="L27" s="86">
        <v>46227.0</v>
      </c>
      <c r="M27" s="85">
        <f>SUMIF(Sales!A:A,L27,Sales!I:I)</f>
        <v>0</v>
      </c>
    </row>
    <row r="28">
      <c r="L28" s="86">
        <v>46228.0</v>
      </c>
      <c r="M28" s="85">
        <f>SUMIF(Sales!A:A,L28,Sales!I:I)</f>
        <v>0</v>
      </c>
    </row>
    <row r="29">
      <c r="L29" s="86">
        <v>46229.0</v>
      </c>
      <c r="M29" s="85">
        <f>SUMIF(Sales!A:A,L29,Sales!I:I)</f>
        <v>0</v>
      </c>
    </row>
    <row r="30">
      <c r="L30" s="86">
        <v>46230.0</v>
      </c>
      <c r="M30" s="85">
        <f>SUMIF(Sales!A:A,L30,Sales!I:I)</f>
        <v>0</v>
      </c>
    </row>
    <row r="31">
      <c r="L31" s="86">
        <v>46231.0</v>
      </c>
      <c r="M31" s="85">
        <f>SUMIF(Sales!A:A,L31,Sales!I:I)</f>
        <v>0</v>
      </c>
    </row>
    <row r="32">
      <c r="L32" s="86">
        <v>46232.0</v>
      </c>
      <c r="M32" s="85">
        <f>SUMIF(Sales!A:A,L32,Sales!I:I)</f>
        <v>0</v>
      </c>
    </row>
    <row r="33">
      <c r="L33" s="86">
        <v>46233.0</v>
      </c>
      <c r="M33" s="85">
        <f>SUMIF(Sales!A:A,L33,Sales!I:I)</f>
        <v>0</v>
      </c>
    </row>
  </sheetData>
  <dataValidations>
    <dataValidation type="custom" allowBlank="1" sqref="L4:L33">
      <formula1>OR(NOT(ISERROR(DATEVALUE(L4))), AND(ISNUMBER(L4), LEFT(CELL("format", L4))="D"))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13"/>
    <col customWidth="1" min="2" max="2" width="1.5"/>
    <col customWidth="1" min="3" max="3" width="23.0"/>
    <col customWidth="1" min="4" max="4" width="7.13"/>
    <col customWidth="1" min="5" max="5" width="20.38"/>
    <col customWidth="1" min="6" max="6" width="4.75"/>
    <col customWidth="1" min="7" max="7" width="11.0"/>
    <col customWidth="1" min="8" max="8" width="7.63"/>
    <col customWidth="1" min="9" max="9" width="18.88"/>
    <col customWidth="1" min="10" max="10" width="12.88"/>
    <col customWidth="1" min="11" max="11" width="10.38"/>
    <col customWidth="1" min="12" max="12" width="13.88"/>
    <col customWidth="1" min="14" max="14" width="14.25"/>
    <col customWidth="1" min="16" max="16" width="8.63"/>
  </cols>
  <sheetData>
    <row r="1" ht="5.25" customHeight="1">
      <c r="C1" s="1"/>
      <c r="K1" s="2"/>
      <c r="L1" s="2"/>
    </row>
    <row r="2" ht="1.5" customHeight="1">
      <c r="C2" s="1"/>
      <c r="K2" s="2"/>
      <c r="L2" s="2"/>
    </row>
    <row r="3" ht="3.75" customHeight="1">
      <c r="B3" s="3"/>
      <c r="C3" s="4"/>
      <c r="D3" s="3"/>
      <c r="E3" s="3"/>
      <c r="F3" s="3"/>
      <c r="G3" s="3"/>
      <c r="H3" s="3"/>
      <c r="K3" s="2"/>
      <c r="L3" s="2"/>
    </row>
    <row r="4" ht="1.5" customHeight="1">
      <c r="B4" s="3"/>
      <c r="C4" s="4"/>
      <c r="D4" s="3"/>
      <c r="E4" s="3"/>
      <c r="F4" s="3"/>
      <c r="G4" s="3"/>
      <c r="H4" s="3"/>
      <c r="K4" s="2"/>
      <c r="L4" s="2"/>
    </row>
    <row r="5" ht="1.5" customHeight="1">
      <c r="B5" s="3"/>
      <c r="C5" s="4"/>
      <c r="D5" s="3"/>
      <c r="E5" s="3"/>
      <c r="F5" s="3"/>
      <c r="G5" s="3"/>
      <c r="H5" s="3"/>
      <c r="K5" s="2"/>
      <c r="L5" s="2"/>
    </row>
    <row r="6" ht="1.5" customHeight="1">
      <c r="B6" s="3"/>
      <c r="C6" s="4"/>
      <c r="D6" s="3"/>
      <c r="E6" s="3"/>
      <c r="F6" s="3"/>
      <c r="G6" s="3"/>
      <c r="H6" s="3"/>
      <c r="K6" s="2"/>
      <c r="L6" s="2"/>
    </row>
    <row r="7" ht="6.0" customHeight="1">
      <c r="B7" s="3"/>
      <c r="C7" s="6" t="s">
        <v>0</v>
      </c>
      <c r="H7" s="3"/>
      <c r="K7" s="2"/>
      <c r="L7" s="2"/>
    </row>
    <row r="8" ht="45.0" customHeight="1">
      <c r="B8" s="3"/>
      <c r="H8" s="3"/>
      <c r="K8" s="2"/>
      <c r="L8" s="2"/>
    </row>
    <row r="9" ht="15.75" customHeight="1">
      <c r="B9" s="3"/>
      <c r="C9" s="4"/>
      <c r="D9" s="3"/>
      <c r="E9" s="3"/>
      <c r="F9" s="3"/>
      <c r="G9" s="12" t="s">
        <v>1</v>
      </c>
      <c r="H9" s="12"/>
      <c r="K9" s="2"/>
      <c r="L9" s="2"/>
    </row>
    <row r="10" ht="24.75" customHeight="1">
      <c r="B10" s="3"/>
      <c r="C10" s="8"/>
      <c r="D10" s="9"/>
      <c r="E10" s="3"/>
      <c r="G10" s="26" t="s">
        <v>2</v>
      </c>
      <c r="H10" s="12"/>
      <c r="J10" s="11"/>
      <c r="K10" s="2"/>
      <c r="L10" s="2"/>
    </row>
    <row r="11">
      <c r="B11" s="3"/>
      <c r="C11" s="8"/>
      <c r="D11" s="12"/>
      <c r="E11" s="3"/>
      <c r="F11" s="3"/>
      <c r="G11" s="3"/>
      <c r="H11" s="3"/>
      <c r="K11" s="2"/>
      <c r="L11" s="2"/>
    </row>
    <row r="12" ht="18.75" customHeight="1">
      <c r="B12" s="3"/>
      <c r="C12" s="13" t="s">
        <v>3</v>
      </c>
      <c r="E12" s="12" t="s">
        <v>28</v>
      </c>
      <c r="F12" s="38"/>
      <c r="H12" s="3"/>
      <c r="J12" s="18" t="s">
        <v>11</v>
      </c>
      <c r="K12" s="2">
        <f>SUM(K15:K100)</f>
        <v>600</v>
      </c>
      <c r="L12" s="2">
        <f>SUM(L15:L100)-K12</f>
        <v>550</v>
      </c>
    </row>
    <row r="13">
      <c r="B13" s="3"/>
      <c r="C13" s="4"/>
      <c r="D13" s="22"/>
      <c r="H13" s="3"/>
      <c r="K13" s="2"/>
      <c r="L13" s="2"/>
    </row>
    <row r="14">
      <c r="B14" s="3"/>
      <c r="C14" s="23" t="s">
        <v>4</v>
      </c>
      <c r="D14" s="24" t="s">
        <v>5</v>
      </c>
      <c r="E14" s="24" t="s">
        <v>6</v>
      </c>
      <c r="F14" s="24" t="s">
        <v>20</v>
      </c>
      <c r="G14" s="24" t="s">
        <v>9</v>
      </c>
      <c r="H14" s="24" t="s">
        <v>10</v>
      </c>
      <c r="I14" s="24" t="s">
        <v>21</v>
      </c>
      <c r="J14" s="24" t="s">
        <v>22</v>
      </c>
      <c r="K14" s="27" t="s">
        <v>23</v>
      </c>
      <c r="L14" s="25" t="s">
        <v>24</v>
      </c>
      <c r="M14" s="24" t="s">
        <v>25</v>
      </c>
      <c r="N14" s="24" t="s">
        <v>26</v>
      </c>
      <c r="O14" s="24" t="s">
        <v>27</v>
      </c>
      <c r="P14" s="54" t="s">
        <v>31</v>
      </c>
    </row>
    <row r="15">
      <c r="B15" s="3"/>
      <c r="C15" s="55">
        <f>IFERROR(__xludf.DUMMYFUNCTION("FILTER(Sales!A:M, Sales!G:G = E12)"),46204.0)</f>
        <v>46204</v>
      </c>
      <c r="D15" s="56" t="str">
        <f>IFERROR(__xludf.DUMMYFUNCTION("""COMPUTED_VALUE"""),"CTRNG")</f>
        <v>CTRNG</v>
      </c>
      <c r="E15" s="56" t="str">
        <f>IFERROR(__xludf.DUMMYFUNCTION("""COMPUTED_VALUE"""),"CTRNG")</f>
        <v>CTRNG</v>
      </c>
      <c r="F15" s="58">
        <f>IFERROR(__xludf.DUMMYFUNCTION("""COMPUTED_VALUE"""),1.0)</f>
        <v>1</v>
      </c>
      <c r="G15" s="58">
        <f>IFERROR(__xludf.DUMMYFUNCTION("""COMPUTED_VALUE"""),850.0)</f>
        <v>850</v>
      </c>
      <c r="H15" s="59">
        <f>IFERROR(__xludf.DUMMYFUNCTION("""COMPUTED_VALUE"""),850.0)</f>
        <v>850</v>
      </c>
      <c r="I15" s="60" t="str">
        <f>IFERROR(__xludf.DUMMYFUNCTION("""COMPUTED_VALUE"""),"Yogesh Caterers")</f>
        <v>Yogesh Caterers</v>
      </c>
      <c r="J15" s="60"/>
      <c r="K15" s="61">
        <f>IFERROR(__xludf.DUMMYFUNCTION("""COMPUTED_VALUE"""),600.0)</f>
        <v>600</v>
      </c>
      <c r="L15" s="61">
        <f>IFERROR(__xludf.DUMMYFUNCTION("""COMPUTED_VALUE"""),250.0)</f>
        <v>250</v>
      </c>
      <c r="M15" s="60">
        <f>IFERROR(__xludf.DUMMYFUNCTION("""COMPUTED_VALUE"""),1.0)</f>
        <v>1</v>
      </c>
      <c r="N15" s="60">
        <f>IFERROR(__xludf.DUMMYFUNCTION("""COMPUTED_VALUE"""),0.0)</f>
        <v>0</v>
      </c>
      <c r="O15" s="60"/>
      <c r="P15" s="62">
        <f>L15</f>
        <v>250</v>
      </c>
    </row>
    <row r="16">
      <c r="B16" s="3"/>
      <c r="C16" s="55">
        <f>IFERROR(__xludf.DUMMYFUNCTION("""COMPUTED_VALUE"""),46208.0)</f>
        <v>46208</v>
      </c>
      <c r="D16" s="56" t="str">
        <f>IFERROR(__xludf.DUMMYFUNCTION("""COMPUTED_VALUE"""),"CTRNG")</f>
        <v>CTRNG</v>
      </c>
      <c r="E16" s="56" t="str">
        <f>IFERROR(__xludf.DUMMYFUNCTION("""COMPUTED_VALUE"""),"CTRNG")</f>
        <v>CTRNG</v>
      </c>
      <c r="F16" s="58">
        <f>IFERROR(__xludf.DUMMYFUNCTION("""COMPUTED_VALUE"""),1.0)</f>
        <v>1</v>
      </c>
      <c r="G16" s="58">
        <f>IFERROR(__xludf.DUMMYFUNCTION("""COMPUTED_VALUE"""),900.0)</f>
        <v>900</v>
      </c>
      <c r="H16" s="59">
        <f>IFERROR(__xludf.DUMMYFUNCTION("""COMPUTED_VALUE"""),900.0)</f>
        <v>900</v>
      </c>
      <c r="I16" s="60" t="str">
        <f>IFERROR(__xludf.DUMMYFUNCTION("""COMPUTED_VALUE"""),"Yogesh Caterers")</f>
        <v>Yogesh Caterers</v>
      </c>
      <c r="J16" s="60"/>
      <c r="K16" s="61"/>
      <c r="L16" s="61">
        <f>IFERROR(__xludf.DUMMYFUNCTION("""COMPUTED_VALUE"""),900.0)</f>
        <v>900</v>
      </c>
      <c r="M16" s="60">
        <f>IFERROR(__xludf.DUMMYFUNCTION("""COMPUTED_VALUE"""),1.0)</f>
        <v>1</v>
      </c>
      <c r="N16" s="60">
        <f>IFERROR(__xludf.DUMMYFUNCTION("""COMPUTED_VALUE"""),0.0)</f>
        <v>0</v>
      </c>
      <c r="O16" s="60"/>
      <c r="P16" s="62">
        <f t="shared" ref="P16:P23" si="1">P15+L16</f>
        <v>1150</v>
      </c>
    </row>
    <row r="17">
      <c r="B17" s="3"/>
      <c r="C17" s="64"/>
      <c r="D17" s="56"/>
      <c r="E17" s="56"/>
      <c r="F17" s="58"/>
      <c r="G17" s="58"/>
      <c r="H17" s="65"/>
      <c r="I17" s="60"/>
      <c r="J17" s="60"/>
      <c r="K17" s="61"/>
      <c r="L17" s="61"/>
      <c r="M17" s="60"/>
      <c r="N17" s="60"/>
      <c r="O17" s="60"/>
      <c r="P17" s="62">
        <f t="shared" si="1"/>
        <v>1150</v>
      </c>
    </row>
    <row r="18">
      <c r="B18" s="3"/>
      <c r="C18" s="66"/>
      <c r="D18" s="65"/>
      <c r="E18" s="65"/>
      <c r="F18" s="56"/>
      <c r="G18" s="67"/>
      <c r="H18" s="65"/>
      <c r="I18" s="60"/>
      <c r="J18" s="60"/>
      <c r="K18" s="61"/>
      <c r="L18" s="61"/>
      <c r="M18" s="60"/>
      <c r="N18" s="60"/>
      <c r="O18" s="60"/>
      <c r="P18" s="62">
        <f t="shared" si="1"/>
        <v>1150</v>
      </c>
    </row>
    <row r="19">
      <c r="B19" s="3"/>
      <c r="C19" s="66"/>
      <c r="D19" s="65"/>
      <c r="E19" s="65"/>
      <c r="F19" s="68"/>
      <c r="G19" s="67"/>
      <c r="H19" s="65"/>
      <c r="I19" s="60"/>
      <c r="J19" s="60"/>
      <c r="K19" s="61"/>
      <c r="L19" s="61"/>
      <c r="M19" s="60"/>
      <c r="N19" s="60"/>
      <c r="O19" s="60"/>
      <c r="P19" s="62">
        <f t="shared" si="1"/>
        <v>1150</v>
      </c>
    </row>
    <row r="20">
      <c r="B20" s="3"/>
      <c r="C20" s="66"/>
      <c r="D20" s="65"/>
      <c r="E20" s="65"/>
      <c r="F20" s="56"/>
      <c r="G20" s="67"/>
      <c r="H20" s="65"/>
      <c r="I20" s="60"/>
      <c r="J20" s="60"/>
      <c r="K20" s="61"/>
      <c r="L20" s="61"/>
      <c r="M20" s="60"/>
      <c r="N20" s="60"/>
      <c r="O20" s="60"/>
      <c r="P20" s="62">
        <f t="shared" si="1"/>
        <v>1150</v>
      </c>
    </row>
    <row r="21">
      <c r="B21" s="3"/>
      <c r="C21" s="66"/>
      <c r="D21" s="65"/>
      <c r="E21" s="65"/>
      <c r="F21" s="69"/>
      <c r="G21" s="70"/>
      <c r="H21" s="65"/>
      <c r="I21" s="60"/>
      <c r="J21" s="60"/>
      <c r="K21" s="61"/>
      <c r="L21" s="61"/>
      <c r="M21" s="60"/>
      <c r="N21" s="60"/>
      <c r="O21" s="60"/>
      <c r="P21" s="62">
        <f t="shared" si="1"/>
        <v>1150</v>
      </c>
    </row>
    <row r="22">
      <c r="B22" s="3"/>
      <c r="C22" s="66"/>
      <c r="D22" s="65"/>
      <c r="E22" s="65"/>
      <c r="F22" s="71"/>
      <c r="G22" s="72"/>
      <c r="H22" s="65"/>
      <c r="I22" s="60"/>
      <c r="J22" s="60"/>
      <c r="K22" s="61"/>
      <c r="L22" s="61"/>
      <c r="M22" s="60"/>
      <c r="N22" s="60"/>
      <c r="O22" s="60"/>
      <c r="P22" s="62">
        <f t="shared" si="1"/>
        <v>1150</v>
      </c>
    </row>
    <row r="23">
      <c r="B23" s="3"/>
      <c r="C23" s="66"/>
      <c r="D23" s="73"/>
      <c r="E23" s="73"/>
      <c r="F23" s="74"/>
      <c r="G23" s="74"/>
      <c r="H23" s="74"/>
      <c r="I23" s="75"/>
      <c r="J23" s="75"/>
      <c r="K23" s="62"/>
      <c r="L23" s="62"/>
      <c r="M23" s="75"/>
      <c r="N23" s="75"/>
      <c r="O23" s="75"/>
      <c r="P23" s="62">
        <f t="shared" si="1"/>
        <v>1150</v>
      </c>
    </row>
    <row r="24" ht="17.25" customHeight="1">
      <c r="B24" s="3"/>
      <c r="C24" s="76"/>
      <c r="D24" s="73"/>
      <c r="E24" s="73"/>
      <c r="F24" s="77"/>
      <c r="G24" s="78"/>
      <c r="H24" s="74"/>
      <c r="I24" s="75"/>
      <c r="J24" s="75"/>
      <c r="K24" s="62"/>
      <c r="L24" s="62"/>
      <c r="M24" s="75"/>
      <c r="N24" s="75"/>
      <c r="O24" s="75"/>
      <c r="P24" s="75"/>
    </row>
    <row r="25" ht="18.75" customHeight="1">
      <c r="B25" s="3"/>
      <c r="C25" s="66"/>
      <c r="D25" s="73"/>
      <c r="E25" s="73"/>
      <c r="F25" s="78"/>
      <c r="G25" s="78"/>
      <c r="H25" s="78"/>
      <c r="I25" s="75"/>
      <c r="J25" s="75"/>
      <c r="K25" s="62"/>
      <c r="L25" s="62"/>
      <c r="M25" s="75"/>
      <c r="N25" s="75"/>
      <c r="O25" s="75"/>
      <c r="P25" s="75"/>
    </row>
    <row r="26" ht="24.75" customHeight="1">
      <c r="B26" s="3"/>
      <c r="C26" s="80"/>
      <c r="D26" s="81"/>
      <c r="E26" s="81"/>
      <c r="F26" s="78"/>
      <c r="G26" s="78"/>
      <c r="H26" s="78"/>
      <c r="I26" s="75"/>
      <c r="J26" s="75"/>
      <c r="K26" s="62"/>
      <c r="L26" s="62"/>
      <c r="M26" s="75"/>
      <c r="N26" s="75"/>
      <c r="O26" s="75"/>
      <c r="P26" s="75"/>
    </row>
    <row r="27">
      <c r="B27" s="3"/>
      <c r="C27" s="66"/>
      <c r="D27" s="73"/>
      <c r="E27" s="73"/>
      <c r="F27" s="73"/>
      <c r="G27" s="73"/>
      <c r="H27" s="73"/>
      <c r="I27" s="75"/>
      <c r="J27" s="75"/>
      <c r="K27" s="62"/>
      <c r="L27" s="62"/>
      <c r="M27" s="75"/>
      <c r="N27" s="75"/>
      <c r="O27" s="75"/>
      <c r="P27" s="75"/>
    </row>
    <row r="28">
      <c r="B28" s="3"/>
      <c r="C28" s="66"/>
      <c r="D28" s="73"/>
      <c r="E28" s="73"/>
      <c r="F28" s="73"/>
      <c r="G28" s="73"/>
      <c r="H28" s="73"/>
      <c r="I28" s="75"/>
      <c r="J28" s="75"/>
      <c r="K28" s="62"/>
      <c r="L28" s="62"/>
      <c r="M28" s="75"/>
      <c r="N28" s="75"/>
      <c r="O28" s="75"/>
      <c r="P28" s="75"/>
    </row>
    <row r="29">
      <c r="B29" s="3"/>
      <c r="C29" s="66"/>
      <c r="D29" s="73"/>
      <c r="E29" s="73"/>
      <c r="F29" s="73"/>
      <c r="G29" s="73"/>
      <c r="H29" s="73"/>
      <c r="I29" s="75"/>
      <c r="J29" s="75"/>
      <c r="K29" s="62"/>
      <c r="L29" s="62"/>
      <c r="M29" s="75"/>
      <c r="N29" s="75"/>
      <c r="O29" s="75"/>
      <c r="P29" s="75"/>
    </row>
    <row r="30">
      <c r="C30" s="83"/>
      <c r="D30" s="75"/>
      <c r="E30" s="75"/>
      <c r="F30" s="75"/>
      <c r="G30" s="75"/>
      <c r="H30" s="75"/>
      <c r="I30" s="75"/>
      <c r="J30" s="75"/>
      <c r="K30" s="62"/>
      <c r="L30" s="62"/>
      <c r="M30" s="75"/>
      <c r="N30" s="75"/>
      <c r="O30" s="75"/>
      <c r="P30" s="75"/>
    </row>
    <row r="31">
      <c r="C31" s="83"/>
      <c r="D31" s="75"/>
      <c r="E31" s="75"/>
      <c r="F31" s="75"/>
      <c r="G31" s="75"/>
      <c r="H31" s="75"/>
      <c r="I31" s="75"/>
      <c r="J31" s="75"/>
      <c r="K31" s="62"/>
      <c r="L31" s="62"/>
      <c r="M31" s="75"/>
      <c r="N31" s="75"/>
      <c r="O31" s="75"/>
      <c r="P31" s="75"/>
    </row>
    <row r="32">
      <c r="C32" s="83"/>
      <c r="D32" s="75"/>
      <c r="E32" s="75"/>
      <c r="F32" s="75"/>
      <c r="G32" s="75"/>
      <c r="H32" s="75"/>
      <c r="I32" s="75"/>
      <c r="J32" s="75"/>
      <c r="K32" s="62"/>
      <c r="L32" s="62"/>
      <c r="M32" s="75"/>
      <c r="N32" s="75"/>
      <c r="O32" s="75"/>
      <c r="P32" s="75"/>
    </row>
    <row r="33">
      <c r="C33" s="83"/>
      <c r="D33" s="75"/>
      <c r="E33" s="75"/>
      <c r="F33" s="75"/>
      <c r="G33" s="75"/>
      <c r="H33" s="75"/>
      <c r="I33" s="75"/>
      <c r="J33" s="75"/>
      <c r="K33" s="62"/>
      <c r="L33" s="62"/>
      <c r="M33" s="75"/>
      <c r="N33" s="75"/>
      <c r="O33" s="75"/>
      <c r="P33" s="75"/>
    </row>
    <row r="34">
      <c r="C34" s="83"/>
      <c r="D34" s="75"/>
      <c r="E34" s="75"/>
      <c r="F34" s="75"/>
      <c r="G34" s="75"/>
      <c r="H34" s="75"/>
      <c r="I34" s="75"/>
      <c r="J34" s="75"/>
      <c r="K34" s="62"/>
      <c r="L34" s="62"/>
      <c r="M34" s="75"/>
      <c r="N34" s="75"/>
      <c r="O34" s="75"/>
      <c r="P34" s="75"/>
    </row>
    <row r="35">
      <c r="C35" s="83"/>
      <c r="D35" s="75"/>
      <c r="E35" s="75"/>
      <c r="F35" s="75"/>
      <c r="G35" s="75"/>
      <c r="H35" s="75"/>
      <c r="I35" s="75"/>
      <c r="J35" s="75"/>
      <c r="K35" s="62"/>
      <c r="L35" s="62"/>
      <c r="M35" s="75"/>
      <c r="N35" s="75"/>
      <c r="O35" s="75"/>
      <c r="P35" s="75"/>
    </row>
    <row r="36">
      <c r="C36" s="83"/>
      <c r="D36" s="75"/>
      <c r="E36" s="75"/>
      <c r="F36" s="75"/>
      <c r="G36" s="75"/>
      <c r="H36" s="75"/>
      <c r="I36" s="75"/>
      <c r="J36" s="75"/>
      <c r="K36" s="62"/>
      <c r="L36" s="62"/>
      <c r="M36" s="75"/>
      <c r="N36" s="75"/>
      <c r="O36" s="75"/>
      <c r="P36" s="75"/>
    </row>
    <row r="37">
      <c r="C37" s="83"/>
      <c r="D37" s="75"/>
      <c r="E37" s="75"/>
      <c r="F37" s="75"/>
      <c r="G37" s="75"/>
      <c r="H37" s="75"/>
      <c r="I37" s="75"/>
      <c r="J37" s="75"/>
      <c r="K37" s="62"/>
      <c r="L37" s="62"/>
      <c r="M37" s="75"/>
      <c r="N37" s="75"/>
      <c r="O37" s="75"/>
      <c r="P37" s="75"/>
    </row>
    <row r="38">
      <c r="C38" s="83"/>
      <c r="D38" s="75"/>
      <c r="E38" s="75"/>
      <c r="F38" s="75"/>
      <c r="G38" s="75"/>
      <c r="H38" s="75"/>
      <c r="I38" s="75"/>
      <c r="J38" s="75"/>
      <c r="K38" s="62"/>
      <c r="L38" s="62"/>
      <c r="M38" s="75"/>
      <c r="N38" s="75"/>
      <c r="O38" s="75"/>
      <c r="P38" s="75"/>
    </row>
    <row r="39">
      <c r="C39" s="83"/>
      <c r="D39" s="75"/>
      <c r="E39" s="75"/>
      <c r="F39" s="75"/>
      <c r="G39" s="75"/>
      <c r="H39" s="75"/>
      <c r="I39" s="75"/>
      <c r="J39" s="75"/>
      <c r="K39" s="62"/>
      <c r="L39" s="62"/>
      <c r="M39" s="75"/>
      <c r="N39" s="75"/>
      <c r="O39" s="75"/>
      <c r="P39" s="75"/>
    </row>
    <row r="40">
      <c r="C40" s="83"/>
      <c r="D40" s="75"/>
      <c r="E40" s="75"/>
      <c r="F40" s="75"/>
      <c r="G40" s="75"/>
      <c r="H40" s="75"/>
      <c r="I40" s="75"/>
      <c r="J40" s="75"/>
      <c r="K40" s="62"/>
      <c r="L40" s="62"/>
      <c r="M40" s="75"/>
      <c r="N40" s="75"/>
      <c r="O40" s="75"/>
      <c r="P40" s="75"/>
    </row>
    <row r="41">
      <c r="C41" s="83"/>
      <c r="D41" s="75"/>
      <c r="E41" s="75"/>
      <c r="F41" s="75"/>
      <c r="G41" s="75"/>
      <c r="H41" s="75"/>
      <c r="I41" s="75"/>
      <c r="J41" s="75"/>
      <c r="K41" s="62"/>
      <c r="L41" s="62"/>
      <c r="M41" s="75"/>
      <c r="N41" s="75"/>
      <c r="O41" s="75"/>
      <c r="P41" s="75"/>
    </row>
    <row r="42">
      <c r="C42" s="83"/>
      <c r="D42" s="75"/>
      <c r="E42" s="75"/>
      <c r="F42" s="75"/>
      <c r="G42" s="75"/>
      <c r="H42" s="75"/>
      <c r="I42" s="75"/>
      <c r="J42" s="75"/>
      <c r="K42" s="62"/>
      <c r="L42" s="62"/>
      <c r="M42" s="75"/>
      <c r="N42" s="75"/>
      <c r="O42" s="75"/>
      <c r="P42" s="75"/>
    </row>
    <row r="43">
      <c r="C43" s="83"/>
      <c r="D43" s="75"/>
      <c r="E43" s="75"/>
      <c r="F43" s="75"/>
      <c r="G43" s="75"/>
      <c r="H43" s="75"/>
      <c r="I43" s="75"/>
      <c r="J43" s="75"/>
      <c r="K43" s="62"/>
      <c r="L43" s="62"/>
      <c r="M43" s="75"/>
      <c r="N43" s="75"/>
      <c r="O43" s="75"/>
      <c r="P43" s="75"/>
    </row>
    <row r="44">
      <c r="C44" s="83"/>
      <c r="D44" s="75"/>
      <c r="E44" s="75"/>
      <c r="F44" s="75"/>
      <c r="G44" s="75"/>
      <c r="H44" s="75"/>
      <c r="I44" s="75"/>
      <c r="J44" s="75"/>
      <c r="K44" s="62"/>
      <c r="L44" s="62"/>
      <c r="M44" s="75"/>
      <c r="N44" s="75"/>
      <c r="O44" s="75"/>
      <c r="P44" s="75"/>
    </row>
    <row r="45">
      <c r="C45" s="83"/>
      <c r="D45" s="75"/>
      <c r="E45" s="75"/>
      <c r="F45" s="75"/>
      <c r="G45" s="75"/>
      <c r="H45" s="75"/>
      <c r="I45" s="75"/>
      <c r="J45" s="75"/>
      <c r="K45" s="62"/>
      <c r="L45" s="62"/>
      <c r="M45" s="75"/>
      <c r="N45" s="75"/>
      <c r="O45" s="75"/>
      <c r="P45" s="75"/>
    </row>
    <row r="46">
      <c r="C46" s="83"/>
      <c r="D46" s="75"/>
      <c r="E46" s="75"/>
      <c r="F46" s="75"/>
      <c r="G46" s="75"/>
      <c r="H46" s="75"/>
      <c r="I46" s="75"/>
      <c r="J46" s="75"/>
      <c r="K46" s="62"/>
      <c r="L46" s="62"/>
      <c r="M46" s="75"/>
      <c r="N46" s="75"/>
      <c r="O46" s="75"/>
      <c r="P46" s="75"/>
    </row>
    <row r="47">
      <c r="C47" s="83"/>
      <c r="D47" s="75"/>
      <c r="E47" s="75"/>
      <c r="F47" s="75"/>
      <c r="G47" s="75"/>
      <c r="H47" s="75"/>
      <c r="I47" s="75"/>
      <c r="J47" s="75"/>
      <c r="K47" s="62"/>
      <c r="L47" s="62"/>
      <c r="M47" s="75"/>
      <c r="N47" s="75"/>
      <c r="O47" s="75"/>
      <c r="P47" s="75"/>
    </row>
    <row r="48">
      <c r="C48" s="83"/>
      <c r="D48" s="75"/>
      <c r="E48" s="75"/>
      <c r="F48" s="75"/>
      <c r="G48" s="75"/>
      <c r="H48" s="75"/>
      <c r="I48" s="75"/>
      <c r="J48" s="75"/>
      <c r="K48" s="62"/>
      <c r="L48" s="62"/>
      <c r="M48" s="75"/>
      <c r="N48" s="75"/>
      <c r="O48" s="75"/>
      <c r="P48" s="75"/>
    </row>
    <row r="49">
      <c r="C49" s="83"/>
      <c r="D49" s="75"/>
      <c r="E49" s="75"/>
      <c r="F49" s="75"/>
      <c r="G49" s="75"/>
      <c r="H49" s="75"/>
      <c r="I49" s="75"/>
      <c r="J49" s="75"/>
      <c r="K49" s="62"/>
      <c r="L49" s="62"/>
      <c r="M49" s="75"/>
      <c r="N49" s="75"/>
      <c r="O49" s="75"/>
      <c r="P49" s="75"/>
    </row>
    <row r="50">
      <c r="C50" s="83"/>
      <c r="D50" s="75"/>
      <c r="E50" s="75"/>
      <c r="F50" s="75"/>
      <c r="G50" s="75"/>
      <c r="H50" s="75"/>
      <c r="I50" s="75"/>
      <c r="J50" s="75"/>
      <c r="K50" s="62"/>
      <c r="L50" s="62"/>
      <c r="M50" s="75"/>
      <c r="N50" s="75"/>
      <c r="O50" s="75"/>
      <c r="P50" s="75"/>
    </row>
    <row r="51">
      <c r="C51" s="1"/>
      <c r="K51" s="2"/>
      <c r="L51" s="2"/>
    </row>
    <row r="52">
      <c r="C52" s="1"/>
      <c r="K52" s="2"/>
      <c r="L52" s="2"/>
    </row>
    <row r="53">
      <c r="C53" s="1"/>
      <c r="K53" s="2"/>
      <c r="L53" s="2"/>
    </row>
    <row r="54">
      <c r="C54" s="1"/>
      <c r="K54" s="2"/>
      <c r="L54" s="2"/>
    </row>
    <row r="55">
      <c r="C55" s="1"/>
      <c r="K55" s="2"/>
      <c r="L55" s="2"/>
    </row>
    <row r="56">
      <c r="C56" s="1"/>
      <c r="K56" s="2"/>
      <c r="L56" s="2"/>
    </row>
    <row r="57">
      <c r="C57" s="1"/>
      <c r="K57" s="2"/>
      <c r="L57" s="2"/>
    </row>
    <row r="58">
      <c r="C58" s="1"/>
      <c r="K58" s="2"/>
      <c r="L58" s="2"/>
    </row>
    <row r="59">
      <c r="C59" s="1"/>
      <c r="K59" s="2"/>
      <c r="L59" s="2"/>
    </row>
    <row r="60">
      <c r="C60" s="1"/>
      <c r="K60" s="2"/>
      <c r="L60" s="2"/>
    </row>
    <row r="61">
      <c r="C61" s="1"/>
      <c r="K61" s="2"/>
      <c r="L61" s="2"/>
    </row>
    <row r="62">
      <c r="C62" s="1"/>
      <c r="K62" s="2"/>
      <c r="L62" s="2"/>
    </row>
    <row r="63">
      <c r="C63" s="1"/>
      <c r="K63" s="2"/>
      <c r="L63" s="2"/>
    </row>
    <row r="64">
      <c r="C64" s="1"/>
      <c r="K64" s="2"/>
      <c r="L64" s="2"/>
    </row>
    <row r="65">
      <c r="C65" s="1"/>
      <c r="K65" s="2"/>
      <c r="L65" s="2"/>
    </row>
    <row r="66">
      <c r="C66" s="1"/>
      <c r="K66" s="2"/>
      <c r="L66" s="2"/>
    </row>
    <row r="67">
      <c r="C67" s="1"/>
      <c r="K67" s="2"/>
      <c r="L67" s="2"/>
    </row>
    <row r="68">
      <c r="C68" s="1"/>
      <c r="K68" s="2"/>
      <c r="L68" s="2"/>
    </row>
    <row r="69">
      <c r="C69" s="1"/>
      <c r="K69" s="2"/>
      <c r="L69" s="2"/>
    </row>
    <row r="70">
      <c r="C70" s="1"/>
      <c r="K70" s="2"/>
      <c r="L70" s="2"/>
    </row>
    <row r="71">
      <c r="C71" s="1"/>
      <c r="K71" s="2"/>
      <c r="L71" s="2"/>
    </row>
    <row r="72">
      <c r="C72" s="1"/>
      <c r="K72" s="2"/>
      <c r="L72" s="2"/>
    </row>
    <row r="73">
      <c r="C73" s="1"/>
      <c r="K73" s="2"/>
      <c r="L73" s="2"/>
    </row>
    <row r="74">
      <c r="C74" s="1"/>
      <c r="K74" s="2"/>
      <c r="L74" s="2"/>
    </row>
    <row r="75">
      <c r="C75" s="1"/>
      <c r="K75" s="2"/>
      <c r="L75" s="2"/>
    </row>
    <row r="76">
      <c r="C76" s="1"/>
      <c r="K76" s="2"/>
      <c r="L76" s="2"/>
    </row>
    <row r="77">
      <c r="C77" s="1"/>
      <c r="K77" s="2"/>
      <c r="L77" s="2"/>
    </row>
    <row r="78">
      <c r="C78" s="1"/>
      <c r="K78" s="2"/>
      <c r="L78" s="2"/>
    </row>
    <row r="79">
      <c r="C79" s="1"/>
      <c r="K79" s="2"/>
      <c r="L79" s="2"/>
    </row>
    <row r="80">
      <c r="C80" s="1"/>
      <c r="K80" s="2"/>
      <c r="L80" s="2"/>
    </row>
    <row r="81">
      <c r="C81" s="1"/>
      <c r="K81" s="2"/>
      <c r="L81" s="2"/>
    </row>
    <row r="82">
      <c r="C82" s="1"/>
      <c r="K82" s="2"/>
      <c r="L82" s="2"/>
    </row>
    <row r="83">
      <c r="C83" s="1"/>
      <c r="K83" s="2"/>
      <c r="L83" s="2"/>
    </row>
    <row r="84">
      <c r="C84" s="1"/>
      <c r="K84" s="2"/>
      <c r="L84" s="2"/>
    </row>
    <row r="85">
      <c r="C85" s="1"/>
      <c r="K85" s="2"/>
      <c r="L85" s="2"/>
    </row>
    <row r="86">
      <c r="C86" s="1"/>
      <c r="K86" s="2"/>
      <c r="L86" s="2"/>
    </row>
    <row r="87">
      <c r="C87" s="1"/>
      <c r="K87" s="2"/>
      <c r="L87" s="2"/>
    </row>
    <row r="88">
      <c r="C88" s="1"/>
      <c r="K88" s="2"/>
      <c r="L88" s="2"/>
    </row>
    <row r="89">
      <c r="C89" s="1"/>
      <c r="K89" s="2"/>
      <c r="L89" s="2"/>
    </row>
    <row r="90">
      <c r="C90" s="1"/>
      <c r="K90" s="2"/>
      <c r="L90" s="2"/>
    </row>
    <row r="91">
      <c r="C91" s="1"/>
      <c r="K91" s="2"/>
      <c r="L91" s="2"/>
    </row>
    <row r="92">
      <c r="C92" s="1"/>
      <c r="K92" s="2"/>
      <c r="L92" s="2"/>
    </row>
    <row r="93">
      <c r="C93" s="1"/>
      <c r="K93" s="2"/>
      <c r="L93" s="2"/>
    </row>
    <row r="94">
      <c r="C94" s="1"/>
      <c r="K94" s="2"/>
      <c r="L94" s="2"/>
    </row>
    <row r="95">
      <c r="C95" s="1"/>
      <c r="K95" s="2"/>
      <c r="L95" s="2"/>
    </row>
    <row r="96">
      <c r="C96" s="1"/>
      <c r="K96" s="2"/>
      <c r="L96" s="2"/>
    </row>
    <row r="97">
      <c r="C97" s="1"/>
      <c r="K97" s="2"/>
      <c r="L97" s="2"/>
    </row>
    <row r="98">
      <c r="C98" s="1"/>
      <c r="K98" s="2"/>
      <c r="L98" s="2"/>
    </row>
    <row r="99">
      <c r="C99" s="1"/>
      <c r="K99" s="2"/>
      <c r="L99" s="2"/>
    </row>
    <row r="100">
      <c r="C100" s="1"/>
      <c r="K100" s="2"/>
      <c r="L100" s="2"/>
    </row>
    <row r="101">
      <c r="C101" s="1"/>
      <c r="K101" s="2"/>
      <c r="L101" s="2"/>
    </row>
    <row r="102">
      <c r="C102" s="1"/>
      <c r="K102" s="2"/>
      <c r="L102" s="2"/>
    </row>
    <row r="103">
      <c r="C103" s="1"/>
      <c r="K103" s="2"/>
      <c r="L103" s="2"/>
    </row>
    <row r="104">
      <c r="C104" s="1"/>
      <c r="K104" s="2"/>
      <c r="L104" s="2"/>
    </row>
    <row r="105">
      <c r="C105" s="1"/>
      <c r="K105" s="2"/>
      <c r="L105" s="2"/>
    </row>
    <row r="106">
      <c r="C106" s="1"/>
      <c r="K106" s="2"/>
      <c r="L106" s="2"/>
    </row>
    <row r="107">
      <c r="C107" s="1"/>
      <c r="K107" s="2"/>
      <c r="L107" s="2"/>
    </row>
    <row r="108">
      <c r="C108" s="1"/>
      <c r="K108" s="2"/>
      <c r="L108" s="2"/>
    </row>
    <row r="109">
      <c r="C109" s="1"/>
      <c r="K109" s="2"/>
      <c r="L109" s="2"/>
    </row>
    <row r="110">
      <c r="C110" s="1"/>
      <c r="K110" s="2"/>
      <c r="L110" s="2"/>
    </row>
    <row r="111">
      <c r="C111" s="1"/>
      <c r="K111" s="2"/>
      <c r="L111" s="2"/>
    </row>
    <row r="112">
      <c r="C112" s="1"/>
      <c r="K112" s="2"/>
      <c r="L112" s="2"/>
    </row>
    <row r="113">
      <c r="C113" s="1"/>
      <c r="K113" s="2"/>
      <c r="L113" s="2"/>
    </row>
    <row r="114">
      <c r="C114" s="1"/>
      <c r="K114" s="2"/>
      <c r="L114" s="2"/>
    </row>
    <row r="115">
      <c r="C115" s="1"/>
      <c r="K115" s="2"/>
      <c r="L115" s="2"/>
    </row>
    <row r="116">
      <c r="C116" s="1"/>
      <c r="K116" s="2"/>
      <c r="L116" s="2"/>
    </row>
    <row r="117">
      <c r="C117" s="1"/>
      <c r="K117" s="2"/>
      <c r="L117" s="2"/>
    </row>
    <row r="118">
      <c r="C118" s="1"/>
      <c r="K118" s="2"/>
      <c r="L118" s="2"/>
    </row>
    <row r="119">
      <c r="C119" s="1"/>
      <c r="K119" s="2"/>
      <c r="L119" s="2"/>
    </row>
    <row r="120">
      <c r="C120" s="1"/>
      <c r="K120" s="2"/>
      <c r="L120" s="2"/>
    </row>
    <row r="121">
      <c r="C121" s="1"/>
      <c r="K121" s="2"/>
      <c r="L121" s="2"/>
    </row>
    <row r="122">
      <c r="C122" s="1"/>
      <c r="K122" s="2"/>
      <c r="L122" s="2"/>
    </row>
    <row r="123">
      <c r="C123" s="1"/>
      <c r="K123" s="2"/>
      <c r="L123" s="2"/>
    </row>
    <row r="124">
      <c r="C124" s="1"/>
      <c r="K124" s="2"/>
      <c r="L124" s="2"/>
    </row>
    <row r="125">
      <c r="C125" s="1"/>
      <c r="K125" s="2"/>
      <c r="L125" s="2"/>
    </row>
    <row r="126">
      <c r="C126" s="1"/>
      <c r="K126" s="2"/>
      <c r="L126" s="2"/>
    </row>
    <row r="127">
      <c r="C127" s="1"/>
      <c r="K127" s="2"/>
      <c r="L127" s="2"/>
    </row>
    <row r="128">
      <c r="C128" s="1"/>
      <c r="K128" s="2"/>
      <c r="L128" s="2"/>
    </row>
    <row r="129">
      <c r="C129" s="1"/>
      <c r="K129" s="2"/>
      <c r="L129" s="2"/>
    </row>
    <row r="130">
      <c r="C130" s="1"/>
      <c r="K130" s="2"/>
      <c r="L130" s="2"/>
    </row>
    <row r="131">
      <c r="C131" s="1"/>
      <c r="K131" s="2"/>
      <c r="L131" s="2"/>
    </row>
    <row r="132">
      <c r="C132" s="1"/>
      <c r="K132" s="2"/>
      <c r="L132" s="2"/>
    </row>
    <row r="133">
      <c r="C133" s="1"/>
      <c r="K133" s="2"/>
      <c r="L133" s="2"/>
    </row>
    <row r="134">
      <c r="C134" s="1"/>
      <c r="K134" s="2"/>
      <c r="L134" s="2"/>
    </row>
    <row r="135">
      <c r="C135" s="1"/>
      <c r="K135" s="2"/>
      <c r="L135" s="2"/>
    </row>
    <row r="136">
      <c r="C136" s="1"/>
      <c r="K136" s="2"/>
      <c r="L136" s="2"/>
    </row>
    <row r="137">
      <c r="C137" s="1"/>
      <c r="K137" s="2"/>
      <c r="L137" s="2"/>
    </row>
    <row r="138">
      <c r="C138" s="1"/>
      <c r="K138" s="2"/>
      <c r="L138" s="2"/>
    </row>
    <row r="139">
      <c r="C139" s="1"/>
      <c r="K139" s="2"/>
      <c r="L139" s="2"/>
    </row>
    <row r="140">
      <c r="C140" s="1"/>
      <c r="K140" s="2"/>
      <c r="L140" s="2"/>
    </row>
    <row r="141">
      <c r="C141" s="1"/>
      <c r="K141" s="2"/>
      <c r="L141" s="2"/>
    </row>
    <row r="142">
      <c r="C142" s="1"/>
      <c r="K142" s="2"/>
      <c r="L142" s="2"/>
    </row>
    <row r="143">
      <c r="C143" s="1"/>
      <c r="K143" s="2"/>
      <c r="L143" s="2"/>
    </row>
    <row r="144">
      <c r="C144" s="1"/>
      <c r="K144" s="2"/>
      <c r="L144" s="2"/>
    </row>
    <row r="145">
      <c r="C145" s="1"/>
      <c r="K145" s="2"/>
      <c r="L145" s="2"/>
    </row>
    <row r="146">
      <c r="C146" s="1"/>
      <c r="K146" s="2"/>
      <c r="L146" s="2"/>
    </row>
    <row r="147">
      <c r="C147" s="1"/>
      <c r="K147" s="2"/>
      <c r="L147" s="2"/>
    </row>
    <row r="148">
      <c r="C148" s="1"/>
      <c r="K148" s="2"/>
      <c r="L148" s="2"/>
    </row>
    <row r="149">
      <c r="C149" s="1"/>
      <c r="K149" s="2"/>
      <c r="L149" s="2"/>
    </row>
    <row r="150">
      <c r="C150" s="1"/>
      <c r="K150" s="2"/>
      <c r="L150" s="2"/>
    </row>
    <row r="151">
      <c r="C151" s="1"/>
      <c r="K151" s="2"/>
      <c r="L151" s="2"/>
    </row>
    <row r="152">
      <c r="C152" s="1"/>
      <c r="K152" s="2"/>
      <c r="L152" s="2"/>
    </row>
    <row r="153">
      <c r="C153" s="1"/>
      <c r="K153" s="2"/>
      <c r="L153" s="2"/>
    </row>
    <row r="154">
      <c r="C154" s="1"/>
      <c r="K154" s="2"/>
      <c r="L154" s="2"/>
    </row>
    <row r="155">
      <c r="C155" s="1"/>
      <c r="K155" s="2"/>
      <c r="L155" s="2"/>
    </row>
    <row r="156">
      <c r="C156" s="1"/>
      <c r="K156" s="2"/>
      <c r="L156" s="2"/>
    </row>
    <row r="157">
      <c r="C157" s="1"/>
      <c r="K157" s="2"/>
      <c r="L157" s="2"/>
    </row>
    <row r="158">
      <c r="C158" s="1"/>
      <c r="K158" s="2"/>
      <c r="L158" s="2"/>
    </row>
    <row r="159">
      <c r="C159" s="1"/>
      <c r="K159" s="2"/>
      <c r="L159" s="2"/>
    </row>
    <row r="160">
      <c r="C160" s="1"/>
      <c r="K160" s="2"/>
      <c r="L160" s="2"/>
    </row>
    <row r="161">
      <c r="C161" s="1"/>
      <c r="K161" s="2"/>
      <c r="L161" s="2"/>
    </row>
    <row r="162">
      <c r="C162" s="1"/>
      <c r="K162" s="2"/>
      <c r="L162" s="2"/>
    </row>
    <row r="163">
      <c r="C163" s="1"/>
      <c r="K163" s="2"/>
      <c r="L163" s="2"/>
    </row>
    <row r="164">
      <c r="C164" s="1"/>
      <c r="K164" s="2"/>
      <c r="L164" s="2"/>
    </row>
    <row r="165">
      <c r="C165" s="1"/>
      <c r="K165" s="2"/>
      <c r="L165" s="2"/>
    </row>
    <row r="166">
      <c r="C166" s="1"/>
      <c r="K166" s="2"/>
      <c r="L166" s="2"/>
    </row>
    <row r="167">
      <c r="C167" s="1"/>
      <c r="K167" s="2"/>
      <c r="L167" s="2"/>
    </row>
    <row r="168">
      <c r="C168" s="1"/>
      <c r="K168" s="2"/>
      <c r="L168" s="2"/>
    </row>
    <row r="169">
      <c r="C169" s="1"/>
      <c r="K169" s="2"/>
      <c r="L169" s="2"/>
    </row>
    <row r="170">
      <c r="C170" s="1"/>
      <c r="K170" s="2"/>
      <c r="L170" s="2"/>
    </row>
    <row r="171">
      <c r="C171" s="1"/>
      <c r="K171" s="2"/>
      <c r="L171" s="2"/>
    </row>
    <row r="172">
      <c r="C172" s="1"/>
      <c r="K172" s="2"/>
      <c r="L172" s="2"/>
    </row>
    <row r="173">
      <c r="C173" s="1"/>
      <c r="K173" s="2"/>
      <c r="L173" s="2"/>
    </row>
    <row r="174">
      <c r="C174" s="1"/>
      <c r="K174" s="2"/>
      <c r="L174" s="2"/>
    </row>
    <row r="175">
      <c r="C175" s="1"/>
      <c r="K175" s="2"/>
      <c r="L175" s="2"/>
    </row>
    <row r="176">
      <c r="C176" s="1"/>
      <c r="K176" s="2"/>
      <c r="L176" s="2"/>
    </row>
    <row r="177">
      <c r="C177" s="1"/>
      <c r="K177" s="2"/>
      <c r="L177" s="2"/>
    </row>
    <row r="178">
      <c r="C178" s="1"/>
      <c r="K178" s="2"/>
      <c r="L178" s="2"/>
    </row>
    <row r="179">
      <c r="C179" s="1"/>
      <c r="K179" s="2"/>
      <c r="L179" s="2"/>
    </row>
    <row r="180">
      <c r="C180" s="1"/>
      <c r="K180" s="2"/>
      <c r="L180" s="2"/>
    </row>
    <row r="181">
      <c r="C181" s="1"/>
      <c r="K181" s="2"/>
      <c r="L181" s="2"/>
    </row>
    <row r="182">
      <c r="C182" s="1"/>
      <c r="K182" s="2"/>
      <c r="L182" s="2"/>
    </row>
    <row r="183">
      <c r="C183" s="1"/>
      <c r="K183" s="2"/>
      <c r="L183" s="2"/>
    </row>
    <row r="184">
      <c r="C184" s="1"/>
      <c r="K184" s="2"/>
      <c r="L184" s="2"/>
    </row>
    <row r="185">
      <c r="C185" s="1"/>
      <c r="K185" s="2"/>
      <c r="L185" s="2"/>
    </row>
    <row r="186">
      <c r="C186" s="1"/>
      <c r="K186" s="2"/>
      <c r="L186" s="2"/>
    </row>
    <row r="187">
      <c r="C187" s="1"/>
      <c r="K187" s="2"/>
      <c r="L187" s="2"/>
    </row>
    <row r="188">
      <c r="C188" s="1"/>
      <c r="K188" s="2"/>
      <c r="L188" s="2"/>
    </row>
    <row r="189">
      <c r="C189" s="1"/>
      <c r="K189" s="2"/>
      <c r="L189" s="2"/>
    </row>
    <row r="190">
      <c r="C190" s="1"/>
      <c r="K190" s="2"/>
      <c r="L190" s="2"/>
    </row>
    <row r="191">
      <c r="C191" s="1"/>
      <c r="K191" s="2"/>
      <c r="L191" s="2"/>
    </row>
    <row r="192">
      <c r="C192" s="1"/>
      <c r="K192" s="2"/>
      <c r="L192" s="2"/>
    </row>
    <row r="193">
      <c r="C193" s="1"/>
      <c r="K193" s="2"/>
      <c r="L193" s="2"/>
    </row>
    <row r="194">
      <c r="C194" s="1"/>
      <c r="K194" s="2"/>
      <c r="L194" s="2"/>
    </row>
    <row r="195">
      <c r="C195" s="1"/>
      <c r="K195" s="2"/>
      <c r="L195" s="2"/>
    </row>
    <row r="196">
      <c r="C196" s="1"/>
      <c r="K196" s="2"/>
      <c r="L196" s="2"/>
    </row>
    <row r="197">
      <c r="C197" s="1"/>
      <c r="K197" s="2"/>
      <c r="L197" s="2"/>
    </row>
    <row r="198">
      <c r="C198" s="1"/>
      <c r="K198" s="2"/>
      <c r="L198" s="2"/>
    </row>
    <row r="199">
      <c r="C199" s="1"/>
      <c r="K199" s="2"/>
      <c r="L199" s="2"/>
    </row>
    <row r="200">
      <c r="C200" s="1"/>
      <c r="K200" s="2"/>
      <c r="L200" s="2"/>
    </row>
    <row r="201">
      <c r="C201" s="1"/>
      <c r="K201" s="2"/>
      <c r="L201" s="2"/>
    </row>
    <row r="202">
      <c r="C202" s="1"/>
      <c r="K202" s="2"/>
      <c r="L202" s="2"/>
    </row>
    <row r="203">
      <c r="C203" s="1"/>
      <c r="K203" s="2"/>
      <c r="L203" s="2"/>
    </row>
    <row r="204">
      <c r="C204" s="1"/>
      <c r="K204" s="2"/>
      <c r="L204" s="2"/>
    </row>
    <row r="205">
      <c r="C205" s="1"/>
      <c r="K205" s="2"/>
      <c r="L205" s="2"/>
    </row>
    <row r="206">
      <c r="C206" s="1"/>
      <c r="K206" s="2"/>
      <c r="L206" s="2"/>
    </row>
    <row r="207">
      <c r="C207" s="1"/>
      <c r="K207" s="2"/>
      <c r="L207" s="2"/>
    </row>
    <row r="208">
      <c r="C208" s="1"/>
      <c r="K208" s="2"/>
      <c r="L208" s="2"/>
    </row>
    <row r="209">
      <c r="C209" s="1"/>
      <c r="K209" s="2"/>
      <c r="L209" s="2"/>
    </row>
    <row r="210">
      <c r="C210" s="1"/>
      <c r="K210" s="2"/>
      <c r="L210" s="2"/>
    </row>
    <row r="211">
      <c r="C211" s="1"/>
      <c r="K211" s="2"/>
      <c r="L211" s="2"/>
    </row>
    <row r="212">
      <c r="C212" s="1"/>
      <c r="K212" s="2"/>
      <c r="L212" s="2"/>
    </row>
    <row r="213">
      <c r="C213" s="1"/>
      <c r="K213" s="2"/>
      <c r="L213" s="2"/>
    </row>
    <row r="214">
      <c r="C214" s="1"/>
      <c r="K214" s="2"/>
      <c r="L214" s="2"/>
    </row>
    <row r="215">
      <c r="C215" s="1"/>
      <c r="K215" s="2"/>
      <c r="L215" s="2"/>
    </row>
    <row r="216">
      <c r="C216" s="1"/>
      <c r="K216" s="2"/>
      <c r="L216" s="2"/>
    </row>
    <row r="217">
      <c r="C217" s="1"/>
      <c r="K217" s="2"/>
      <c r="L217" s="2"/>
    </row>
    <row r="218">
      <c r="C218" s="1"/>
      <c r="K218" s="2"/>
      <c r="L218" s="2"/>
    </row>
    <row r="219">
      <c r="C219" s="1"/>
      <c r="K219" s="2"/>
      <c r="L219" s="2"/>
    </row>
    <row r="220">
      <c r="C220" s="1"/>
      <c r="K220" s="2"/>
      <c r="L220" s="2"/>
    </row>
    <row r="221">
      <c r="C221" s="1"/>
      <c r="K221" s="2"/>
      <c r="L221" s="2"/>
    </row>
    <row r="222">
      <c r="C222" s="1"/>
      <c r="K222" s="2"/>
      <c r="L222" s="2"/>
    </row>
    <row r="223">
      <c r="C223" s="1"/>
      <c r="K223" s="2"/>
      <c r="L223" s="2"/>
    </row>
    <row r="224">
      <c r="C224" s="1"/>
      <c r="K224" s="2"/>
      <c r="L224" s="2"/>
    </row>
    <row r="225">
      <c r="C225" s="1"/>
      <c r="K225" s="2"/>
      <c r="L225" s="2"/>
    </row>
    <row r="226">
      <c r="C226" s="1"/>
      <c r="K226" s="2"/>
      <c r="L226" s="2"/>
    </row>
    <row r="227">
      <c r="C227" s="1"/>
      <c r="K227" s="2"/>
      <c r="L227" s="2"/>
    </row>
    <row r="228">
      <c r="C228" s="1"/>
      <c r="K228" s="2"/>
      <c r="L228" s="2"/>
    </row>
    <row r="229">
      <c r="C229" s="1"/>
      <c r="K229" s="2"/>
      <c r="L229" s="2"/>
    </row>
    <row r="230">
      <c r="C230" s="1"/>
      <c r="K230" s="2"/>
      <c r="L230" s="2"/>
    </row>
    <row r="231">
      <c r="C231" s="1"/>
      <c r="K231" s="2"/>
      <c r="L231" s="2"/>
    </row>
    <row r="232">
      <c r="C232" s="1"/>
      <c r="K232" s="2"/>
      <c r="L232" s="2"/>
    </row>
    <row r="233">
      <c r="C233" s="1"/>
      <c r="K233" s="2"/>
      <c r="L233" s="2"/>
    </row>
    <row r="234">
      <c r="C234" s="1"/>
      <c r="K234" s="2"/>
      <c r="L234" s="2"/>
    </row>
    <row r="235">
      <c r="C235" s="1"/>
      <c r="K235" s="2"/>
      <c r="L235" s="2"/>
    </row>
    <row r="236">
      <c r="C236" s="1"/>
      <c r="K236" s="2"/>
      <c r="L236" s="2"/>
    </row>
    <row r="237">
      <c r="C237" s="1"/>
      <c r="K237" s="2"/>
      <c r="L237" s="2"/>
    </row>
    <row r="238">
      <c r="C238" s="1"/>
      <c r="K238" s="2"/>
      <c r="L238" s="2"/>
    </row>
    <row r="239">
      <c r="C239" s="1"/>
      <c r="K239" s="2"/>
      <c r="L239" s="2"/>
    </row>
    <row r="240">
      <c r="C240" s="1"/>
      <c r="K240" s="2"/>
      <c r="L240" s="2"/>
    </row>
    <row r="241">
      <c r="C241" s="1"/>
      <c r="K241" s="2"/>
      <c r="L241" s="2"/>
    </row>
    <row r="242">
      <c r="C242" s="1"/>
      <c r="K242" s="2"/>
      <c r="L242" s="2"/>
    </row>
    <row r="243">
      <c r="C243" s="1"/>
      <c r="K243" s="2"/>
      <c r="L243" s="2"/>
    </row>
    <row r="244">
      <c r="C244" s="1"/>
      <c r="K244" s="2"/>
      <c r="L244" s="2"/>
    </row>
    <row r="245">
      <c r="C245" s="1"/>
      <c r="K245" s="2"/>
      <c r="L245" s="2"/>
    </row>
    <row r="246">
      <c r="C246" s="1"/>
      <c r="K246" s="2"/>
      <c r="L246" s="2"/>
    </row>
    <row r="247">
      <c r="C247" s="1"/>
      <c r="K247" s="2"/>
      <c r="L247" s="2"/>
    </row>
    <row r="248">
      <c r="C248" s="1"/>
      <c r="K248" s="2"/>
      <c r="L248" s="2"/>
    </row>
    <row r="249">
      <c r="C249" s="1"/>
      <c r="K249" s="2"/>
      <c r="L249" s="2"/>
    </row>
    <row r="250">
      <c r="C250" s="1"/>
      <c r="K250" s="2"/>
      <c r="L250" s="2"/>
    </row>
    <row r="251">
      <c r="C251" s="1"/>
      <c r="K251" s="2"/>
      <c r="L251" s="2"/>
    </row>
    <row r="252">
      <c r="C252" s="1"/>
      <c r="K252" s="2"/>
      <c r="L252" s="2"/>
    </row>
    <row r="253">
      <c r="C253" s="1"/>
      <c r="K253" s="2"/>
      <c r="L253" s="2"/>
    </row>
    <row r="254">
      <c r="C254" s="1"/>
      <c r="K254" s="2"/>
      <c r="L254" s="2"/>
    </row>
    <row r="255">
      <c r="C255" s="1"/>
      <c r="K255" s="2"/>
      <c r="L255" s="2"/>
    </row>
    <row r="256">
      <c r="C256" s="1"/>
      <c r="K256" s="2"/>
      <c r="L256" s="2"/>
    </row>
    <row r="257">
      <c r="C257" s="1"/>
      <c r="K257" s="2"/>
      <c r="L257" s="2"/>
    </row>
    <row r="258">
      <c r="C258" s="1"/>
      <c r="K258" s="2"/>
      <c r="L258" s="2"/>
    </row>
    <row r="259">
      <c r="C259" s="1"/>
      <c r="K259" s="2"/>
      <c r="L259" s="2"/>
    </row>
    <row r="260">
      <c r="C260" s="1"/>
      <c r="K260" s="2"/>
      <c r="L260" s="2"/>
    </row>
    <row r="261">
      <c r="C261" s="1"/>
      <c r="K261" s="2"/>
      <c r="L261" s="2"/>
    </row>
    <row r="262">
      <c r="C262" s="1"/>
      <c r="K262" s="2"/>
      <c r="L262" s="2"/>
    </row>
    <row r="263">
      <c r="C263" s="1"/>
      <c r="K263" s="2"/>
      <c r="L263" s="2"/>
    </row>
    <row r="264">
      <c r="C264" s="1"/>
      <c r="K264" s="2"/>
      <c r="L264" s="2"/>
    </row>
    <row r="265">
      <c r="C265" s="1"/>
      <c r="K265" s="2"/>
      <c r="L265" s="2"/>
    </row>
    <row r="266">
      <c r="C266" s="1"/>
      <c r="K266" s="2"/>
      <c r="L266" s="2"/>
    </row>
    <row r="267">
      <c r="C267" s="1"/>
      <c r="K267" s="2"/>
      <c r="L267" s="2"/>
    </row>
    <row r="268">
      <c r="C268" s="1"/>
      <c r="K268" s="2"/>
      <c r="L268" s="2"/>
    </row>
    <row r="269">
      <c r="C269" s="1"/>
      <c r="K269" s="2"/>
      <c r="L269" s="2"/>
    </row>
    <row r="270">
      <c r="C270" s="1"/>
      <c r="K270" s="2"/>
      <c r="L270" s="2"/>
    </row>
    <row r="271">
      <c r="C271" s="1"/>
      <c r="K271" s="2"/>
      <c r="L271" s="2"/>
    </row>
    <row r="272">
      <c r="C272" s="1"/>
      <c r="K272" s="2"/>
      <c r="L272" s="2"/>
    </row>
    <row r="273">
      <c r="C273" s="1"/>
      <c r="K273" s="2"/>
      <c r="L273" s="2"/>
    </row>
    <row r="274">
      <c r="C274" s="1"/>
      <c r="K274" s="2"/>
      <c r="L274" s="2"/>
    </row>
    <row r="275">
      <c r="C275" s="1"/>
      <c r="K275" s="2"/>
      <c r="L275" s="2"/>
    </row>
    <row r="276">
      <c r="C276" s="1"/>
      <c r="K276" s="2"/>
      <c r="L276" s="2"/>
    </row>
    <row r="277">
      <c r="C277" s="1"/>
      <c r="K277" s="2"/>
      <c r="L277" s="2"/>
    </row>
    <row r="278">
      <c r="C278" s="1"/>
      <c r="K278" s="2"/>
      <c r="L278" s="2"/>
    </row>
    <row r="279">
      <c r="C279" s="1"/>
      <c r="K279" s="2"/>
      <c r="L279" s="2"/>
    </row>
    <row r="280">
      <c r="C280" s="1"/>
      <c r="K280" s="2"/>
      <c r="L280" s="2"/>
    </row>
    <row r="281">
      <c r="C281" s="1"/>
      <c r="K281" s="2"/>
      <c r="L281" s="2"/>
    </row>
    <row r="282">
      <c r="C282" s="1"/>
      <c r="K282" s="2"/>
      <c r="L282" s="2"/>
    </row>
    <row r="283">
      <c r="C283" s="1"/>
      <c r="K283" s="2"/>
      <c r="L283" s="2"/>
    </row>
    <row r="284">
      <c r="C284" s="1"/>
      <c r="K284" s="2"/>
      <c r="L284" s="2"/>
    </row>
    <row r="285">
      <c r="C285" s="1"/>
      <c r="K285" s="2"/>
      <c r="L285" s="2"/>
    </row>
    <row r="286">
      <c r="C286" s="1"/>
      <c r="K286" s="2"/>
      <c r="L286" s="2"/>
    </row>
    <row r="287">
      <c r="C287" s="1"/>
      <c r="K287" s="2"/>
      <c r="L287" s="2"/>
    </row>
    <row r="288">
      <c r="C288" s="1"/>
      <c r="K288" s="2"/>
      <c r="L288" s="2"/>
    </row>
    <row r="289">
      <c r="C289" s="1"/>
      <c r="K289" s="2"/>
      <c r="L289" s="2"/>
    </row>
    <row r="290">
      <c r="C290" s="1"/>
      <c r="K290" s="2"/>
      <c r="L290" s="2"/>
    </row>
    <row r="291">
      <c r="C291" s="1"/>
      <c r="K291" s="2"/>
      <c r="L291" s="2"/>
    </row>
    <row r="292">
      <c r="C292" s="1"/>
      <c r="K292" s="2"/>
      <c r="L292" s="2"/>
    </row>
    <row r="293">
      <c r="C293" s="1"/>
      <c r="K293" s="2"/>
      <c r="L293" s="2"/>
    </row>
    <row r="294">
      <c r="C294" s="1"/>
      <c r="K294" s="2"/>
      <c r="L294" s="2"/>
    </row>
    <row r="295">
      <c r="C295" s="1"/>
      <c r="K295" s="2"/>
      <c r="L295" s="2"/>
    </row>
    <row r="296">
      <c r="C296" s="1"/>
      <c r="K296" s="2"/>
      <c r="L296" s="2"/>
    </row>
    <row r="297">
      <c r="C297" s="1"/>
      <c r="K297" s="2"/>
      <c r="L297" s="2"/>
    </row>
    <row r="298">
      <c r="C298" s="1"/>
      <c r="K298" s="2"/>
      <c r="L298" s="2"/>
    </row>
    <row r="299">
      <c r="C299" s="1"/>
      <c r="K299" s="2"/>
      <c r="L299" s="2"/>
    </row>
    <row r="300">
      <c r="C300" s="1"/>
      <c r="K300" s="2"/>
      <c r="L300" s="2"/>
    </row>
    <row r="301">
      <c r="C301" s="1"/>
      <c r="K301" s="2"/>
      <c r="L301" s="2"/>
    </row>
    <row r="302">
      <c r="C302" s="1"/>
      <c r="K302" s="2"/>
      <c r="L302" s="2"/>
    </row>
    <row r="303">
      <c r="C303" s="1"/>
      <c r="K303" s="2"/>
      <c r="L303" s="2"/>
    </row>
    <row r="304">
      <c r="C304" s="1"/>
      <c r="K304" s="2"/>
      <c r="L304" s="2"/>
    </row>
    <row r="305">
      <c r="C305" s="1"/>
      <c r="K305" s="2"/>
      <c r="L305" s="2"/>
    </row>
    <row r="306">
      <c r="C306" s="1"/>
      <c r="K306" s="2"/>
      <c r="L306" s="2"/>
    </row>
    <row r="307">
      <c r="C307" s="1"/>
      <c r="K307" s="2"/>
      <c r="L307" s="2"/>
    </row>
    <row r="308">
      <c r="C308" s="1"/>
      <c r="K308" s="2"/>
      <c r="L308" s="2"/>
    </row>
    <row r="309">
      <c r="C309" s="1"/>
      <c r="K309" s="2"/>
      <c r="L309" s="2"/>
    </row>
    <row r="310">
      <c r="C310" s="1"/>
      <c r="K310" s="2"/>
      <c r="L310" s="2"/>
    </row>
    <row r="311">
      <c r="C311" s="1"/>
      <c r="K311" s="2"/>
      <c r="L311" s="2"/>
    </row>
    <row r="312">
      <c r="C312" s="1"/>
      <c r="K312" s="2"/>
      <c r="L312" s="2"/>
    </row>
    <row r="313">
      <c r="C313" s="1"/>
      <c r="K313" s="2"/>
      <c r="L313" s="2"/>
    </row>
    <row r="314">
      <c r="C314" s="1"/>
      <c r="K314" s="2"/>
      <c r="L314" s="2"/>
    </row>
    <row r="315">
      <c r="C315" s="1"/>
      <c r="K315" s="2"/>
      <c r="L315" s="2"/>
    </row>
    <row r="316">
      <c r="C316" s="1"/>
      <c r="K316" s="2"/>
      <c r="L316" s="2"/>
    </row>
    <row r="317">
      <c r="C317" s="1"/>
      <c r="K317" s="2"/>
      <c r="L317" s="2"/>
    </row>
    <row r="318">
      <c r="C318" s="1"/>
      <c r="K318" s="2"/>
      <c r="L318" s="2"/>
    </row>
    <row r="319">
      <c r="C319" s="1"/>
      <c r="K319" s="2"/>
      <c r="L319" s="2"/>
    </row>
    <row r="320">
      <c r="C320" s="1"/>
      <c r="K320" s="2"/>
      <c r="L320" s="2"/>
    </row>
    <row r="321">
      <c r="C321" s="1"/>
      <c r="K321" s="2"/>
      <c r="L321" s="2"/>
    </row>
    <row r="322">
      <c r="C322" s="1"/>
      <c r="K322" s="2"/>
      <c r="L322" s="2"/>
    </row>
    <row r="323">
      <c r="C323" s="1"/>
      <c r="K323" s="2"/>
      <c r="L323" s="2"/>
    </row>
    <row r="324">
      <c r="C324" s="1"/>
      <c r="K324" s="2"/>
      <c r="L324" s="2"/>
    </row>
    <row r="325">
      <c r="C325" s="1"/>
      <c r="K325" s="2"/>
      <c r="L325" s="2"/>
    </row>
    <row r="326">
      <c r="C326" s="1"/>
      <c r="K326" s="2"/>
      <c r="L326" s="2"/>
    </row>
    <row r="327">
      <c r="C327" s="1"/>
      <c r="K327" s="2"/>
      <c r="L327" s="2"/>
    </row>
    <row r="328">
      <c r="C328" s="1"/>
      <c r="K328" s="2"/>
      <c r="L328" s="2"/>
    </row>
    <row r="329">
      <c r="C329" s="1"/>
      <c r="K329" s="2"/>
      <c r="L329" s="2"/>
    </row>
    <row r="330">
      <c r="C330" s="1"/>
      <c r="K330" s="2"/>
      <c r="L330" s="2"/>
    </row>
    <row r="331">
      <c r="C331" s="1"/>
      <c r="K331" s="2"/>
      <c r="L331" s="2"/>
    </row>
    <row r="332">
      <c r="C332" s="1"/>
      <c r="K332" s="2"/>
      <c r="L332" s="2"/>
    </row>
    <row r="333">
      <c r="C333" s="1"/>
      <c r="K333" s="2"/>
      <c r="L333" s="2"/>
    </row>
    <row r="334">
      <c r="C334" s="1"/>
      <c r="K334" s="2"/>
      <c r="L334" s="2"/>
    </row>
    <row r="335">
      <c r="C335" s="1"/>
      <c r="K335" s="2"/>
      <c r="L335" s="2"/>
    </row>
    <row r="336">
      <c r="C336" s="1"/>
      <c r="K336" s="2"/>
      <c r="L336" s="2"/>
    </row>
    <row r="337">
      <c r="C337" s="1"/>
      <c r="K337" s="2"/>
      <c r="L337" s="2"/>
    </row>
    <row r="338">
      <c r="C338" s="1"/>
      <c r="K338" s="2"/>
      <c r="L338" s="2"/>
    </row>
    <row r="339">
      <c r="C339" s="1"/>
      <c r="K339" s="2"/>
      <c r="L339" s="2"/>
    </row>
    <row r="340">
      <c r="C340" s="1"/>
      <c r="K340" s="2"/>
      <c r="L340" s="2"/>
    </row>
    <row r="341">
      <c r="C341" s="1"/>
      <c r="K341" s="2"/>
      <c r="L341" s="2"/>
    </row>
    <row r="342">
      <c r="C342" s="1"/>
      <c r="K342" s="2"/>
      <c r="L342" s="2"/>
    </row>
    <row r="343">
      <c r="C343" s="1"/>
      <c r="K343" s="2"/>
      <c r="L343" s="2"/>
    </row>
    <row r="344">
      <c r="C344" s="1"/>
      <c r="K344" s="2"/>
      <c r="L344" s="2"/>
    </row>
    <row r="345">
      <c r="C345" s="1"/>
      <c r="K345" s="2"/>
      <c r="L345" s="2"/>
    </row>
    <row r="346">
      <c r="C346" s="1"/>
      <c r="K346" s="2"/>
      <c r="L346" s="2"/>
    </row>
    <row r="347">
      <c r="C347" s="1"/>
      <c r="K347" s="2"/>
      <c r="L347" s="2"/>
    </row>
    <row r="348">
      <c r="C348" s="1"/>
      <c r="K348" s="2"/>
      <c r="L348" s="2"/>
    </row>
    <row r="349">
      <c r="C349" s="1"/>
      <c r="K349" s="2"/>
      <c r="L349" s="2"/>
    </row>
    <row r="350">
      <c r="C350" s="1"/>
      <c r="K350" s="2"/>
      <c r="L350" s="2"/>
    </row>
    <row r="351">
      <c r="C351" s="1"/>
      <c r="K351" s="2"/>
      <c r="L351" s="2"/>
    </row>
    <row r="352">
      <c r="C352" s="1"/>
      <c r="K352" s="2"/>
      <c r="L352" s="2"/>
    </row>
    <row r="353">
      <c r="C353" s="1"/>
      <c r="K353" s="2"/>
      <c r="L353" s="2"/>
    </row>
    <row r="354">
      <c r="C354" s="1"/>
      <c r="K354" s="2"/>
      <c r="L354" s="2"/>
    </row>
    <row r="355">
      <c r="C355" s="1"/>
      <c r="K355" s="2"/>
      <c r="L355" s="2"/>
    </row>
    <row r="356">
      <c r="C356" s="1"/>
      <c r="K356" s="2"/>
      <c r="L356" s="2"/>
    </row>
    <row r="357">
      <c r="C357" s="1"/>
      <c r="K357" s="2"/>
      <c r="L357" s="2"/>
    </row>
    <row r="358">
      <c r="C358" s="1"/>
      <c r="K358" s="2"/>
      <c r="L358" s="2"/>
    </row>
    <row r="359">
      <c r="C359" s="1"/>
      <c r="K359" s="2"/>
      <c r="L359" s="2"/>
    </row>
    <row r="360">
      <c r="C360" s="1"/>
      <c r="K360" s="2"/>
      <c r="L360" s="2"/>
    </row>
    <row r="361">
      <c r="C361" s="1"/>
      <c r="K361" s="2"/>
      <c r="L361" s="2"/>
    </row>
    <row r="362">
      <c r="C362" s="1"/>
      <c r="K362" s="2"/>
      <c r="L362" s="2"/>
    </row>
    <row r="363">
      <c r="C363" s="1"/>
      <c r="K363" s="2"/>
      <c r="L363" s="2"/>
    </row>
    <row r="364">
      <c r="C364" s="1"/>
      <c r="K364" s="2"/>
      <c r="L364" s="2"/>
    </row>
    <row r="365">
      <c r="C365" s="1"/>
      <c r="K365" s="2"/>
      <c r="L365" s="2"/>
    </row>
    <row r="366">
      <c r="C366" s="1"/>
      <c r="K366" s="2"/>
      <c r="L366" s="2"/>
    </row>
    <row r="367">
      <c r="C367" s="1"/>
      <c r="K367" s="2"/>
      <c r="L367" s="2"/>
    </row>
    <row r="368">
      <c r="C368" s="1"/>
      <c r="K368" s="2"/>
      <c r="L368" s="2"/>
    </row>
    <row r="369">
      <c r="C369" s="1"/>
      <c r="K369" s="2"/>
      <c r="L369" s="2"/>
    </row>
    <row r="370">
      <c r="C370" s="1"/>
      <c r="K370" s="2"/>
      <c r="L370" s="2"/>
    </row>
    <row r="371">
      <c r="C371" s="1"/>
      <c r="K371" s="2"/>
      <c r="L371" s="2"/>
    </row>
    <row r="372">
      <c r="C372" s="1"/>
      <c r="K372" s="2"/>
      <c r="L372" s="2"/>
    </row>
    <row r="373">
      <c r="C373" s="1"/>
      <c r="K373" s="2"/>
      <c r="L373" s="2"/>
    </row>
    <row r="374">
      <c r="C374" s="1"/>
      <c r="K374" s="2"/>
      <c r="L374" s="2"/>
    </row>
    <row r="375">
      <c r="C375" s="1"/>
      <c r="K375" s="2"/>
      <c r="L375" s="2"/>
    </row>
    <row r="376">
      <c r="C376" s="1"/>
      <c r="K376" s="2"/>
      <c r="L376" s="2"/>
    </row>
    <row r="377">
      <c r="C377" s="1"/>
      <c r="K377" s="2"/>
      <c r="L377" s="2"/>
    </row>
    <row r="378">
      <c r="C378" s="1"/>
      <c r="K378" s="2"/>
      <c r="L378" s="2"/>
    </row>
    <row r="379">
      <c r="C379" s="1"/>
      <c r="K379" s="2"/>
      <c r="L379" s="2"/>
    </row>
    <row r="380">
      <c r="C380" s="1"/>
      <c r="K380" s="2"/>
      <c r="L380" s="2"/>
    </row>
    <row r="381">
      <c r="C381" s="1"/>
      <c r="K381" s="2"/>
      <c r="L381" s="2"/>
    </row>
    <row r="382">
      <c r="C382" s="1"/>
      <c r="K382" s="2"/>
      <c r="L382" s="2"/>
    </row>
    <row r="383">
      <c r="C383" s="1"/>
      <c r="K383" s="2"/>
      <c r="L383" s="2"/>
    </row>
    <row r="384">
      <c r="C384" s="1"/>
      <c r="K384" s="2"/>
      <c r="L384" s="2"/>
    </row>
    <row r="385">
      <c r="C385" s="1"/>
      <c r="K385" s="2"/>
      <c r="L385" s="2"/>
    </row>
    <row r="386">
      <c r="C386" s="1"/>
      <c r="K386" s="2"/>
      <c r="L386" s="2"/>
    </row>
    <row r="387">
      <c r="C387" s="1"/>
      <c r="K387" s="2"/>
      <c r="L387" s="2"/>
    </row>
    <row r="388">
      <c r="C388" s="1"/>
      <c r="K388" s="2"/>
      <c r="L388" s="2"/>
    </row>
    <row r="389">
      <c r="C389" s="1"/>
      <c r="K389" s="2"/>
      <c r="L389" s="2"/>
    </row>
    <row r="390">
      <c r="C390" s="1"/>
      <c r="K390" s="2"/>
      <c r="L390" s="2"/>
    </row>
    <row r="391">
      <c r="C391" s="1"/>
      <c r="K391" s="2"/>
      <c r="L391" s="2"/>
    </row>
    <row r="392">
      <c r="C392" s="1"/>
      <c r="K392" s="2"/>
      <c r="L392" s="2"/>
    </row>
    <row r="393">
      <c r="C393" s="1"/>
      <c r="K393" s="2"/>
      <c r="L393" s="2"/>
    </row>
    <row r="394">
      <c r="C394" s="1"/>
      <c r="K394" s="2"/>
      <c r="L394" s="2"/>
    </row>
    <row r="395">
      <c r="C395" s="1"/>
      <c r="K395" s="2"/>
      <c r="L395" s="2"/>
    </row>
    <row r="396">
      <c r="C396" s="1"/>
      <c r="K396" s="2"/>
      <c r="L396" s="2"/>
    </row>
    <row r="397">
      <c r="C397" s="1"/>
      <c r="K397" s="2"/>
      <c r="L397" s="2"/>
    </row>
    <row r="398">
      <c r="C398" s="1"/>
      <c r="K398" s="2"/>
      <c r="L398" s="2"/>
    </row>
    <row r="399">
      <c r="C399" s="1"/>
      <c r="K399" s="2"/>
      <c r="L399" s="2"/>
    </row>
    <row r="400">
      <c r="C400" s="1"/>
      <c r="K400" s="2"/>
      <c r="L400" s="2"/>
    </row>
    <row r="401">
      <c r="C401" s="1"/>
      <c r="K401" s="2"/>
      <c r="L401" s="2"/>
    </row>
    <row r="402">
      <c r="C402" s="1"/>
      <c r="K402" s="2"/>
      <c r="L402" s="2"/>
    </row>
    <row r="403">
      <c r="C403" s="1"/>
      <c r="K403" s="2"/>
      <c r="L403" s="2"/>
    </row>
    <row r="404">
      <c r="C404" s="1"/>
      <c r="K404" s="2"/>
      <c r="L404" s="2"/>
    </row>
    <row r="405">
      <c r="C405" s="1"/>
      <c r="K405" s="2"/>
      <c r="L405" s="2"/>
    </row>
    <row r="406">
      <c r="C406" s="1"/>
      <c r="K406" s="2"/>
      <c r="L406" s="2"/>
    </row>
    <row r="407">
      <c r="C407" s="1"/>
      <c r="K407" s="2"/>
      <c r="L407" s="2"/>
    </row>
    <row r="408">
      <c r="C408" s="1"/>
      <c r="K408" s="2"/>
      <c r="L408" s="2"/>
    </row>
    <row r="409">
      <c r="C409" s="1"/>
      <c r="K409" s="2"/>
      <c r="L409" s="2"/>
    </row>
    <row r="410">
      <c r="C410" s="1"/>
      <c r="K410" s="2"/>
      <c r="L410" s="2"/>
    </row>
    <row r="411">
      <c r="C411" s="1"/>
      <c r="K411" s="2"/>
      <c r="L411" s="2"/>
    </row>
    <row r="412">
      <c r="C412" s="1"/>
      <c r="K412" s="2"/>
      <c r="L412" s="2"/>
    </row>
    <row r="413">
      <c r="C413" s="1"/>
      <c r="K413" s="2"/>
      <c r="L413" s="2"/>
    </row>
    <row r="414">
      <c r="C414" s="1"/>
      <c r="K414" s="2"/>
      <c r="L414" s="2"/>
    </row>
    <row r="415">
      <c r="C415" s="1"/>
      <c r="K415" s="2"/>
      <c r="L415" s="2"/>
    </row>
    <row r="416">
      <c r="C416" s="1"/>
      <c r="K416" s="2"/>
      <c r="L416" s="2"/>
    </row>
    <row r="417">
      <c r="C417" s="1"/>
      <c r="K417" s="2"/>
      <c r="L417" s="2"/>
    </row>
    <row r="418">
      <c r="C418" s="1"/>
      <c r="K418" s="2"/>
      <c r="L418" s="2"/>
    </row>
    <row r="419">
      <c r="C419" s="1"/>
      <c r="K419" s="2"/>
      <c r="L419" s="2"/>
    </row>
    <row r="420">
      <c r="C420" s="1"/>
      <c r="K420" s="2"/>
      <c r="L420" s="2"/>
    </row>
    <row r="421">
      <c r="C421" s="1"/>
      <c r="K421" s="2"/>
      <c r="L421" s="2"/>
    </row>
    <row r="422">
      <c r="C422" s="1"/>
      <c r="K422" s="2"/>
      <c r="L422" s="2"/>
    </row>
    <row r="423">
      <c r="C423" s="1"/>
      <c r="K423" s="2"/>
      <c r="L423" s="2"/>
    </row>
    <row r="424">
      <c r="C424" s="1"/>
      <c r="K424" s="2"/>
      <c r="L424" s="2"/>
    </row>
    <row r="425">
      <c r="C425" s="1"/>
      <c r="K425" s="2"/>
      <c r="L425" s="2"/>
    </row>
    <row r="426">
      <c r="C426" s="1"/>
      <c r="K426" s="2"/>
      <c r="L426" s="2"/>
    </row>
    <row r="427">
      <c r="C427" s="1"/>
      <c r="K427" s="2"/>
      <c r="L427" s="2"/>
    </row>
    <row r="428">
      <c r="C428" s="1"/>
      <c r="K428" s="2"/>
      <c r="L428" s="2"/>
    </row>
    <row r="429">
      <c r="C429" s="1"/>
      <c r="K429" s="2"/>
      <c r="L429" s="2"/>
    </row>
    <row r="430">
      <c r="C430" s="1"/>
      <c r="K430" s="2"/>
      <c r="L430" s="2"/>
    </row>
    <row r="431">
      <c r="C431" s="1"/>
      <c r="K431" s="2"/>
      <c r="L431" s="2"/>
    </row>
    <row r="432">
      <c r="C432" s="1"/>
      <c r="K432" s="2"/>
      <c r="L432" s="2"/>
    </row>
    <row r="433">
      <c r="C433" s="1"/>
      <c r="K433" s="2"/>
      <c r="L433" s="2"/>
    </row>
    <row r="434">
      <c r="C434" s="1"/>
      <c r="K434" s="2"/>
      <c r="L434" s="2"/>
    </row>
    <row r="435">
      <c r="C435" s="1"/>
      <c r="K435" s="2"/>
      <c r="L435" s="2"/>
    </row>
    <row r="436">
      <c r="C436" s="1"/>
      <c r="K436" s="2"/>
      <c r="L436" s="2"/>
    </row>
    <row r="437">
      <c r="C437" s="1"/>
      <c r="K437" s="2"/>
      <c r="L437" s="2"/>
    </row>
    <row r="438">
      <c r="C438" s="1"/>
      <c r="K438" s="2"/>
      <c r="L438" s="2"/>
    </row>
    <row r="439">
      <c r="C439" s="1"/>
      <c r="K439" s="2"/>
      <c r="L439" s="2"/>
    </row>
    <row r="440">
      <c r="C440" s="1"/>
      <c r="K440" s="2"/>
      <c r="L440" s="2"/>
    </row>
    <row r="441">
      <c r="C441" s="1"/>
      <c r="K441" s="2"/>
      <c r="L441" s="2"/>
    </row>
    <row r="442">
      <c r="C442" s="1"/>
      <c r="K442" s="2"/>
      <c r="L442" s="2"/>
    </row>
    <row r="443">
      <c r="C443" s="1"/>
      <c r="K443" s="2"/>
      <c r="L443" s="2"/>
    </row>
    <row r="444">
      <c r="C444" s="1"/>
      <c r="K444" s="2"/>
      <c r="L444" s="2"/>
    </row>
    <row r="445">
      <c r="C445" s="1"/>
      <c r="K445" s="2"/>
      <c r="L445" s="2"/>
    </row>
    <row r="446">
      <c r="C446" s="1"/>
      <c r="K446" s="2"/>
      <c r="L446" s="2"/>
    </row>
    <row r="447">
      <c r="C447" s="1"/>
      <c r="K447" s="2"/>
      <c r="L447" s="2"/>
    </row>
    <row r="448">
      <c r="C448" s="1"/>
      <c r="K448" s="2"/>
      <c r="L448" s="2"/>
    </row>
    <row r="449">
      <c r="C449" s="1"/>
      <c r="K449" s="2"/>
      <c r="L449" s="2"/>
    </row>
    <row r="450">
      <c r="C450" s="1"/>
      <c r="K450" s="2"/>
      <c r="L450" s="2"/>
    </row>
    <row r="451">
      <c r="C451" s="1"/>
      <c r="K451" s="2"/>
      <c r="L451" s="2"/>
    </row>
    <row r="452">
      <c r="C452" s="1"/>
      <c r="K452" s="2"/>
      <c r="L452" s="2"/>
    </row>
    <row r="453">
      <c r="C453" s="1"/>
      <c r="K453" s="2"/>
      <c r="L453" s="2"/>
    </row>
    <row r="454">
      <c r="C454" s="1"/>
      <c r="K454" s="2"/>
      <c r="L454" s="2"/>
    </row>
    <row r="455">
      <c r="C455" s="1"/>
      <c r="K455" s="2"/>
      <c r="L455" s="2"/>
    </row>
    <row r="456">
      <c r="C456" s="1"/>
      <c r="K456" s="2"/>
      <c r="L456" s="2"/>
    </row>
    <row r="457">
      <c r="C457" s="1"/>
      <c r="K457" s="2"/>
      <c r="L457" s="2"/>
    </row>
    <row r="458">
      <c r="C458" s="1"/>
      <c r="K458" s="2"/>
      <c r="L458" s="2"/>
    </row>
    <row r="459">
      <c r="C459" s="1"/>
      <c r="K459" s="2"/>
      <c r="L459" s="2"/>
    </row>
    <row r="460">
      <c r="C460" s="1"/>
      <c r="K460" s="2"/>
      <c r="L460" s="2"/>
    </row>
    <row r="461">
      <c r="C461" s="1"/>
      <c r="K461" s="2"/>
      <c r="L461" s="2"/>
    </row>
    <row r="462">
      <c r="C462" s="1"/>
      <c r="K462" s="2"/>
      <c r="L462" s="2"/>
    </row>
    <row r="463">
      <c r="C463" s="1"/>
      <c r="K463" s="2"/>
      <c r="L463" s="2"/>
    </row>
    <row r="464">
      <c r="C464" s="1"/>
      <c r="K464" s="2"/>
      <c r="L464" s="2"/>
    </row>
    <row r="465">
      <c r="C465" s="1"/>
      <c r="K465" s="2"/>
      <c r="L465" s="2"/>
    </row>
    <row r="466">
      <c r="C466" s="1"/>
      <c r="K466" s="2"/>
      <c r="L466" s="2"/>
    </row>
    <row r="467">
      <c r="C467" s="1"/>
      <c r="K467" s="2"/>
      <c r="L467" s="2"/>
    </row>
    <row r="468">
      <c r="C468" s="1"/>
      <c r="K468" s="2"/>
      <c r="L468" s="2"/>
    </row>
    <row r="469">
      <c r="C469" s="1"/>
      <c r="K469" s="2"/>
      <c r="L469" s="2"/>
    </row>
    <row r="470">
      <c r="C470" s="1"/>
      <c r="K470" s="2"/>
      <c r="L470" s="2"/>
    </row>
    <row r="471">
      <c r="C471" s="1"/>
      <c r="K471" s="2"/>
      <c r="L471" s="2"/>
    </row>
    <row r="472">
      <c r="C472" s="1"/>
      <c r="K472" s="2"/>
      <c r="L472" s="2"/>
    </row>
    <row r="473">
      <c r="C473" s="1"/>
      <c r="K473" s="2"/>
      <c r="L473" s="2"/>
    </row>
    <row r="474">
      <c r="C474" s="1"/>
      <c r="K474" s="2"/>
      <c r="L474" s="2"/>
    </row>
    <row r="475">
      <c r="C475" s="1"/>
      <c r="K475" s="2"/>
      <c r="L475" s="2"/>
    </row>
    <row r="476">
      <c r="C476" s="1"/>
      <c r="K476" s="2"/>
      <c r="L476" s="2"/>
    </row>
    <row r="477">
      <c r="C477" s="1"/>
      <c r="K477" s="2"/>
      <c r="L477" s="2"/>
    </row>
    <row r="478">
      <c r="C478" s="1"/>
      <c r="K478" s="2"/>
      <c r="L478" s="2"/>
    </row>
    <row r="479">
      <c r="C479" s="1"/>
      <c r="K479" s="2"/>
      <c r="L479" s="2"/>
    </row>
    <row r="480">
      <c r="C480" s="1"/>
      <c r="K480" s="2"/>
      <c r="L480" s="2"/>
    </row>
    <row r="481">
      <c r="C481" s="1"/>
      <c r="K481" s="2"/>
      <c r="L481" s="2"/>
    </row>
    <row r="482">
      <c r="C482" s="1"/>
      <c r="K482" s="2"/>
      <c r="L482" s="2"/>
    </row>
    <row r="483">
      <c r="C483" s="1"/>
      <c r="K483" s="2"/>
      <c r="L483" s="2"/>
    </row>
    <row r="484">
      <c r="C484" s="1"/>
      <c r="K484" s="2"/>
      <c r="L484" s="2"/>
    </row>
    <row r="485">
      <c r="C485" s="1"/>
      <c r="K485" s="2"/>
      <c r="L485" s="2"/>
    </row>
    <row r="486">
      <c r="C486" s="1"/>
      <c r="K486" s="2"/>
      <c r="L486" s="2"/>
    </row>
    <row r="487">
      <c r="C487" s="1"/>
      <c r="K487" s="2"/>
      <c r="L487" s="2"/>
    </row>
    <row r="488">
      <c r="C488" s="1"/>
      <c r="K488" s="2"/>
      <c r="L488" s="2"/>
    </row>
    <row r="489">
      <c r="C489" s="1"/>
      <c r="K489" s="2"/>
      <c r="L489" s="2"/>
    </row>
    <row r="490">
      <c r="C490" s="1"/>
      <c r="K490" s="2"/>
      <c r="L490" s="2"/>
    </row>
    <row r="491">
      <c r="C491" s="1"/>
      <c r="K491" s="2"/>
      <c r="L491" s="2"/>
    </row>
    <row r="492">
      <c r="C492" s="1"/>
      <c r="K492" s="2"/>
      <c r="L492" s="2"/>
    </row>
    <row r="493">
      <c r="C493" s="1"/>
      <c r="K493" s="2"/>
      <c r="L493" s="2"/>
    </row>
    <row r="494">
      <c r="C494" s="1"/>
      <c r="K494" s="2"/>
      <c r="L494" s="2"/>
    </row>
    <row r="495">
      <c r="C495" s="1"/>
      <c r="K495" s="2"/>
      <c r="L495" s="2"/>
    </row>
    <row r="496">
      <c r="C496" s="1"/>
      <c r="K496" s="2"/>
      <c r="L496" s="2"/>
    </row>
    <row r="497">
      <c r="C497" s="1"/>
      <c r="K497" s="2"/>
      <c r="L497" s="2"/>
    </row>
    <row r="498">
      <c r="C498" s="1"/>
      <c r="K498" s="2"/>
      <c r="L498" s="2"/>
    </row>
    <row r="499">
      <c r="C499" s="1"/>
      <c r="K499" s="2"/>
      <c r="L499" s="2"/>
    </row>
    <row r="500">
      <c r="C500" s="1"/>
      <c r="K500" s="2"/>
      <c r="L500" s="2"/>
    </row>
    <row r="501">
      <c r="C501" s="1"/>
      <c r="K501" s="2"/>
      <c r="L501" s="2"/>
    </row>
    <row r="502">
      <c r="C502" s="1"/>
      <c r="K502" s="2"/>
      <c r="L502" s="2"/>
    </row>
    <row r="503">
      <c r="C503" s="1"/>
      <c r="K503" s="2"/>
      <c r="L503" s="2"/>
    </row>
    <row r="504">
      <c r="C504" s="1"/>
      <c r="K504" s="2"/>
      <c r="L504" s="2"/>
    </row>
    <row r="505">
      <c r="C505" s="1"/>
      <c r="K505" s="2"/>
      <c r="L505" s="2"/>
    </row>
    <row r="506">
      <c r="C506" s="1"/>
      <c r="K506" s="2"/>
      <c r="L506" s="2"/>
    </row>
    <row r="507">
      <c r="C507" s="1"/>
      <c r="K507" s="2"/>
      <c r="L507" s="2"/>
    </row>
    <row r="508">
      <c r="C508" s="1"/>
      <c r="K508" s="2"/>
      <c r="L508" s="2"/>
    </row>
    <row r="509">
      <c r="C509" s="1"/>
      <c r="K509" s="2"/>
      <c r="L509" s="2"/>
    </row>
    <row r="510">
      <c r="C510" s="1"/>
      <c r="K510" s="2"/>
      <c r="L510" s="2"/>
    </row>
    <row r="511">
      <c r="C511" s="1"/>
      <c r="K511" s="2"/>
      <c r="L511" s="2"/>
    </row>
    <row r="512">
      <c r="C512" s="1"/>
      <c r="K512" s="2"/>
      <c r="L512" s="2"/>
    </row>
    <row r="513">
      <c r="C513" s="1"/>
      <c r="K513" s="2"/>
      <c r="L513" s="2"/>
    </row>
    <row r="514">
      <c r="C514" s="1"/>
      <c r="K514" s="2"/>
      <c r="L514" s="2"/>
    </row>
    <row r="515">
      <c r="C515" s="1"/>
      <c r="K515" s="2"/>
      <c r="L515" s="2"/>
    </row>
    <row r="516">
      <c r="C516" s="1"/>
      <c r="K516" s="2"/>
      <c r="L516" s="2"/>
    </row>
    <row r="517">
      <c r="C517" s="1"/>
      <c r="K517" s="2"/>
      <c r="L517" s="2"/>
    </row>
    <row r="518">
      <c r="C518" s="1"/>
      <c r="K518" s="2"/>
      <c r="L518" s="2"/>
    </row>
    <row r="519">
      <c r="C519" s="1"/>
      <c r="K519" s="2"/>
      <c r="L519" s="2"/>
    </row>
    <row r="520">
      <c r="C520" s="1"/>
      <c r="K520" s="2"/>
      <c r="L520" s="2"/>
    </row>
    <row r="521">
      <c r="C521" s="1"/>
      <c r="K521" s="2"/>
      <c r="L521" s="2"/>
    </row>
    <row r="522">
      <c r="C522" s="1"/>
      <c r="K522" s="2"/>
      <c r="L522" s="2"/>
    </row>
    <row r="523">
      <c r="C523" s="1"/>
      <c r="K523" s="2"/>
      <c r="L523" s="2"/>
    </row>
    <row r="524">
      <c r="C524" s="1"/>
      <c r="K524" s="2"/>
      <c r="L524" s="2"/>
    </row>
    <row r="525">
      <c r="C525" s="1"/>
      <c r="K525" s="2"/>
      <c r="L525" s="2"/>
    </row>
    <row r="526">
      <c r="C526" s="1"/>
      <c r="K526" s="2"/>
      <c r="L526" s="2"/>
    </row>
    <row r="527">
      <c r="C527" s="1"/>
      <c r="K527" s="2"/>
      <c r="L527" s="2"/>
    </row>
    <row r="528">
      <c r="C528" s="1"/>
      <c r="K528" s="2"/>
      <c r="L528" s="2"/>
    </row>
    <row r="529">
      <c r="C529" s="1"/>
      <c r="K529" s="2"/>
      <c r="L529" s="2"/>
    </row>
    <row r="530">
      <c r="C530" s="1"/>
      <c r="K530" s="2"/>
      <c r="L530" s="2"/>
    </row>
    <row r="531">
      <c r="C531" s="1"/>
      <c r="K531" s="2"/>
      <c r="L531" s="2"/>
    </row>
    <row r="532">
      <c r="C532" s="1"/>
      <c r="K532" s="2"/>
      <c r="L532" s="2"/>
    </row>
    <row r="533">
      <c r="C533" s="1"/>
      <c r="K533" s="2"/>
      <c r="L533" s="2"/>
    </row>
    <row r="534">
      <c r="C534" s="1"/>
      <c r="K534" s="2"/>
      <c r="L534" s="2"/>
    </row>
    <row r="535">
      <c r="C535" s="1"/>
      <c r="K535" s="2"/>
      <c r="L535" s="2"/>
    </row>
    <row r="536">
      <c r="C536" s="1"/>
      <c r="K536" s="2"/>
      <c r="L536" s="2"/>
    </row>
    <row r="537">
      <c r="C537" s="1"/>
      <c r="K537" s="2"/>
      <c r="L537" s="2"/>
    </row>
    <row r="538">
      <c r="C538" s="1"/>
      <c r="K538" s="2"/>
      <c r="L538" s="2"/>
    </row>
    <row r="539">
      <c r="C539" s="1"/>
      <c r="K539" s="2"/>
      <c r="L539" s="2"/>
    </row>
    <row r="540">
      <c r="C540" s="1"/>
      <c r="K540" s="2"/>
      <c r="L540" s="2"/>
    </row>
    <row r="541">
      <c r="C541" s="1"/>
      <c r="K541" s="2"/>
      <c r="L541" s="2"/>
    </row>
    <row r="542">
      <c r="C542" s="1"/>
      <c r="K542" s="2"/>
      <c r="L542" s="2"/>
    </row>
    <row r="543">
      <c r="C543" s="1"/>
      <c r="K543" s="2"/>
      <c r="L543" s="2"/>
    </row>
    <row r="544">
      <c r="C544" s="1"/>
      <c r="K544" s="2"/>
      <c r="L544" s="2"/>
    </row>
    <row r="545">
      <c r="C545" s="1"/>
      <c r="K545" s="2"/>
      <c r="L545" s="2"/>
    </row>
    <row r="546">
      <c r="C546" s="1"/>
      <c r="K546" s="2"/>
      <c r="L546" s="2"/>
    </row>
    <row r="547">
      <c r="C547" s="1"/>
      <c r="K547" s="2"/>
      <c r="L547" s="2"/>
    </row>
    <row r="548">
      <c r="C548" s="1"/>
      <c r="K548" s="2"/>
      <c r="L548" s="2"/>
    </row>
    <row r="549">
      <c r="C549" s="1"/>
      <c r="K549" s="2"/>
      <c r="L549" s="2"/>
    </row>
    <row r="550">
      <c r="C550" s="1"/>
      <c r="K550" s="2"/>
      <c r="L550" s="2"/>
    </row>
    <row r="551">
      <c r="C551" s="1"/>
      <c r="K551" s="2"/>
      <c r="L551" s="2"/>
    </row>
    <row r="552">
      <c r="C552" s="1"/>
      <c r="K552" s="2"/>
      <c r="L552" s="2"/>
    </row>
    <row r="553">
      <c r="C553" s="1"/>
      <c r="K553" s="2"/>
      <c r="L553" s="2"/>
    </row>
    <row r="554">
      <c r="C554" s="1"/>
      <c r="K554" s="2"/>
      <c r="L554" s="2"/>
    </row>
    <row r="555">
      <c r="C555" s="1"/>
      <c r="K555" s="2"/>
      <c r="L555" s="2"/>
    </row>
    <row r="556">
      <c r="C556" s="1"/>
      <c r="K556" s="2"/>
      <c r="L556" s="2"/>
    </row>
    <row r="557">
      <c r="C557" s="1"/>
      <c r="K557" s="2"/>
      <c r="L557" s="2"/>
    </row>
    <row r="558">
      <c r="C558" s="1"/>
      <c r="K558" s="2"/>
      <c r="L558" s="2"/>
    </row>
    <row r="559">
      <c r="C559" s="1"/>
      <c r="K559" s="2"/>
      <c r="L559" s="2"/>
    </row>
    <row r="560">
      <c r="C560" s="1"/>
      <c r="K560" s="2"/>
      <c r="L560" s="2"/>
    </row>
    <row r="561">
      <c r="C561" s="1"/>
      <c r="K561" s="2"/>
      <c r="L561" s="2"/>
    </row>
    <row r="562">
      <c r="C562" s="1"/>
      <c r="K562" s="2"/>
      <c r="L562" s="2"/>
    </row>
    <row r="563">
      <c r="C563" s="1"/>
      <c r="K563" s="2"/>
      <c r="L563" s="2"/>
    </row>
    <row r="564">
      <c r="C564" s="1"/>
      <c r="K564" s="2"/>
      <c r="L564" s="2"/>
    </row>
    <row r="565">
      <c r="C565" s="1"/>
      <c r="K565" s="2"/>
      <c r="L565" s="2"/>
    </row>
    <row r="566">
      <c r="C566" s="1"/>
      <c r="K566" s="2"/>
      <c r="L566" s="2"/>
    </row>
    <row r="567">
      <c r="C567" s="1"/>
      <c r="K567" s="2"/>
      <c r="L567" s="2"/>
    </row>
    <row r="568">
      <c r="C568" s="1"/>
      <c r="K568" s="2"/>
      <c r="L568" s="2"/>
    </row>
    <row r="569">
      <c r="C569" s="1"/>
      <c r="K569" s="2"/>
      <c r="L569" s="2"/>
    </row>
    <row r="570">
      <c r="C570" s="1"/>
      <c r="K570" s="2"/>
      <c r="L570" s="2"/>
    </row>
    <row r="571">
      <c r="C571" s="1"/>
      <c r="K571" s="2"/>
      <c r="L571" s="2"/>
    </row>
    <row r="572">
      <c r="C572" s="1"/>
      <c r="K572" s="2"/>
      <c r="L572" s="2"/>
    </row>
    <row r="573">
      <c r="C573" s="1"/>
      <c r="K573" s="2"/>
      <c r="L573" s="2"/>
    </row>
    <row r="574">
      <c r="C574" s="1"/>
      <c r="K574" s="2"/>
      <c r="L574" s="2"/>
    </row>
    <row r="575">
      <c r="C575" s="1"/>
      <c r="K575" s="2"/>
      <c r="L575" s="2"/>
    </row>
    <row r="576">
      <c r="C576" s="1"/>
      <c r="K576" s="2"/>
      <c r="L576" s="2"/>
    </row>
    <row r="577">
      <c r="C577" s="1"/>
      <c r="K577" s="2"/>
      <c r="L577" s="2"/>
    </row>
    <row r="578">
      <c r="C578" s="1"/>
      <c r="K578" s="2"/>
      <c r="L578" s="2"/>
    </row>
    <row r="579">
      <c r="C579" s="1"/>
      <c r="K579" s="2"/>
      <c r="L579" s="2"/>
    </row>
    <row r="580">
      <c r="C580" s="1"/>
      <c r="K580" s="2"/>
      <c r="L580" s="2"/>
    </row>
    <row r="581">
      <c r="C581" s="1"/>
      <c r="K581" s="2"/>
      <c r="L581" s="2"/>
    </row>
    <row r="582">
      <c r="C582" s="1"/>
      <c r="K582" s="2"/>
      <c r="L582" s="2"/>
    </row>
    <row r="583">
      <c r="C583" s="1"/>
      <c r="K583" s="2"/>
      <c r="L583" s="2"/>
    </row>
    <row r="584">
      <c r="C584" s="1"/>
      <c r="K584" s="2"/>
      <c r="L584" s="2"/>
    </row>
    <row r="585">
      <c r="C585" s="1"/>
      <c r="K585" s="2"/>
      <c r="L585" s="2"/>
    </row>
    <row r="586">
      <c r="C586" s="1"/>
      <c r="K586" s="2"/>
      <c r="L586" s="2"/>
    </row>
    <row r="587">
      <c r="C587" s="1"/>
      <c r="K587" s="2"/>
      <c r="L587" s="2"/>
    </row>
    <row r="588">
      <c r="C588" s="1"/>
      <c r="K588" s="2"/>
      <c r="L588" s="2"/>
    </row>
    <row r="589">
      <c r="C589" s="1"/>
      <c r="K589" s="2"/>
      <c r="L589" s="2"/>
    </row>
    <row r="590">
      <c r="C590" s="1"/>
      <c r="K590" s="2"/>
      <c r="L590" s="2"/>
    </row>
    <row r="591">
      <c r="C591" s="1"/>
      <c r="K591" s="2"/>
      <c r="L591" s="2"/>
    </row>
    <row r="592">
      <c r="C592" s="1"/>
      <c r="K592" s="2"/>
      <c r="L592" s="2"/>
    </row>
    <row r="593">
      <c r="C593" s="1"/>
      <c r="K593" s="2"/>
      <c r="L593" s="2"/>
    </row>
    <row r="594">
      <c r="C594" s="1"/>
      <c r="K594" s="2"/>
      <c r="L594" s="2"/>
    </row>
    <row r="595">
      <c r="C595" s="1"/>
      <c r="K595" s="2"/>
      <c r="L595" s="2"/>
    </row>
    <row r="596">
      <c r="C596" s="1"/>
      <c r="K596" s="2"/>
      <c r="L596" s="2"/>
    </row>
    <row r="597">
      <c r="C597" s="1"/>
      <c r="K597" s="2"/>
      <c r="L597" s="2"/>
    </row>
    <row r="598">
      <c r="C598" s="1"/>
      <c r="K598" s="2"/>
      <c r="L598" s="2"/>
    </row>
    <row r="599">
      <c r="C599" s="1"/>
      <c r="K599" s="2"/>
      <c r="L599" s="2"/>
    </row>
    <row r="600">
      <c r="C600" s="1"/>
      <c r="K600" s="2"/>
      <c r="L600" s="2"/>
    </row>
    <row r="601">
      <c r="C601" s="1"/>
      <c r="K601" s="2"/>
      <c r="L601" s="2"/>
    </row>
    <row r="602">
      <c r="C602" s="1"/>
      <c r="K602" s="2"/>
      <c r="L602" s="2"/>
    </row>
    <row r="603">
      <c r="C603" s="1"/>
      <c r="K603" s="2"/>
      <c r="L603" s="2"/>
    </row>
    <row r="604">
      <c r="C604" s="1"/>
      <c r="K604" s="2"/>
      <c r="L604" s="2"/>
    </row>
    <row r="605">
      <c r="C605" s="1"/>
      <c r="K605" s="2"/>
      <c r="L605" s="2"/>
    </row>
    <row r="606">
      <c r="C606" s="1"/>
      <c r="K606" s="2"/>
      <c r="L606" s="2"/>
    </row>
    <row r="607">
      <c r="C607" s="1"/>
      <c r="K607" s="2"/>
      <c r="L607" s="2"/>
    </row>
    <row r="608">
      <c r="C608" s="1"/>
      <c r="K608" s="2"/>
      <c r="L608" s="2"/>
    </row>
    <row r="609">
      <c r="C609" s="1"/>
      <c r="K609" s="2"/>
      <c r="L609" s="2"/>
    </row>
    <row r="610">
      <c r="C610" s="1"/>
      <c r="K610" s="2"/>
      <c r="L610" s="2"/>
    </row>
    <row r="611">
      <c r="C611" s="1"/>
      <c r="K611" s="2"/>
      <c r="L611" s="2"/>
    </row>
    <row r="612">
      <c r="C612" s="1"/>
      <c r="K612" s="2"/>
      <c r="L612" s="2"/>
    </row>
    <row r="613">
      <c r="C613" s="1"/>
      <c r="K613" s="2"/>
      <c r="L613" s="2"/>
    </row>
    <row r="614">
      <c r="C614" s="1"/>
      <c r="K614" s="2"/>
      <c r="L614" s="2"/>
    </row>
    <row r="615">
      <c r="C615" s="1"/>
      <c r="K615" s="2"/>
      <c r="L615" s="2"/>
    </row>
    <row r="616">
      <c r="C616" s="1"/>
      <c r="K616" s="2"/>
      <c r="L616" s="2"/>
    </row>
    <row r="617">
      <c r="C617" s="1"/>
      <c r="K617" s="2"/>
      <c r="L617" s="2"/>
    </row>
    <row r="618">
      <c r="C618" s="1"/>
      <c r="K618" s="2"/>
      <c r="L618" s="2"/>
    </row>
    <row r="619">
      <c r="C619" s="1"/>
      <c r="K619" s="2"/>
      <c r="L619" s="2"/>
    </row>
    <row r="620">
      <c r="C620" s="1"/>
      <c r="K620" s="2"/>
      <c r="L620" s="2"/>
    </row>
    <row r="621">
      <c r="C621" s="1"/>
      <c r="K621" s="2"/>
      <c r="L621" s="2"/>
    </row>
    <row r="622">
      <c r="C622" s="1"/>
      <c r="K622" s="2"/>
      <c r="L622" s="2"/>
    </row>
    <row r="623">
      <c r="C623" s="1"/>
      <c r="K623" s="2"/>
      <c r="L623" s="2"/>
    </row>
    <row r="624">
      <c r="C624" s="1"/>
      <c r="K624" s="2"/>
      <c r="L624" s="2"/>
    </row>
    <row r="625">
      <c r="C625" s="1"/>
      <c r="K625" s="2"/>
      <c r="L625" s="2"/>
    </row>
    <row r="626">
      <c r="C626" s="1"/>
      <c r="K626" s="2"/>
      <c r="L626" s="2"/>
    </row>
    <row r="627">
      <c r="C627" s="1"/>
      <c r="K627" s="2"/>
      <c r="L627" s="2"/>
    </row>
    <row r="628">
      <c r="C628" s="1"/>
      <c r="K628" s="2"/>
      <c r="L628" s="2"/>
    </row>
    <row r="629">
      <c r="C629" s="1"/>
      <c r="K629" s="2"/>
      <c r="L629" s="2"/>
    </row>
    <row r="630">
      <c r="C630" s="1"/>
      <c r="K630" s="2"/>
      <c r="L630" s="2"/>
    </row>
    <row r="631">
      <c r="C631" s="1"/>
      <c r="K631" s="2"/>
      <c r="L631" s="2"/>
    </row>
    <row r="632">
      <c r="C632" s="1"/>
      <c r="K632" s="2"/>
      <c r="L632" s="2"/>
    </row>
    <row r="633">
      <c r="C633" s="1"/>
      <c r="K633" s="2"/>
      <c r="L633" s="2"/>
    </row>
    <row r="634">
      <c r="C634" s="1"/>
      <c r="K634" s="2"/>
      <c r="L634" s="2"/>
    </row>
    <row r="635">
      <c r="C635" s="1"/>
      <c r="K635" s="2"/>
      <c r="L635" s="2"/>
    </row>
    <row r="636">
      <c r="C636" s="1"/>
      <c r="K636" s="2"/>
      <c r="L636" s="2"/>
    </row>
    <row r="637">
      <c r="C637" s="1"/>
      <c r="K637" s="2"/>
      <c r="L637" s="2"/>
    </row>
    <row r="638">
      <c r="C638" s="1"/>
      <c r="K638" s="2"/>
      <c r="L638" s="2"/>
    </row>
    <row r="639">
      <c r="C639" s="1"/>
      <c r="K639" s="2"/>
      <c r="L639" s="2"/>
    </row>
    <row r="640">
      <c r="C640" s="1"/>
      <c r="K640" s="2"/>
      <c r="L640" s="2"/>
    </row>
    <row r="641">
      <c r="C641" s="1"/>
      <c r="K641" s="2"/>
      <c r="L641" s="2"/>
    </row>
    <row r="642">
      <c r="C642" s="1"/>
      <c r="K642" s="2"/>
      <c r="L642" s="2"/>
    </row>
    <row r="643">
      <c r="C643" s="1"/>
      <c r="K643" s="2"/>
      <c r="L643" s="2"/>
    </row>
    <row r="644">
      <c r="C644" s="1"/>
      <c r="K644" s="2"/>
      <c r="L644" s="2"/>
    </row>
    <row r="645">
      <c r="C645" s="1"/>
      <c r="K645" s="2"/>
      <c r="L645" s="2"/>
    </row>
    <row r="646">
      <c r="C646" s="1"/>
      <c r="K646" s="2"/>
      <c r="L646" s="2"/>
    </row>
    <row r="647">
      <c r="C647" s="1"/>
      <c r="K647" s="2"/>
      <c r="L647" s="2"/>
    </row>
    <row r="648">
      <c r="C648" s="1"/>
      <c r="K648" s="2"/>
      <c r="L648" s="2"/>
    </row>
    <row r="649">
      <c r="C649" s="1"/>
      <c r="K649" s="2"/>
      <c r="L649" s="2"/>
    </row>
    <row r="650">
      <c r="C650" s="1"/>
      <c r="K650" s="2"/>
      <c r="L650" s="2"/>
    </row>
    <row r="651">
      <c r="C651" s="1"/>
      <c r="K651" s="2"/>
      <c r="L651" s="2"/>
    </row>
    <row r="652">
      <c r="C652" s="1"/>
      <c r="K652" s="2"/>
      <c r="L652" s="2"/>
    </row>
    <row r="653">
      <c r="C653" s="1"/>
      <c r="K653" s="2"/>
      <c r="L653" s="2"/>
    </row>
    <row r="654">
      <c r="C654" s="1"/>
      <c r="K654" s="2"/>
      <c r="L654" s="2"/>
    </row>
    <row r="655">
      <c r="C655" s="1"/>
      <c r="K655" s="2"/>
      <c r="L655" s="2"/>
    </row>
    <row r="656">
      <c r="C656" s="1"/>
      <c r="K656" s="2"/>
      <c r="L656" s="2"/>
    </row>
    <row r="657">
      <c r="C657" s="1"/>
      <c r="K657" s="2"/>
      <c r="L657" s="2"/>
    </row>
    <row r="658">
      <c r="C658" s="1"/>
      <c r="K658" s="2"/>
      <c r="L658" s="2"/>
    </row>
    <row r="659">
      <c r="C659" s="1"/>
      <c r="K659" s="2"/>
      <c r="L659" s="2"/>
    </row>
    <row r="660">
      <c r="C660" s="1"/>
      <c r="K660" s="2"/>
      <c r="L660" s="2"/>
    </row>
    <row r="661">
      <c r="C661" s="1"/>
      <c r="K661" s="2"/>
      <c r="L661" s="2"/>
    </row>
    <row r="662">
      <c r="C662" s="1"/>
      <c r="K662" s="2"/>
      <c r="L662" s="2"/>
    </row>
    <row r="663">
      <c r="C663" s="1"/>
      <c r="K663" s="2"/>
      <c r="L663" s="2"/>
    </row>
    <row r="664">
      <c r="C664" s="1"/>
      <c r="K664" s="2"/>
      <c r="L664" s="2"/>
    </row>
    <row r="665">
      <c r="C665" s="1"/>
      <c r="K665" s="2"/>
      <c r="L665" s="2"/>
    </row>
    <row r="666">
      <c r="C666" s="1"/>
      <c r="K666" s="2"/>
      <c r="L666" s="2"/>
    </row>
    <row r="667">
      <c r="C667" s="1"/>
      <c r="K667" s="2"/>
      <c r="L667" s="2"/>
    </row>
    <row r="668">
      <c r="C668" s="1"/>
      <c r="K668" s="2"/>
      <c r="L668" s="2"/>
    </row>
    <row r="669">
      <c r="C669" s="1"/>
      <c r="K669" s="2"/>
      <c r="L669" s="2"/>
    </row>
    <row r="670">
      <c r="C670" s="1"/>
      <c r="K670" s="2"/>
      <c r="L670" s="2"/>
    </row>
    <row r="671">
      <c r="C671" s="1"/>
      <c r="K671" s="2"/>
      <c r="L671" s="2"/>
    </row>
    <row r="672">
      <c r="C672" s="1"/>
      <c r="K672" s="2"/>
      <c r="L672" s="2"/>
    </row>
    <row r="673">
      <c r="C673" s="1"/>
      <c r="K673" s="2"/>
      <c r="L673" s="2"/>
    </row>
    <row r="674">
      <c r="C674" s="1"/>
      <c r="K674" s="2"/>
      <c r="L674" s="2"/>
    </row>
    <row r="675">
      <c r="C675" s="1"/>
      <c r="K675" s="2"/>
      <c r="L675" s="2"/>
    </row>
    <row r="676">
      <c r="C676" s="1"/>
      <c r="K676" s="2"/>
      <c r="L676" s="2"/>
    </row>
    <row r="677">
      <c r="C677" s="1"/>
      <c r="K677" s="2"/>
      <c r="L677" s="2"/>
    </row>
    <row r="678">
      <c r="C678" s="1"/>
      <c r="K678" s="2"/>
      <c r="L678" s="2"/>
    </row>
    <row r="679">
      <c r="C679" s="1"/>
      <c r="K679" s="2"/>
      <c r="L679" s="2"/>
    </row>
    <row r="680">
      <c r="C680" s="1"/>
      <c r="K680" s="2"/>
      <c r="L680" s="2"/>
    </row>
    <row r="681">
      <c r="C681" s="1"/>
      <c r="K681" s="2"/>
      <c r="L681" s="2"/>
    </row>
    <row r="682">
      <c r="C682" s="1"/>
      <c r="K682" s="2"/>
      <c r="L682" s="2"/>
    </row>
    <row r="683">
      <c r="C683" s="1"/>
      <c r="K683" s="2"/>
      <c r="L683" s="2"/>
    </row>
    <row r="684">
      <c r="C684" s="1"/>
      <c r="K684" s="2"/>
      <c r="L684" s="2"/>
    </row>
    <row r="685">
      <c r="C685" s="1"/>
      <c r="K685" s="2"/>
      <c r="L685" s="2"/>
    </row>
    <row r="686">
      <c r="C686" s="1"/>
      <c r="K686" s="2"/>
      <c r="L686" s="2"/>
    </row>
    <row r="687">
      <c r="C687" s="1"/>
      <c r="K687" s="2"/>
      <c r="L687" s="2"/>
    </row>
    <row r="688">
      <c r="C688" s="1"/>
      <c r="K688" s="2"/>
      <c r="L688" s="2"/>
    </row>
    <row r="689">
      <c r="C689" s="1"/>
      <c r="K689" s="2"/>
      <c r="L689" s="2"/>
    </row>
    <row r="690">
      <c r="C690" s="1"/>
      <c r="K690" s="2"/>
      <c r="L690" s="2"/>
    </row>
    <row r="691">
      <c r="C691" s="1"/>
      <c r="K691" s="2"/>
      <c r="L691" s="2"/>
    </row>
    <row r="692">
      <c r="C692" s="1"/>
      <c r="K692" s="2"/>
      <c r="L692" s="2"/>
    </row>
    <row r="693">
      <c r="C693" s="1"/>
      <c r="K693" s="2"/>
      <c r="L693" s="2"/>
    </row>
    <row r="694">
      <c r="C694" s="1"/>
      <c r="K694" s="2"/>
      <c r="L694" s="2"/>
    </row>
    <row r="695">
      <c r="C695" s="1"/>
      <c r="K695" s="2"/>
      <c r="L695" s="2"/>
    </row>
    <row r="696">
      <c r="C696" s="1"/>
      <c r="K696" s="2"/>
      <c r="L696" s="2"/>
    </row>
    <row r="697">
      <c r="C697" s="1"/>
      <c r="K697" s="2"/>
      <c r="L697" s="2"/>
    </row>
    <row r="698">
      <c r="C698" s="1"/>
      <c r="K698" s="2"/>
      <c r="L698" s="2"/>
    </row>
    <row r="699">
      <c r="C699" s="1"/>
      <c r="K699" s="2"/>
      <c r="L699" s="2"/>
    </row>
    <row r="700">
      <c r="C700" s="1"/>
      <c r="K700" s="2"/>
      <c r="L700" s="2"/>
    </row>
    <row r="701">
      <c r="C701" s="1"/>
      <c r="K701" s="2"/>
      <c r="L701" s="2"/>
    </row>
    <row r="702">
      <c r="C702" s="1"/>
      <c r="K702" s="2"/>
      <c r="L702" s="2"/>
    </row>
    <row r="703">
      <c r="C703" s="1"/>
      <c r="K703" s="2"/>
      <c r="L703" s="2"/>
    </row>
    <row r="704">
      <c r="C704" s="1"/>
      <c r="K704" s="2"/>
      <c r="L704" s="2"/>
    </row>
    <row r="705">
      <c r="C705" s="1"/>
      <c r="K705" s="2"/>
      <c r="L705" s="2"/>
    </row>
    <row r="706">
      <c r="C706" s="1"/>
      <c r="K706" s="2"/>
      <c r="L706" s="2"/>
    </row>
    <row r="707">
      <c r="C707" s="1"/>
      <c r="K707" s="2"/>
      <c r="L707" s="2"/>
    </row>
    <row r="708">
      <c r="C708" s="1"/>
      <c r="K708" s="2"/>
      <c r="L708" s="2"/>
    </row>
    <row r="709">
      <c r="C709" s="1"/>
      <c r="K709" s="2"/>
      <c r="L709" s="2"/>
    </row>
    <row r="710">
      <c r="C710" s="1"/>
      <c r="K710" s="2"/>
      <c r="L710" s="2"/>
    </row>
    <row r="711">
      <c r="C711" s="1"/>
      <c r="K711" s="2"/>
      <c r="L711" s="2"/>
    </row>
    <row r="712">
      <c r="C712" s="1"/>
      <c r="K712" s="2"/>
      <c r="L712" s="2"/>
    </row>
    <row r="713">
      <c r="C713" s="1"/>
      <c r="K713" s="2"/>
      <c r="L713" s="2"/>
    </row>
    <row r="714">
      <c r="C714" s="1"/>
      <c r="K714" s="2"/>
      <c r="L714" s="2"/>
    </row>
    <row r="715">
      <c r="C715" s="1"/>
      <c r="K715" s="2"/>
      <c r="L715" s="2"/>
    </row>
    <row r="716">
      <c r="C716" s="1"/>
      <c r="K716" s="2"/>
      <c r="L716" s="2"/>
    </row>
    <row r="717">
      <c r="C717" s="1"/>
      <c r="K717" s="2"/>
      <c r="L717" s="2"/>
    </row>
    <row r="718">
      <c r="C718" s="1"/>
      <c r="K718" s="2"/>
      <c r="L718" s="2"/>
    </row>
    <row r="719">
      <c r="C719" s="1"/>
      <c r="K719" s="2"/>
      <c r="L719" s="2"/>
    </row>
    <row r="720">
      <c r="C720" s="1"/>
      <c r="K720" s="2"/>
      <c r="L720" s="2"/>
    </row>
    <row r="721">
      <c r="C721" s="1"/>
      <c r="K721" s="2"/>
      <c r="L721" s="2"/>
    </row>
    <row r="722">
      <c r="C722" s="1"/>
      <c r="K722" s="2"/>
      <c r="L722" s="2"/>
    </row>
    <row r="723">
      <c r="C723" s="1"/>
      <c r="K723" s="2"/>
      <c r="L723" s="2"/>
    </row>
    <row r="724">
      <c r="C724" s="1"/>
      <c r="K724" s="2"/>
      <c r="L724" s="2"/>
    </row>
    <row r="725">
      <c r="C725" s="1"/>
      <c r="K725" s="2"/>
      <c r="L725" s="2"/>
    </row>
    <row r="726">
      <c r="C726" s="1"/>
      <c r="K726" s="2"/>
      <c r="L726" s="2"/>
    </row>
    <row r="727">
      <c r="C727" s="1"/>
      <c r="K727" s="2"/>
      <c r="L727" s="2"/>
    </row>
    <row r="728">
      <c r="C728" s="1"/>
      <c r="K728" s="2"/>
      <c r="L728" s="2"/>
    </row>
    <row r="729">
      <c r="C729" s="1"/>
      <c r="K729" s="2"/>
      <c r="L729" s="2"/>
    </row>
    <row r="730">
      <c r="C730" s="1"/>
      <c r="K730" s="2"/>
      <c r="L730" s="2"/>
    </row>
    <row r="731">
      <c r="C731" s="1"/>
      <c r="K731" s="2"/>
      <c r="L731" s="2"/>
    </row>
    <row r="732">
      <c r="C732" s="1"/>
      <c r="K732" s="2"/>
      <c r="L732" s="2"/>
    </row>
    <row r="733">
      <c r="C733" s="1"/>
      <c r="K733" s="2"/>
      <c r="L733" s="2"/>
    </row>
    <row r="734">
      <c r="C734" s="1"/>
      <c r="K734" s="2"/>
      <c r="L734" s="2"/>
    </row>
    <row r="735">
      <c r="C735" s="1"/>
      <c r="K735" s="2"/>
      <c r="L735" s="2"/>
    </row>
    <row r="736">
      <c r="C736" s="1"/>
      <c r="K736" s="2"/>
      <c r="L736" s="2"/>
    </row>
    <row r="737">
      <c r="C737" s="1"/>
      <c r="K737" s="2"/>
      <c r="L737" s="2"/>
    </row>
    <row r="738">
      <c r="C738" s="1"/>
      <c r="K738" s="2"/>
      <c r="L738" s="2"/>
    </row>
    <row r="739">
      <c r="C739" s="1"/>
      <c r="K739" s="2"/>
      <c r="L739" s="2"/>
    </row>
    <row r="740">
      <c r="C740" s="1"/>
      <c r="K740" s="2"/>
      <c r="L740" s="2"/>
    </row>
    <row r="741">
      <c r="C741" s="1"/>
      <c r="K741" s="2"/>
      <c r="L741" s="2"/>
    </row>
    <row r="742">
      <c r="C742" s="1"/>
      <c r="K742" s="2"/>
      <c r="L742" s="2"/>
    </row>
    <row r="743">
      <c r="C743" s="1"/>
      <c r="K743" s="2"/>
      <c r="L743" s="2"/>
    </row>
    <row r="744">
      <c r="C744" s="1"/>
      <c r="K744" s="2"/>
      <c r="L744" s="2"/>
    </row>
    <row r="745">
      <c r="C745" s="1"/>
      <c r="K745" s="2"/>
      <c r="L745" s="2"/>
    </row>
    <row r="746">
      <c r="C746" s="1"/>
      <c r="K746" s="2"/>
      <c r="L746" s="2"/>
    </row>
    <row r="747">
      <c r="C747" s="1"/>
      <c r="K747" s="2"/>
      <c r="L747" s="2"/>
    </row>
    <row r="748">
      <c r="C748" s="1"/>
      <c r="K748" s="2"/>
      <c r="L748" s="2"/>
    </row>
    <row r="749">
      <c r="C749" s="1"/>
      <c r="K749" s="2"/>
      <c r="L749" s="2"/>
    </row>
    <row r="750">
      <c r="C750" s="1"/>
      <c r="K750" s="2"/>
      <c r="L750" s="2"/>
    </row>
    <row r="751">
      <c r="C751" s="1"/>
      <c r="K751" s="2"/>
      <c r="L751" s="2"/>
    </row>
    <row r="752">
      <c r="C752" s="1"/>
      <c r="K752" s="2"/>
      <c r="L752" s="2"/>
    </row>
    <row r="753">
      <c r="C753" s="1"/>
      <c r="K753" s="2"/>
      <c r="L753" s="2"/>
    </row>
    <row r="754">
      <c r="C754" s="1"/>
      <c r="K754" s="2"/>
      <c r="L754" s="2"/>
    </row>
    <row r="755">
      <c r="C755" s="1"/>
      <c r="K755" s="2"/>
      <c r="L755" s="2"/>
    </row>
    <row r="756">
      <c r="C756" s="1"/>
      <c r="K756" s="2"/>
      <c r="L756" s="2"/>
    </row>
    <row r="757">
      <c r="C757" s="1"/>
      <c r="K757" s="2"/>
      <c r="L757" s="2"/>
    </row>
    <row r="758">
      <c r="C758" s="1"/>
      <c r="K758" s="2"/>
      <c r="L758" s="2"/>
    </row>
    <row r="759">
      <c r="C759" s="1"/>
      <c r="K759" s="2"/>
      <c r="L759" s="2"/>
    </row>
    <row r="760">
      <c r="C760" s="1"/>
      <c r="K760" s="2"/>
      <c r="L760" s="2"/>
    </row>
    <row r="761">
      <c r="C761" s="1"/>
      <c r="K761" s="2"/>
      <c r="L761" s="2"/>
    </row>
    <row r="762">
      <c r="C762" s="1"/>
      <c r="K762" s="2"/>
      <c r="L762" s="2"/>
    </row>
    <row r="763">
      <c r="C763" s="1"/>
      <c r="K763" s="2"/>
      <c r="L763" s="2"/>
    </row>
    <row r="764">
      <c r="C764" s="1"/>
      <c r="K764" s="2"/>
      <c r="L764" s="2"/>
    </row>
    <row r="765">
      <c r="C765" s="1"/>
      <c r="K765" s="2"/>
      <c r="L765" s="2"/>
    </row>
    <row r="766">
      <c r="C766" s="1"/>
      <c r="K766" s="2"/>
      <c r="L766" s="2"/>
    </row>
    <row r="767">
      <c r="C767" s="1"/>
      <c r="K767" s="2"/>
      <c r="L767" s="2"/>
    </row>
    <row r="768">
      <c r="C768" s="1"/>
      <c r="K768" s="2"/>
      <c r="L768" s="2"/>
    </row>
    <row r="769">
      <c r="C769" s="1"/>
      <c r="K769" s="2"/>
      <c r="L769" s="2"/>
    </row>
    <row r="770">
      <c r="C770" s="1"/>
      <c r="K770" s="2"/>
      <c r="L770" s="2"/>
    </row>
    <row r="771">
      <c r="C771" s="1"/>
      <c r="K771" s="2"/>
      <c r="L771" s="2"/>
    </row>
    <row r="772">
      <c r="C772" s="1"/>
      <c r="K772" s="2"/>
      <c r="L772" s="2"/>
    </row>
    <row r="773">
      <c r="C773" s="1"/>
      <c r="K773" s="2"/>
      <c r="L773" s="2"/>
    </row>
    <row r="774">
      <c r="C774" s="1"/>
      <c r="K774" s="2"/>
      <c r="L774" s="2"/>
    </row>
    <row r="775">
      <c r="C775" s="1"/>
      <c r="K775" s="2"/>
      <c r="L775" s="2"/>
    </row>
    <row r="776">
      <c r="C776" s="1"/>
      <c r="K776" s="2"/>
      <c r="L776" s="2"/>
    </row>
    <row r="777">
      <c r="C777" s="1"/>
      <c r="K777" s="2"/>
      <c r="L777" s="2"/>
    </row>
    <row r="778">
      <c r="C778" s="1"/>
      <c r="K778" s="2"/>
      <c r="L778" s="2"/>
    </row>
    <row r="779">
      <c r="C779" s="1"/>
      <c r="K779" s="2"/>
      <c r="L779" s="2"/>
    </row>
    <row r="780">
      <c r="C780" s="1"/>
      <c r="K780" s="2"/>
      <c r="L780" s="2"/>
    </row>
    <row r="781">
      <c r="C781" s="1"/>
      <c r="K781" s="2"/>
      <c r="L781" s="2"/>
    </row>
    <row r="782">
      <c r="C782" s="1"/>
      <c r="K782" s="2"/>
      <c r="L782" s="2"/>
    </row>
    <row r="783">
      <c r="C783" s="1"/>
      <c r="K783" s="2"/>
      <c r="L783" s="2"/>
    </row>
    <row r="784">
      <c r="C784" s="1"/>
      <c r="K784" s="2"/>
      <c r="L784" s="2"/>
    </row>
    <row r="785">
      <c r="C785" s="1"/>
      <c r="K785" s="2"/>
      <c r="L785" s="2"/>
    </row>
    <row r="786">
      <c r="C786" s="1"/>
      <c r="K786" s="2"/>
      <c r="L786" s="2"/>
    </row>
    <row r="787">
      <c r="C787" s="1"/>
      <c r="K787" s="2"/>
      <c r="L787" s="2"/>
    </row>
    <row r="788">
      <c r="C788" s="1"/>
      <c r="K788" s="2"/>
      <c r="L788" s="2"/>
    </row>
    <row r="789">
      <c r="C789" s="1"/>
      <c r="K789" s="2"/>
      <c r="L789" s="2"/>
    </row>
    <row r="790">
      <c r="C790" s="1"/>
      <c r="K790" s="2"/>
      <c r="L790" s="2"/>
    </row>
    <row r="791">
      <c r="C791" s="1"/>
      <c r="K791" s="2"/>
      <c r="L791" s="2"/>
    </row>
    <row r="792">
      <c r="C792" s="1"/>
      <c r="K792" s="2"/>
      <c r="L792" s="2"/>
    </row>
    <row r="793">
      <c r="C793" s="1"/>
      <c r="K793" s="2"/>
      <c r="L793" s="2"/>
    </row>
    <row r="794">
      <c r="C794" s="1"/>
      <c r="K794" s="2"/>
      <c r="L794" s="2"/>
    </row>
    <row r="795">
      <c r="C795" s="1"/>
      <c r="K795" s="2"/>
      <c r="L795" s="2"/>
    </row>
    <row r="796">
      <c r="C796" s="1"/>
      <c r="K796" s="2"/>
      <c r="L796" s="2"/>
    </row>
    <row r="797">
      <c r="C797" s="1"/>
      <c r="K797" s="2"/>
      <c r="L797" s="2"/>
    </row>
    <row r="798">
      <c r="C798" s="1"/>
      <c r="K798" s="2"/>
      <c r="L798" s="2"/>
    </row>
    <row r="799">
      <c r="C799" s="1"/>
      <c r="K799" s="2"/>
      <c r="L799" s="2"/>
    </row>
    <row r="800">
      <c r="C800" s="1"/>
      <c r="K800" s="2"/>
      <c r="L800" s="2"/>
    </row>
    <row r="801">
      <c r="C801" s="1"/>
      <c r="K801" s="2"/>
      <c r="L801" s="2"/>
    </row>
    <row r="802">
      <c r="C802" s="1"/>
      <c r="K802" s="2"/>
      <c r="L802" s="2"/>
    </row>
    <row r="803">
      <c r="C803" s="1"/>
      <c r="K803" s="2"/>
      <c r="L803" s="2"/>
    </row>
    <row r="804">
      <c r="C804" s="1"/>
      <c r="K804" s="2"/>
      <c r="L804" s="2"/>
    </row>
    <row r="805">
      <c r="C805" s="1"/>
      <c r="K805" s="2"/>
      <c r="L805" s="2"/>
    </row>
    <row r="806">
      <c r="C806" s="1"/>
      <c r="K806" s="2"/>
      <c r="L806" s="2"/>
    </row>
    <row r="807">
      <c r="C807" s="1"/>
      <c r="K807" s="2"/>
      <c r="L807" s="2"/>
    </row>
    <row r="808">
      <c r="C808" s="1"/>
      <c r="K808" s="2"/>
      <c r="L808" s="2"/>
    </row>
    <row r="809">
      <c r="C809" s="1"/>
      <c r="K809" s="2"/>
      <c r="L809" s="2"/>
    </row>
    <row r="810">
      <c r="C810" s="1"/>
      <c r="K810" s="2"/>
      <c r="L810" s="2"/>
    </row>
    <row r="811">
      <c r="C811" s="1"/>
      <c r="K811" s="2"/>
      <c r="L811" s="2"/>
    </row>
    <row r="812">
      <c r="C812" s="1"/>
      <c r="K812" s="2"/>
      <c r="L812" s="2"/>
    </row>
    <row r="813">
      <c r="C813" s="1"/>
      <c r="K813" s="2"/>
      <c r="L813" s="2"/>
    </row>
    <row r="814">
      <c r="C814" s="1"/>
      <c r="K814" s="2"/>
      <c r="L814" s="2"/>
    </row>
    <row r="815">
      <c r="C815" s="1"/>
      <c r="K815" s="2"/>
      <c r="L815" s="2"/>
    </row>
    <row r="816">
      <c r="C816" s="1"/>
      <c r="K816" s="2"/>
      <c r="L816" s="2"/>
    </row>
    <row r="817">
      <c r="C817" s="1"/>
      <c r="K817" s="2"/>
      <c r="L817" s="2"/>
    </row>
    <row r="818">
      <c r="C818" s="1"/>
      <c r="K818" s="2"/>
      <c r="L818" s="2"/>
    </row>
    <row r="819">
      <c r="C819" s="1"/>
      <c r="K819" s="2"/>
      <c r="L819" s="2"/>
    </row>
    <row r="820">
      <c r="C820" s="1"/>
      <c r="K820" s="2"/>
      <c r="L820" s="2"/>
    </row>
    <row r="821">
      <c r="C821" s="1"/>
      <c r="K821" s="2"/>
      <c r="L821" s="2"/>
    </row>
    <row r="822">
      <c r="C822" s="1"/>
      <c r="K822" s="2"/>
      <c r="L822" s="2"/>
    </row>
    <row r="823">
      <c r="C823" s="1"/>
      <c r="K823" s="2"/>
      <c r="L823" s="2"/>
    </row>
    <row r="824">
      <c r="C824" s="1"/>
      <c r="K824" s="2"/>
      <c r="L824" s="2"/>
    </row>
    <row r="825">
      <c r="C825" s="1"/>
      <c r="K825" s="2"/>
      <c r="L825" s="2"/>
    </row>
    <row r="826">
      <c r="C826" s="1"/>
      <c r="K826" s="2"/>
      <c r="L826" s="2"/>
    </row>
    <row r="827">
      <c r="C827" s="1"/>
      <c r="K827" s="2"/>
      <c r="L827" s="2"/>
    </row>
    <row r="828">
      <c r="C828" s="1"/>
      <c r="K828" s="2"/>
      <c r="L828" s="2"/>
    </row>
    <row r="829">
      <c r="C829" s="1"/>
      <c r="K829" s="2"/>
      <c r="L829" s="2"/>
    </row>
    <row r="830">
      <c r="C830" s="1"/>
      <c r="K830" s="2"/>
      <c r="L830" s="2"/>
    </row>
    <row r="831">
      <c r="C831" s="1"/>
      <c r="K831" s="2"/>
      <c r="L831" s="2"/>
    </row>
    <row r="832">
      <c r="C832" s="1"/>
      <c r="K832" s="2"/>
      <c r="L832" s="2"/>
    </row>
    <row r="833">
      <c r="C833" s="1"/>
      <c r="K833" s="2"/>
      <c r="L833" s="2"/>
    </row>
    <row r="834">
      <c r="C834" s="1"/>
      <c r="K834" s="2"/>
      <c r="L834" s="2"/>
    </row>
    <row r="835">
      <c r="C835" s="1"/>
      <c r="K835" s="2"/>
      <c r="L835" s="2"/>
    </row>
    <row r="836">
      <c r="C836" s="1"/>
      <c r="K836" s="2"/>
      <c r="L836" s="2"/>
    </row>
    <row r="837">
      <c r="C837" s="1"/>
      <c r="K837" s="2"/>
      <c r="L837" s="2"/>
    </row>
    <row r="838">
      <c r="C838" s="1"/>
      <c r="K838" s="2"/>
      <c r="L838" s="2"/>
    </row>
    <row r="839">
      <c r="C839" s="1"/>
      <c r="K839" s="2"/>
      <c r="L839" s="2"/>
    </row>
    <row r="840">
      <c r="C840" s="1"/>
      <c r="K840" s="2"/>
      <c r="L840" s="2"/>
    </row>
    <row r="841">
      <c r="C841" s="1"/>
      <c r="K841" s="2"/>
      <c r="L841" s="2"/>
    </row>
    <row r="842">
      <c r="C842" s="1"/>
      <c r="K842" s="2"/>
      <c r="L842" s="2"/>
    </row>
    <row r="843">
      <c r="C843" s="1"/>
      <c r="K843" s="2"/>
      <c r="L843" s="2"/>
    </row>
    <row r="844">
      <c r="C844" s="1"/>
      <c r="K844" s="2"/>
      <c r="L844" s="2"/>
    </row>
    <row r="845">
      <c r="C845" s="1"/>
      <c r="K845" s="2"/>
      <c r="L845" s="2"/>
    </row>
    <row r="846">
      <c r="C846" s="1"/>
      <c r="K846" s="2"/>
      <c r="L846" s="2"/>
    </row>
    <row r="847">
      <c r="C847" s="1"/>
      <c r="K847" s="2"/>
      <c r="L847" s="2"/>
    </row>
    <row r="848">
      <c r="C848" s="1"/>
      <c r="K848" s="2"/>
      <c r="L848" s="2"/>
    </row>
    <row r="849">
      <c r="C849" s="1"/>
      <c r="K849" s="2"/>
      <c r="L849" s="2"/>
    </row>
    <row r="850">
      <c r="C850" s="1"/>
      <c r="K850" s="2"/>
      <c r="L850" s="2"/>
    </row>
    <row r="851">
      <c r="C851" s="1"/>
      <c r="K851" s="2"/>
      <c r="L851" s="2"/>
    </row>
    <row r="852">
      <c r="C852" s="1"/>
      <c r="K852" s="2"/>
      <c r="L852" s="2"/>
    </row>
    <row r="853">
      <c r="C853" s="1"/>
      <c r="K853" s="2"/>
      <c r="L853" s="2"/>
    </row>
    <row r="854">
      <c r="C854" s="1"/>
      <c r="K854" s="2"/>
      <c r="L854" s="2"/>
    </row>
    <row r="855">
      <c r="C855" s="1"/>
      <c r="K855" s="2"/>
      <c r="L855" s="2"/>
    </row>
    <row r="856">
      <c r="C856" s="1"/>
      <c r="K856" s="2"/>
      <c r="L856" s="2"/>
    </row>
    <row r="857">
      <c r="C857" s="1"/>
      <c r="K857" s="2"/>
      <c r="L857" s="2"/>
    </row>
    <row r="858">
      <c r="C858" s="1"/>
      <c r="K858" s="2"/>
      <c r="L858" s="2"/>
    </row>
    <row r="859">
      <c r="C859" s="1"/>
      <c r="K859" s="2"/>
      <c r="L859" s="2"/>
    </row>
    <row r="860">
      <c r="C860" s="1"/>
      <c r="K860" s="2"/>
      <c r="L860" s="2"/>
    </row>
    <row r="861">
      <c r="C861" s="1"/>
      <c r="K861" s="2"/>
      <c r="L861" s="2"/>
    </row>
    <row r="862">
      <c r="C862" s="1"/>
      <c r="K862" s="2"/>
      <c r="L862" s="2"/>
    </row>
    <row r="863">
      <c r="C863" s="1"/>
      <c r="K863" s="2"/>
      <c r="L863" s="2"/>
    </row>
    <row r="864">
      <c r="C864" s="1"/>
      <c r="K864" s="2"/>
      <c r="L864" s="2"/>
    </row>
    <row r="865">
      <c r="C865" s="1"/>
      <c r="K865" s="2"/>
      <c r="L865" s="2"/>
    </row>
    <row r="866">
      <c r="C866" s="1"/>
      <c r="K866" s="2"/>
      <c r="L866" s="2"/>
    </row>
    <row r="867">
      <c r="C867" s="1"/>
      <c r="K867" s="2"/>
      <c r="L867" s="2"/>
    </row>
    <row r="868">
      <c r="C868" s="1"/>
      <c r="K868" s="2"/>
      <c r="L868" s="2"/>
    </row>
    <row r="869">
      <c r="C869" s="1"/>
      <c r="K869" s="2"/>
      <c r="L869" s="2"/>
    </row>
    <row r="870">
      <c r="C870" s="1"/>
      <c r="K870" s="2"/>
      <c r="L870" s="2"/>
    </row>
    <row r="871">
      <c r="C871" s="1"/>
      <c r="K871" s="2"/>
      <c r="L871" s="2"/>
    </row>
    <row r="872">
      <c r="C872" s="1"/>
      <c r="K872" s="2"/>
      <c r="L872" s="2"/>
    </row>
    <row r="873">
      <c r="C873" s="1"/>
      <c r="K873" s="2"/>
      <c r="L873" s="2"/>
    </row>
    <row r="874">
      <c r="C874" s="1"/>
      <c r="K874" s="2"/>
      <c r="L874" s="2"/>
    </row>
    <row r="875">
      <c r="C875" s="1"/>
      <c r="K875" s="2"/>
      <c r="L875" s="2"/>
    </row>
    <row r="876">
      <c r="C876" s="1"/>
      <c r="K876" s="2"/>
      <c r="L876" s="2"/>
    </row>
    <row r="877">
      <c r="C877" s="1"/>
      <c r="K877" s="2"/>
      <c r="L877" s="2"/>
    </row>
    <row r="878">
      <c r="C878" s="1"/>
      <c r="K878" s="2"/>
      <c r="L878" s="2"/>
    </row>
    <row r="879">
      <c r="C879" s="1"/>
      <c r="K879" s="2"/>
      <c r="L879" s="2"/>
    </row>
    <row r="880">
      <c r="C880" s="1"/>
      <c r="K880" s="2"/>
      <c r="L880" s="2"/>
    </row>
    <row r="881">
      <c r="C881" s="1"/>
      <c r="K881" s="2"/>
      <c r="L881" s="2"/>
    </row>
    <row r="882">
      <c r="C882" s="1"/>
      <c r="K882" s="2"/>
      <c r="L882" s="2"/>
    </row>
    <row r="883">
      <c r="C883" s="1"/>
      <c r="K883" s="2"/>
      <c r="L883" s="2"/>
    </row>
    <row r="884">
      <c r="C884" s="1"/>
      <c r="K884" s="2"/>
      <c r="L884" s="2"/>
    </row>
    <row r="885">
      <c r="C885" s="1"/>
      <c r="K885" s="2"/>
      <c r="L885" s="2"/>
    </row>
    <row r="886">
      <c r="C886" s="1"/>
      <c r="K886" s="2"/>
      <c r="L886" s="2"/>
    </row>
    <row r="887">
      <c r="C887" s="1"/>
      <c r="K887" s="2"/>
      <c r="L887" s="2"/>
    </row>
    <row r="888">
      <c r="C888" s="1"/>
      <c r="K888" s="2"/>
      <c r="L888" s="2"/>
    </row>
    <row r="889">
      <c r="C889" s="1"/>
      <c r="K889" s="2"/>
      <c r="L889" s="2"/>
    </row>
    <row r="890">
      <c r="C890" s="1"/>
      <c r="K890" s="2"/>
      <c r="L890" s="2"/>
    </row>
    <row r="891">
      <c r="C891" s="1"/>
      <c r="K891" s="2"/>
      <c r="L891" s="2"/>
    </row>
    <row r="892">
      <c r="C892" s="1"/>
      <c r="K892" s="2"/>
      <c r="L892" s="2"/>
    </row>
    <row r="893">
      <c r="C893" s="1"/>
      <c r="K893" s="2"/>
      <c r="L893" s="2"/>
    </row>
    <row r="894">
      <c r="C894" s="1"/>
      <c r="K894" s="2"/>
      <c r="L894" s="2"/>
    </row>
    <row r="895">
      <c r="C895" s="1"/>
      <c r="K895" s="2"/>
      <c r="L895" s="2"/>
    </row>
    <row r="896">
      <c r="C896" s="1"/>
      <c r="K896" s="2"/>
      <c r="L896" s="2"/>
    </row>
    <row r="897">
      <c r="C897" s="1"/>
      <c r="K897" s="2"/>
      <c r="L897" s="2"/>
    </row>
    <row r="898">
      <c r="C898" s="1"/>
      <c r="K898" s="2"/>
      <c r="L898" s="2"/>
    </row>
    <row r="899">
      <c r="C899" s="1"/>
      <c r="K899" s="2"/>
      <c r="L899" s="2"/>
    </row>
    <row r="900">
      <c r="C900" s="1"/>
      <c r="K900" s="2"/>
      <c r="L900" s="2"/>
    </row>
    <row r="901">
      <c r="C901" s="1"/>
      <c r="K901" s="2"/>
      <c r="L901" s="2"/>
    </row>
    <row r="902">
      <c r="C902" s="1"/>
      <c r="K902" s="2"/>
      <c r="L902" s="2"/>
    </row>
    <row r="903">
      <c r="C903" s="1"/>
      <c r="K903" s="2"/>
      <c r="L903" s="2"/>
    </row>
    <row r="904">
      <c r="C904" s="1"/>
      <c r="K904" s="2"/>
      <c r="L904" s="2"/>
    </row>
    <row r="905">
      <c r="C905" s="1"/>
      <c r="K905" s="2"/>
      <c r="L905" s="2"/>
    </row>
    <row r="906">
      <c r="C906" s="1"/>
      <c r="K906" s="2"/>
      <c r="L906" s="2"/>
    </row>
    <row r="907">
      <c r="C907" s="1"/>
      <c r="K907" s="2"/>
      <c r="L907" s="2"/>
    </row>
    <row r="908">
      <c r="C908" s="1"/>
      <c r="K908" s="2"/>
      <c r="L908" s="2"/>
    </row>
    <row r="909">
      <c r="C909" s="1"/>
      <c r="K909" s="2"/>
      <c r="L909" s="2"/>
    </row>
    <row r="910">
      <c r="C910" s="1"/>
      <c r="K910" s="2"/>
      <c r="L910" s="2"/>
    </row>
    <row r="911">
      <c r="C911" s="1"/>
      <c r="K911" s="2"/>
      <c r="L911" s="2"/>
    </row>
    <row r="912">
      <c r="C912" s="1"/>
      <c r="K912" s="2"/>
      <c r="L912" s="2"/>
    </row>
    <row r="913">
      <c r="C913" s="1"/>
      <c r="K913" s="2"/>
      <c r="L913" s="2"/>
    </row>
    <row r="914">
      <c r="C914" s="1"/>
      <c r="K914" s="2"/>
      <c r="L914" s="2"/>
    </row>
    <row r="915">
      <c r="C915" s="1"/>
      <c r="K915" s="2"/>
      <c r="L915" s="2"/>
    </row>
    <row r="916">
      <c r="C916" s="1"/>
      <c r="K916" s="2"/>
      <c r="L916" s="2"/>
    </row>
    <row r="917">
      <c r="C917" s="1"/>
      <c r="K917" s="2"/>
      <c r="L917" s="2"/>
    </row>
    <row r="918">
      <c r="C918" s="1"/>
      <c r="K918" s="2"/>
      <c r="L918" s="2"/>
    </row>
    <row r="919">
      <c r="C919" s="1"/>
      <c r="K919" s="2"/>
      <c r="L919" s="2"/>
    </row>
    <row r="920">
      <c r="C920" s="1"/>
      <c r="K920" s="2"/>
      <c r="L920" s="2"/>
    </row>
    <row r="921">
      <c r="C921" s="1"/>
      <c r="K921" s="2"/>
      <c r="L921" s="2"/>
    </row>
    <row r="922">
      <c r="C922" s="1"/>
      <c r="K922" s="2"/>
      <c r="L922" s="2"/>
    </row>
    <row r="923">
      <c r="C923" s="1"/>
      <c r="K923" s="2"/>
      <c r="L923" s="2"/>
    </row>
    <row r="924">
      <c r="C924" s="1"/>
      <c r="K924" s="2"/>
      <c r="L924" s="2"/>
    </row>
    <row r="925">
      <c r="C925" s="1"/>
      <c r="K925" s="2"/>
      <c r="L925" s="2"/>
    </row>
    <row r="926">
      <c r="C926" s="1"/>
      <c r="K926" s="2"/>
      <c r="L926" s="2"/>
    </row>
    <row r="927">
      <c r="C927" s="1"/>
      <c r="K927" s="2"/>
      <c r="L927" s="2"/>
    </row>
    <row r="928">
      <c r="C928" s="1"/>
      <c r="K928" s="2"/>
      <c r="L928" s="2"/>
    </row>
    <row r="929">
      <c r="C929" s="1"/>
      <c r="K929" s="2"/>
      <c r="L929" s="2"/>
    </row>
    <row r="930">
      <c r="C930" s="1"/>
      <c r="K930" s="2"/>
      <c r="L930" s="2"/>
    </row>
    <row r="931">
      <c r="C931" s="1"/>
      <c r="K931" s="2"/>
      <c r="L931" s="2"/>
    </row>
    <row r="932">
      <c r="C932" s="1"/>
      <c r="K932" s="2"/>
      <c r="L932" s="2"/>
    </row>
    <row r="933">
      <c r="C933" s="1"/>
      <c r="K933" s="2"/>
      <c r="L933" s="2"/>
    </row>
    <row r="934">
      <c r="C934" s="1"/>
      <c r="K934" s="2"/>
      <c r="L934" s="2"/>
    </row>
    <row r="935">
      <c r="C935" s="1"/>
      <c r="K935" s="2"/>
      <c r="L935" s="2"/>
    </row>
    <row r="936">
      <c r="C936" s="1"/>
      <c r="K936" s="2"/>
      <c r="L936" s="2"/>
    </row>
    <row r="937">
      <c r="C937" s="1"/>
      <c r="K937" s="2"/>
      <c r="L937" s="2"/>
    </row>
    <row r="938">
      <c r="C938" s="1"/>
      <c r="K938" s="2"/>
      <c r="L938" s="2"/>
    </row>
    <row r="939">
      <c r="C939" s="1"/>
      <c r="K939" s="2"/>
      <c r="L939" s="2"/>
    </row>
    <row r="940">
      <c r="C940" s="1"/>
      <c r="K940" s="2"/>
      <c r="L940" s="2"/>
    </row>
    <row r="941">
      <c r="C941" s="1"/>
      <c r="K941" s="2"/>
      <c r="L941" s="2"/>
    </row>
    <row r="942">
      <c r="C942" s="1"/>
      <c r="K942" s="2"/>
      <c r="L942" s="2"/>
    </row>
    <row r="943">
      <c r="C943" s="1"/>
      <c r="K943" s="2"/>
      <c r="L943" s="2"/>
    </row>
    <row r="944">
      <c r="C944" s="1"/>
      <c r="K944" s="2"/>
      <c r="L944" s="2"/>
    </row>
    <row r="945">
      <c r="C945" s="1"/>
      <c r="K945" s="2"/>
      <c r="L945" s="2"/>
    </row>
    <row r="946">
      <c r="C946" s="1"/>
      <c r="K946" s="2"/>
      <c r="L946" s="2"/>
    </row>
    <row r="947">
      <c r="C947" s="1"/>
      <c r="K947" s="2"/>
      <c r="L947" s="2"/>
    </row>
    <row r="948">
      <c r="C948" s="1"/>
      <c r="K948" s="2"/>
      <c r="L948" s="2"/>
    </row>
    <row r="949">
      <c r="C949" s="1"/>
      <c r="K949" s="2"/>
      <c r="L949" s="2"/>
    </row>
    <row r="950">
      <c r="C950" s="1"/>
      <c r="K950" s="2"/>
      <c r="L950" s="2"/>
    </row>
    <row r="951">
      <c r="C951" s="1"/>
      <c r="K951" s="2"/>
      <c r="L951" s="2"/>
    </row>
    <row r="952">
      <c r="C952" s="1"/>
      <c r="K952" s="2"/>
      <c r="L952" s="2"/>
    </row>
    <row r="953">
      <c r="C953" s="1"/>
      <c r="K953" s="2"/>
      <c r="L953" s="2"/>
    </row>
    <row r="954">
      <c r="C954" s="1"/>
      <c r="K954" s="2"/>
      <c r="L954" s="2"/>
    </row>
    <row r="955">
      <c r="C955" s="1"/>
      <c r="K955" s="2"/>
      <c r="L955" s="2"/>
    </row>
    <row r="956">
      <c r="C956" s="1"/>
      <c r="K956" s="2"/>
      <c r="L956" s="2"/>
    </row>
    <row r="957">
      <c r="C957" s="1"/>
      <c r="K957" s="2"/>
      <c r="L957" s="2"/>
    </row>
    <row r="958">
      <c r="C958" s="1"/>
      <c r="K958" s="2"/>
      <c r="L958" s="2"/>
    </row>
    <row r="959">
      <c r="C959" s="1"/>
      <c r="K959" s="2"/>
      <c r="L959" s="2"/>
    </row>
    <row r="960">
      <c r="C960" s="1"/>
      <c r="K960" s="2"/>
      <c r="L960" s="2"/>
    </row>
    <row r="961">
      <c r="C961" s="1"/>
      <c r="K961" s="2"/>
      <c r="L961" s="2"/>
    </row>
    <row r="962">
      <c r="C962" s="1"/>
      <c r="K962" s="2"/>
      <c r="L962" s="2"/>
    </row>
    <row r="963">
      <c r="C963" s="1"/>
      <c r="K963" s="2"/>
      <c r="L963" s="2"/>
    </row>
    <row r="964">
      <c r="C964" s="1"/>
      <c r="K964" s="2"/>
      <c r="L964" s="2"/>
    </row>
    <row r="965">
      <c r="C965" s="1"/>
      <c r="K965" s="2"/>
      <c r="L965" s="2"/>
    </row>
    <row r="966">
      <c r="C966" s="1"/>
      <c r="K966" s="2"/>
      <c r="L966" s="2"/>
    </row>
    <row r="967">
      <c r="C967" s="1"/>
      <c r="K967" s="2"/>
      <c r="L967" s="2"/>
    </row>
    <row r="968">
      <c r="C968" s="1"/>
      <c r="K968" s="2"/>
      <c r="L968" s="2"/>
    </row>
    <row r="969">
      <c r="C969" s="1"/>
      <c r="K969" s="2"/>
      <c r="L969" s="2"/>
    </row>
    <row r="970">
      <c r="C970" s="1"/>
      <c r="K970" s="2"/>
      <c r="L970" s="2"/>
    </row>
    <row r="971">
      <c r="C971" s="1"/>
      <c r="K971" s="2"/>
      <c r="L971" s="2"/>
    </row>
    <row r="972">
      <c r="C972" s="1"/>
      <c r="K972" s="2"/>
      <c r="L972" s="2"/>
    </row>
    <row r="973">
      <c r="C973" s="1"/>
      <c r="K973" s="2"/>
      <c r="L973" s="2"/>
    </row>
    <row r="974">
      <c r="C974" s="1"/>
      <c r="K974" s="2"/>
      <c r="L974" s="2"/>
    </row>
    <row r="975">
      <c r="C975" s="1"/>
      <c r="K975" s="2"/>
      <c r="L975" s="2"/>
    </row>
    <row r="976">
      <c r="C976" s="1"/>
      <c r="K976" s="2"/>
      <c r="L976" s="2"/>
    </row>
    <row r="977">
      <c r="C977" s="1"/>
      <c r="K977" s="2"/>
      <c r="L977" s="2"/>
    </row>
    <row r="978">
      <c r="C978" s="1"/>
      <c r="K978" s="2"/>
      <c r="L978" s="2"/>
    </row>
    <row r="979">
      <c r="C979" s="1"/>
      <c r="K979" s="2"/>
      <c r="L979" s="2"/>
    </row>
    <row r="980">
      <c r="C980" s="1"/>
      <c r="K980" s="2"/>
      <c r="L980" s="2"/>
    </row>
    <row r="981">
      <c r="C981" s="1"/>
      <c r="K981" s="2"/>
      <c r="L981" s="2"/>
    </row>
    <row r="982">
      <c r="C982" s="1"/>
      <c r="K982" s="2"/>
      <c r="L982" s="2"/>
    </row>
    <row r="983">
      <c r="C983" s="1"/>
      <c r="K983" s="2"/>
      <c r="L983" s="2"/>
    </row>
    <row r="984">
      <c r="C984" s="1"/>
      <c r="K984" s="2"/>
      <c r="L984" s="2"/>
    </row>
    <row r="985">
      <c r="C985" s="1"/>
      <c r="K985" s="2"/>
      <c r="L985" s="2"/>
    </row>
    <row r="986">
      <c r="C986" s="1"/>
      <c r="K986" s="2"/>
      <c r="L986" s="2"/>
    </row>
    <row r="987">
      <c r="C987" s="1"/>
      <c r="K987" s="2"/>
      <c r="L987" s="2"/>
    </row>
    <row r="988">
      <c r="C988" s="1"/>
      <c r="K988" s="2"/>
      <c r="L988" s="2"/>
    </row>
    <row r="989">
      <c r="C989" s="1"/>
      <c r="K989" s="2"/>
      <c r="L989" s="2"/>
    </row>
    <row r="990">
      <c r="C990" s="1"/>
      <c r="K990" s="2"/>
      <c r="L990" s="2"/>
    </row>
    <row r="991">
      <c r="C991" s="1"/>
      <c r="K991" s="2"/>
      <c r="L991" s="2"/>
    </row>
    <row r="992">
      <c r="C992" s="1"/>
      <c r="K992" s="2"/>
      <c r="L992" s="2"/>
    </row>
    <row r="993">
      <c r="C993" s="1"/>
      <c r="K993" s="2"/>
      <c r="L993" s="2"/>
    </row>
    <row r="994">
      <c r="C994" s="1"/>
      <c r="K994" s="2"/>
      <c r="L994" s="2"/>
    </row>
    <row r="995">
      <c r="C995" s="1"/>
      <c r="K995" s="2"/>
      <c r="L995" s="2"/>
    </row>
    <row r="996">
      <c r="C996" s="1"/>
      <c r="K996" s="2"/>
      <c r="L996" s="2"/>
    </row>
    <row r="997">
      <c r="C997" s="1"/>
      <c r="K997" s="2"/>
      <c r="L997" s="2"/>
    </row>
  </sheetData>
  <mergeCells count="3">
    <mergeCell ref="C7:G8"/>
    <mergeCell ref="F12:G12"/>
    <mergeCell ref="D13:G13"/>
  </mergeCells>
  <dataValidations>
    <dataValidation type="list" allowBlank="1" showDropDown="1" showErrorMessage="1" sqref="E12">
      <formula1>Customers!$A$2:$A$100</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13"/>
    <col customWidth="1" min="2" max="2" width="1.5"/>
    <col customWidth="1" min="3" max="3" width="19.75"/>
    <col customWidth="1" min="4" max="4" width="7.13"/>
    <col customWidth="1" min="5" max="5" width="20.38"/>
    <col customWidth="1" min="6" max="6" width="4.75"/>
    <col customWidth="1" min="7" max="7" width="11.0"/>
    <col customWidth="1" min="8" max="8" width="7.0"/>
    <col customWidth="1" min="9" max="9" width="18.88"/>
    <col customWidth="1" min="10" max="10" width="12.88"/>
    <col customWidth="1" min="11" max="11" width="10.38"/>
    <col customWidth="1" min="12" max="12" width="13.88"/>
    <col customWidth="1" min="14" max="14" width="14.25"/>
  </cols>
  <sheetData>
    <row r="1" ht="5.25" customHeight="1">
      <c r="C1" s="1"/>
      <c r="F1" s="2"/>
      <c r="G1" s="2"/>
      <c r="H1" s="2"/>
      <c r="K1" s="2"/>
      <c r="L1" s="2"/>
    </row>
    <row r="2" ht="1.5" customHeight="1">
      <c r="C2" s="1"/>
      <c r="F2" s="2"/>
      <c r="G2" s="2"/>
      <c r="H2" s="2"/>
      <c r="K2" s="2"/>
      <c r="L2" s="2"/>
    </row>
    <row r="3" ht="3.75" customHeight="1">
      <c r="B3" s="3"/>
      <c r="C3" s="4"/>
      <c r="D3" s="3"/>
      <c r="E3" s="3"/>
      <c r="F3" s="5"/>
      <c r="G3" s="5"/>
      <c r="H3" s="5"/>
      <c r="K3" s="2"/>
      <c r="L3" s="2"/>
    </row>
    <row r="4" ht="1.5" customHeight="1">
      <c r="B4" s="3"/>
      <c r="C4" s="4"/>
      <c r="D4" s="3"/>
      <c r="E4" s="3"/>
      <c r="F4" s="5"/>
      <c r="G4" s="5"/>
      <c r="H4" s="5"/>
      <c r="K4" s="2"/>
      <c r="L4" s="2"/>
    </row>
    <row r="5" ht="1.5" customHeight="1">
      <c r="B5" s="3"/>
      <c r="C5" s="4"/>
      <c r="D5" s="3"/>
      <c r="E5" s="3"/>
      <c r="F5" s="5"/>
      <c r="G5" s="5"/>
      <c r="H5" s="5"/>
      <c r="K5" s="2"/>
      <c r="L5" s="2"/>
    </row>
    <row r="6" ht="1.5" customHeight="1">
      <c r="B6" s="3"/>
      <c r="C6" s="4"/>
      <c r="D6" s="3"/>
      <c r="E6" s="3"/>
      <c r="F6" s="5"/>
      <c r="G6" s="5"/>
      <c r="H6" s="5"/>
      <c r="K6" s="2"/>
      <c r="L6" s="2"/>
    </row>
    <row r="7" ht="6.0" customHeight="1">
      <c r="B7" s="3"/>
      <c r="C7" s="6" t="s">
        <v>0</v>
      </c>
      <c r="H7" s="5"/>
      <c r="K7" s="2"/>
      <c r="L7" s="2"/>
    </row>
    <row r="8" ht="45.0" customHeight="1">
      <c r="B8" s="3"/>
      <c r="H8" s="5"/>
      <c r="K8" s="2"/>
      <c r="L8" s="2"/>
    </row>
    <row r="9" ht="15.75" customHeight="1">
      <c r="B9" s="3"/>
      <c r="C9" s="4"/>
      <c r="D9" s="3"/>
      <c r="E9" s="3"/>
      <c r="F9" s="5"/>
      <c r="G9" s="7" t="s">
        <v>1</v>
      </c>
      <c r="H9" s="7"/>
      <c r="K9" s="2"/>
      <c r="L9" s="2"/>
    </row>
    <row r="10" ht="24.75" customHeight="1">
      <c r="B10" s="3"/>
      <c r="C10" s="8"/>
      <c r="D10" s="9"/>
      <c r="E10" s="3"/>
      <c r="F10" s="2"/>
      <c r="G10" s="10" t="s">
        <v>2</v>
      </c>
      <c r="H10" s="7"/>
      <c r="J10" s="11"/>
      <c r="K10" s="2"/>
      <c r="L10" s="2"/>
    </row>
    <row r="11">
      <c r="B11" s="3"/>
      <c r="C11" s="8"/>
      <c r="D11" s="12"/>
      <c r="E11" s="3"/>
      <c r="F11" s="5"/>
      <c r="G11" s="5"/>
      <c r="H11" s="5"/>
      <c r="K11" s="2"/>
      <c r="L11" s="2"/>
    </row>
    <row r="12" ht="18.75" customHeight="1">
      <c r="B12" s="3"/>
      <c r="C12" s="13" t="s">
        <v>3</v>
      </c>
      <c r="E12" s="12" t="s">
        <v>8</v>
      </c>
      <c r="F12" s="17"/>
      <c r="H12" s="5"/>
      <c r="J12" s="18" t="s">
        <v>11</v>
      </c>
      <c r="K12" s="2">
        <f t="shared" ref="K12:L12" si="1">SUM(K15:K100)</f>
        <v>0</v>
      </c>
      <c r="L12" s="2">
        <f t="shared" si="1"/>
        <v>0</v>
      </c>
    </row>
    <row r="13">
      <c r="B13" s="3"/>
      <c r="C13" s="4"/>
      <c r="D13" s="22"/>
      <c r="H13" s="5"/>
      <c r="K13" s="2"/>
      <c r="L13" s="2"/>
    </row>
    <row r="14">
      <c r="B14" s="3"/>
      <c r="C14" s="23" t="s">
        <v>4</v>
      </c>
      <c r="D14" s="24" t="s">
        <v>5</v>
      </c>
      <c r="E14" s="24" t="s">
        <v>6</v>
      </c>
      <c r="F14" s="25" t="s">
        <v>20</v>
      </c>
      <c r="G14" s="25" t="s">
        <v>9</v>
      </c>
      <c r="H14" s="25" t="s">
        <v>10</v>
      </c>
      <c r="I14" s="24" t="s">
        <v>21</v>
      </c>
      <c r="J14" s="24" t="s">
        <v>22</v>
      </c>
      <c r="K14" s="27" t="s">
        <v>23</v>
      </c>
      <c r="L14" s="25" t="s">
        <v>24</v>
      </c>
      <c r="M14" s="24" t="s">
        <v>25</v>
      </c>
      <c r="N14" s="24" t="s">
        <v>26</v>
      </c>
      <c r="O14" s="24" t="s">
        <v>27</v>
      </c>
    </row>
    <row r="15">
      <c r="B15" s="3"/>
      <c r="C15" s="30" t="str">
        <f>IFERROR(__xludf.DUMMYFUNCTION("FILTER(Sales!A:M, Sales!C:C = E12)"),"#N/A")</f>
        <v>#N/A</v>
      </c>
      <c r="D15" s="31"/>
      <c r="E15" s="31"/>
      <c r="F15" s="32"/>
      <c r="G15" s="32"/>
      <c r="H15" s="33"/>
      <c r="I15" s="34"/>
      <c r="J15" s="34"/>
      <c r="K15" s="35"/>
      <c r="L15" s="35"/>
      <c r="M15" s="34"/>
      <c r="N15" s="34"/>
      <c r="O15" s="36"/>
    </row>
    <row r="16">
      <c r="B16" s="3"/>
      <c r="C16" s="30"/>
      <c r="D16" s="31"/>
      <c r="E16" s="31"/>
      <c r="F16" s="32"/>
      <c r="G16" s="32"/>
      <c r="H16" s="33"/>
      <c r="I16" s="34"/>
      <c r="J16" s="34"/>
      <c r="K16" s="35"/>
      <c r="L16" s="35"/>
      <c r="M16" s="34"/>
      <c r="N16" s="34"/>
      <c r="O16" s="36"/>
    </row>
    <row r="17">
      <c r="B17" s="3"/>
      <c r="C17" s="30"/>
      <c r="D17" s="31"/>
      <c r="E17" s="31"/>
      <c r="F17" s="32"/>
      <c r="G17" s="32"/>
      <c r="H17" s="33"/>
      <c r="I17" s="34"/>
      <c r="J17" s="34"/>
      <c r="K17" s="35"/>
      <c r="L17" s="35"/>
      <c r="M17" s="34"/>
      <c r="N17" s="34"/>
      <c r="O17" s="36"/>
    </row>
    <row r="18">
      <c r="B18" s="3"/>
      <c r="C18" s="39"/>
      <c r="D18" s="40"/>
      <c r="E18" s="40"/>
      <c r="F18" s="32"/>
      <c r="G18" s="32"/>
      <c r="H18" s="33"/>
      <c r="I18" s="34"/>
      <c r="J18" s="34"/>
      <c r="K18" s="35"/>
      <c r="L18" s="35"/>
      <c r="M18" s="34"/>
      <c r="N18" s="34"/>
      <c r="O18" s="36"/>
    </row>
    <row r="19">
      <c r="B19" s="3"/>
      <c r="C19" s="39"/>
      <c r="D19" s="40"/>
      <c r="E19" s="40"/>
      <c r="F19" s="42"/>
      <c r="G19" s="32"/>
      <c r="H19" s="33"/>
      <c r="I19" s="34"/>
      <c r="J19" s="34"/>
      <c r="K19" s="35"/>
      <c r="L19" s="35"/>
      <c r="M19" s="34"/>
      <c r="N19" s="34"/>
      <c r="O19" s="36"/>
    </row>
    <row r="20">
      <c r="B20" s="3"/>
      <c r="C20" s="39"/>
      <c r="D20" s="40"/>
      <c r="E20" s="40"/>
      <c r="F20" s="32"/>
      <c r="G20" s="32"/>
      <c r="H20" s="33"/>
      <c r="I20" s="34"/>
      <c r="J20" s="34"/>
      <c r="K20" s="35"/>
      <c r="L20" s="35"/>
      <c r="M20" s="34"/>
      <c r="N20" s="34"/>
      <c r="O20" s="36"/>
    </row>
    <row r="21">
      <c r="B21" s="3"/>
      <c r="C21" s="39"/>
      <c r="D21" s="40"/>
      <c r="E21" s="40"/>
      <c r="F21" s="44"/>
      <c r="G21" s="44"/>
      <c r="H21" s="33"/>
      <c r="I21" s="34"/>
      <c r="J21" s="34"/>
      <c r="K21" s="35"/>
      <c r="L21" s="35"/>
      <c r="M21" s="34"/>
      <c r="N21" s="34"/>
      <c r="O21" s="36"/>
    </row>
    <row r="22">
      <c r="B22" s="3"/>
      <c r="C22" s="39"/>
      <c r="D22" s="40"/>
      <c r="E22" s="40"/>
      <c r="F22" s="45"/>
      <c r="G22" s="45"/>
      <c r="H22" s="33"/>
      <c r="I22" s="34"/>
      <c r="J22" s="34"/>
      <c r="K22" s="35"/>
      <c r="L22" s="35"/>
      <c r="M22" s="34"/>
      <c r="N22" s="34"/>
      <c r="O22" s="36"/>
    </row>
    <row r="23">
      <c r="B23" s="3"/>
      <c r="C23" s="39"/>
      <c r="D23" s="40"/>
      <c r="E23" s="40"/>
      <c r="F23" s="46"/>
      <c r="G23" s="46"/>
      <c r="H23" s="46"/>
      <c r="I23" s="34"/>
      <c r="J23" s="34"/>
      <c r="K23" s="35"/>
      <c r="L23" s="35"/>
      <c r="M23" s="34"/>
      <c r="N23" s="34"/>
    </row>
    <row r="24" ht="17.25" customHeight="1">
      <c r="B24" s="3"/>
      <c r="C24" s="47"/>
      <c r="D24" s="40"/>
      <c r="E24" s="40"/>
      <c r="F24" s="49"/>
      <c r="G24" s="50"/>
      <c r="H24" s="46"/>
      <c r="I24" s="34"/>
      <c r="J24" s="34"/>
      <c r="K24" s="35"/>
      <c r="L24" s="35"/>
      <c r="M24" s="34"/>
      <c r="N24" s="34"/>
    </row>
    <row r="25" ht="18.75" customHeight="1">
      <c r="B25" s="3"/>
      <c r="C25" s="4"/>
      <c r="D25" s="3"/>
      <c r="E25" s="3"/>
      <c r="F25" s="51"/>
      <c r="G25" s="51"/>
      <c r="H25" s="51"/>
      <c r="K25" s="2"/>
      <c r="L25" s="2"/>
    </row>
    <row r="26" ht="24.75" customHeight="1">
      <c r="B26" s="3"/>
      <c r="C26" s="52"/>
      <c r="D26" s="53"/>
      <c r="E26" s="53"/>
      <c r="F26" s="51"/>
      <c r="G26" s="51"/>
      <c r="H26" s="51"/>
      <c r="K26" s="2"/>
      <c r="L26" s="2"/>
    </row>
    <row r="27">
      <c r="B27" s="3"/>
      <c r="C27" s="4"/>
      <c r="D27" s="3"/>
      <c r="E27" s="3"/>
      <c r="F27" s="5"/>
      <c r="G27" s="5"/>
      <c r="H27" s="5"/>
      <c r="K27" s="2"/>
      <c r="L27" s="2"/>
    </row>
    <row r="28">
      <c r="B28" s="3"/>
      <c r="C28" s="4"/>
      <c r="D28" s="3"/>
      <c r="E28" s="3"/>
      <c r="F28" s="5"/>
      <c r="G28" s="5"/>
      <c r="H28" s="5"/>
      <c r="K28" s="2"/>
      <c r="L28" s="2"/>
    </row>
    <row r="29">
      <c r="B29" s="3"/>
      <c r="C29" s="4"/>
      <c r="D29" s="3"/>
      <c r="E29" s="3"/>
      <c r="F29" s="5"/>
      <c r="G29" s="5"/>
      <c r="H29" s="5"/>
      <c r="K29" s="2"/>
      <c r="L29" s="2"/>
    </row>
    <row r="30">
      <c r="C30" s="1"/>
      <c r="F30" s="2"/>
      <c r="G30" s="2"/>
      <c r="H30" s="2"/>
      <c r="K30" s="2"/>
      <c r="L30" s="2"/>
    </row>
    <row r="31">
      <c r="C31" s="1"/>
      <c r="F31" s="2"/>
      <c r="G31" s="2"/>
      <c r="H31" s="2"/>
      <c r="K31" s="2"/>
      <c r="L31" s="2"/>
    </row>
    <row r="32">
      <c r="C32" s="1"/>
      <c r="F32" s="2"/>
      <c r="G32" s="2"/>
      <c r="H32" s="2"/>
      <c r="K32" s="2"/>
      <c r="L32" s="2"/>
    </row>
    <row r="33">
      <c r="C33" s="1"/>
      <c r="F33" s="2"/>
      <c r="G33" s="2"/>
      <c r="H33" s="2"/>
      <c r="K33" s="2"/>
      <c r="L33" s="2"/>
    </row>
    <row r="34">
      <c r="C34" s="1"/>
      <c r="F34" s="2"/>
      <c r="G34" s="2"/>
      <c r="H34" s="2"/>
      <c r="K34" s="2"/>
      <c r="L34" s="2"/>
    </row>
    <row r="35">
      <c r="C35" s="1"/>
      <c r="F35" s="2"/>
      <c r="G35" s="2"/>
      <c r="H35" s="2"/>
      <c r="K35" s="2"/>
      <c r="L35" s="2"/>
    </row>
    <row r="36">
      <c r="C36" s="1"/>
      <c r="F36" s="2"/>
      <c r="G36" s="2"/>
      <c r="H36" s="2"/>
      <c r="K36" s="2"/>
      <c r="L36" s="2"/>
    </row>
    <row r="37">
      <c r="C37" s="1"/>
      <c r="F37" s="2"/>
      <c r="G37" s="2"/>
      <c r="H37" s="2"/>
      <c r="K37" s="2"/>
      <c r="L37" s="2"/>
    </row>
    <row r="38">
      <c r="C38" s="1"/>
      <c r="F38" s="2"/>
      <c r="G38" s="2"/>
      <c r="H38" s="2"/>
      <c r="K38" s="2"/>
      <c r="L38" s="2"/>
    </row>
    <row r="39">
      <c r="C39" s="1"/>
      <c r="F39" s="2"/>
      <c r="G39" s="2"/>
      <c r="H39" s="2"/>
      <c r="K39" s="2"/>
      <c r="L39" s="2"/>
    </row>
    <row r="40">
      <c r="C40" s="1"/>
      <c r="F40" s="2"/>
      <c r="G40" s="2"/>
      <c r="H40" s="2"/>
      <c r="K40" s="2"/>
      <c r="L40" s="2"/>
    </row>
    <row r="41">
      <c r="C41" s="1"/>
      <c r="F41" s="2"/>
      <c r="G41" s="2"/>
      <c r="H41" s="2"/>
      <c r="K41" s="2"/>
      <c r="L41" s="2"/>
    </row>
    <row r="42">
      <c r="C42" s="1"/>
      <c r="F42" s="2"/>
      <c r="G42" s="2"/>
      <c r="H42" s="2"/>
      <c r="K42" s="2"/>
      <c r="L42" s="2"/>
    </row>
    <row r="43">
      <c r="C43" s="1"/>
      <c r="F43" s="2"/>
      <c r="G43" s="2"/>
      <c r="H43" s="2"/>
      <c r="K43" s="2"/>
      <c r="L43" s="2"/>
    </row>
    <row r="44">
      <c r="C44" s="1"/>
      <c r="F44" s="2"/>
      <c r="G44" s="2"/>
      <c r="H44" s="2"/>
      <c r="K44" s="2"/>
      <c r="L44" s="2"/>
    </row>
    <row r="45">
      <c r="C45" s="1"/>
      <c r="F45" s="2"/>
      <c r="G45" s="2"/>
      <c r="H45" s="2"/>
      <c r="K45" s="2"/>
      <c r="L45" s="2"/>
    </row>
    <row r="46">
      <c r="C46" s="1"/>
      <c r="F46" s="2"/>
      <c r="G46" s="2"/>
      <c r="H46" s="2"/>
      <c r="K46" s="2"/>
      <c r="L46" s="2"/>
    </row>
    <row r="47">
      <c r="C47" s="1"/>
      <c r="F47" s="2"/>
      <c r="G47" s="2"/>
      <c r="H47" s="2"/>
      <c r="K47" s="2"/>
      <c r="L47" s="2"/>
    </row>
    <row r="48">
      <c r="C48" s="1"/>
      <c r="F48" s="2"/>
      <c r="G48" s="2"/>
      <c r="H48" s="2"/>
      <c r="K48" s="2"/>
      <c r="L48" s="2"/>
    </row>
    <row r="49">
      <c r="C49" s="1"/>
      <c r="F49" s="2"/>
      <c r="G49" s="2"/>
      <c r="H49" s="2"/>
      <c r="K49" s="2"/>
      <c r="L49" s="2"/>
    </row>
    <row r="50">
      <c r="C50" s="1"/>
      <c r="F50" s="2"/>
      <c r="G50" s="2"/>
      <c r="H50" s="2"/>
      <c r="K50" s="2"/>
      <c r="L50" s="2"/>
    </row>
    <row r="51">
      <c r="C51" s="1"/>
      <c r="F51" s="2"/>
      <c r="G51" s="2"/>
      <c r="H51" s="2"/>
      <c r="K51" s="2"/>
      <c r="L51" s="2"/>
    </row>
    <row r="52">
      <c r="C52" s="1"/>
      <c r="F52" s="2"/>
      <c r="G52" s="2"/>
      <c r="H52" s="2"/>
      <c r="K52" s="2"/>
      <c r="L52" s="2"/>
    </row>
    <row r="53">
      <c r="C53" s="1"/>
      <c r="F53" s="2"/>
      <c r="G53" s="2"/>
      <c r="H53" s="2"/>
      <c r="K53" s="2"/>
      <c r="L53" s="2"/>
    </row>
    <row r="54">
      <c r="C54" s="1"/>
      <c r="F54" s="2"/>
      <c r="G54" s="2"/>
      <c r="H54" s="2"/>
      <c r="K54" s="2"/>
      <c r="L54" s="2"/>
    </row>
    <row r="55">
      <c r="C55" s="1"/>
      <c r="F55" s="2"/>
      <c r="G55" s="2"/>
      <c r="H55" s="2"/>
      <c r="K55" s="2"/>
      <c r="L55" s="2"/>
    </row>
    <row r="56">
      <c r="C56" s="1"/>
      <c r="F56" s="2"/>
      <c r="G56" s="2"/>
      <c r="H56" s="2"/>
      <c r="K56" s="2"/>
      <c r="L56" s="2"/>
    </row>
    <row r="57">
      <c r="C57" s="1"/>
      <c r="F57" s="2"/>
      <c r="G57" s="2"/>
      <c r="H57" s="2"/>
      <c r="K57" s="2"/>
      <c r="L57" s="2"/>
    </row>
    <row r="58">
      <c r="C58" s="1"/>
      <c r="F58" s="2"/>
      <c r="G58" s="2"/>
      <c r="H58" s="2"/>
      <c r="K58" s="2"/>
      <c r="L58" s="2"/>
    </row>
    <row r="59">
      <c r="C59" s="1"/>
      <c r="F59" s="2"/>
      <c r="G59" s="2"/>
      <c r="H59" s="2"/>
      <c r="K59" s="2"/>
      <c r="L59" s="2"/>
    </row>
    <row r="60">
      <c r="C60" s="1"/>
      <c r="F60" s="2"/>
      <c r="G60" s="2"/>
      <c r="H60" s="2"/>
      <c r="K60" s="2"/>
      <c r="L60" s="2"/>
    </row>
    <row r="61">
      <c r="C61" s="1"/>
      <c r="F61" s="2"/>
      <c r="G61" s="2"/>
      <c r="H61" s="2"/>
      <c r="K61" s="2"/>
      <c r="L61" s="2"/>
    </row>
    <row r="62">
      <c r="C62" s="1"/>
      <c r="F62" s="2"/>
      <c r="G62" s="2"/>
      <c r="H62" s="2"/>
      <c r="K62" s="2"/>
      <c r="L62" s="2"/>
    </row>
    <row r="63">
      <c r="C63" s="1"/>
      <c r="F63" s="2"/>
      <c r="G63" s="2"/>
      <c r="H63" s="2"/>
      <c r="K63" s="2"/>
      <c r="L63" s="2"/>
    </row>
    <row r="64">
      <c r="C64" s="1"/>
      <c r="F64" s="2"/>
      <c r="G64" s="2"/>
      <c r="H64" s="2"/>
      <c r="K64" s="2"/>
      <c r="L64" s="2"/>
    </row>
    <row r="65">
      <c r="C65" s="1"/>
      <c r="F65" s="2"/>
      <c r="G65" s="2"/>
      <c r="H65" s="2"/>
      <c r="K65" s="2"/>
      <c r="L65" s="2"/>
    </row>
    <row r="66">
      <c r="C66" s="1"/>
      <c r="F66" s="2"/>
      <c r="G66" s="2"/>
      <c r="H66" s="2"/>
      <c r="K66" s="2"/>
      <c r="L66" s="2"/>
    </row>
    <row r="67">
      <c r="C67" s="1"/>
      <c r="F67" s="2"/>
      <c r="G67" s="2"/>
      <c r="H67" s="2"/>
      <c r="K67" s="2"/>
      <c r="L67" s="2"/>
    </row>
    <row r="68">
      <c r="C68" s="1"/>
      <c r="F68" s="2"/>
      <c r="G68" s="2"/>
      <c r="H68" s="2"/>
      <c r="K68" s="2"/>
      <c r="L68" s="2"/>
    </row>
    <row r="69">
      <c r="C69" s="1"/>
      <c r="F69" s="2"/>
      <c r="G69" s="2"/>
      <c r="H69" s="2"/>
      <c r="K69" s="2"/>
      <c r="L69" s="2"/>
    </row>
    <row r="70">
      <c r="C70" s="1"/>
      <c r="F70" s="2"/>
      <c r="G70" s="2"/>
      <c r="H70" s="2"/>
      <c r="K70" s="2"/>
      <c r="L70" s="2"/>
    </row>
    <row r="71">
      <c r="C71" s="1"/>
      <c r="F71" s="2"/>
      <c r="G71" s="2"/>
      <c r="H71" s="2"/>
      <c r="K71" s="2"/>
      <c r="L71" s="2"/>
    </row>
    <row r="72">
      <c r="C72" s="1"/>
      <c r="F72" s="2"/>
      <c r="G72" s="2"/>
      <c r="H72" s="2"/>
      <c r="K72" s="2"/>
      <c r="L72" s="2"/>
    </row>
    <row r="73">
      <c r="C73" s="1"/>
      <c r="F73" s="2"/>
      <c r="G73" s="2"/>
      <c r="H73" s="2"/>
      <c r="K73" s="2"/>
      <c r="L73" s="2"/>
    </row>
    <row r="74">
      <c r="C74" s="1"/>
      <c r="F74" s="2"/>
      <c r="G74" s="2"/>
      <c r="H74" s="2"/>
      <c r="K74" s="2"/>
      <c r="L74" s="2"/>
    </row>
    <row r="75">
      <c r="C75" s="1"/>
      <c r="F75" s="2"/>
      <c r="G75" s="2"/>
      <c r="H75" s="2"/>
      <c r="K75" s="2"/>
      <c r="L75" s="2"/>
    </row>
    <row r="76">
      <c r="C76" s="1"/>
      <c r="F76" s="2"/>
      <c r="G76" s="2"/>
      <c r="H76" s="2"/>
      <c r="K76" s="2"/>
      <c r="L76" s="2"/>
    </row>
    <row r="77">
      <c r="C77" s="1"/>
      <c r="F77" s="2"/>
      <c r="G77" s="2"/>
      <c r="H77" s="2"/>
      <c r="K77" s="2"/>
      <c r="L77" s="2"/>
    </row>
    <row r="78">
      <c r="C78" s="1"/>
      <c r="F78" s="2"/>
      <c r="G78" s="2"/>
      <c r="H78" s="2"/>
      <c r="K78" s="2"/>
      <c r="L78" s="2"/>
    </row>
    <row r="79">
      <c r="C79" s="1"/>
      <c r="F79" s="2"/>
      <c r="G79" s="2"/>
      <c r="H79" s="2"/>
      <c r="K79" s="2"/>
      <c r="L79" s="2"/>
    </row>
    <row r="80">
      <c r="C80" s="1"/>
      <c r="F80" s="2"/>
      <c r="G80" s="2"/>
      <c r="H80" s="2"/>
      <c r="K80" s="2"/>
      <c r="L80" s="2"/>
    </row>
    <row r="81">
      <c r="C81" s="1"/>
      <c r="F81" s="2"/>
      <c r="G81" s="2"/>
      <c r="H81" s="2"/>
      <c r="K81" s="2"/>
      <c r="L81" s="2"/>
    </row>
    <row r="82">
      <c r="C82" s="1"/>
      <c r="F82" s="2"/>
      <c r="G82" s="2"/>
      <c r="H82" s="2"/>
      <c r="K82" s="2"/>
      <c r="L82" s="2"/>
    </row>
    <row r="83">
      <c r="C83" s="1"/>
      <c r="F83" s="2"/>
      <c r="G83" s="2"/>
      <c r="H83" s="2"/>
      <c r="K83" s="2"/>
      <c r="L83" s="2"/>
    </row>
    <row r="84">
      <c r="C84" s="1"/>
      <c r="F84" s="2"/>
      <c r="G84" s="2"/>
      <c r="H84" s="2"/>
      <c r="K84" s="2"/>
      <c r="L84" s="2"/>
    </row>
    <row r="85">
      <c r="C85" s="1"/>
      <c r="F85" s="2"/>
      <c r="G85" s="2"/>
      <c r="H85" s="2"/>
      <c r="K85" s="2"/>
      <c r="L85" s="2"/>
    </row>
    <row r="86">
      <c r="C86" s="1"/>
      <c r="F86" s="2"/>
      <c r="G86" s="2"/>
      <c r="H86" s="2"/>
      <c r="K86" s="2"/>
      <c r="L86" s="2"/>
    </row>
    <row r="87">
      <c r="C87" s="1"/>
      <c r="F87" s="2"/>
      <c r="G87" s="2"/>
      <c r="H87" s="2"/>
      <c r="K87" s="2"/>
      <c r="L87" s="2"/>
    </row>
    <row r="88">
      <c r="C88" s="1"/>
      <c r="F88" s="2"/>
      <c r="G88" s="2"/>
      <c r="H88" s="2"/>
      <c r="K88" s="2"/>
      <c r="L88" s="2"/>
    </row>
    <row r="89">
      <c r="C89" s="1"/>
      <c r="F89" s="2"/>
      <c r="G89" s="2"/>
      <c r="H89" s="2"/>
      <c r="K89" s="2"/>
      <c r="L89" s="2"/>
    </row>
    <row r="90">
      <c r="C90" s="1"/>
      <c r="F90" s="2"/>
      <c r="G90" s="2"/>
      <c r="H90" s="2"/>
      <c r="K90" s="2"/>
      <c r="L90" s="2"/>
    </row>
    <row r="91">
      <c r="C91" s="1"/>
      <c r="F91" s="2"/>
      <c r="G91" s="2"/>
      <c r="H91" s="2"/>
      <c r="K91" s="2"/>
      <c r="L91" s="2"/>
    </row>
    <row r="92">
      <c r="C92" s="1"/>
      <c r="F92" s="2"/>
      <c r="G92" s="2"/>
      <c r="H92" s="2"/>
      <c r="K92" s="2"/>
      <c r="L92" s="2"/>
    </row>
    <row r="93">
      <c r="C93" s="1"/>
      <c r="F93" s="2"/>
      <c r="G93" s="2"/>
      <c r="H93" s="2"/>
      <c r="K93" s="2"/>
      <c r="L93" s="2"/>
    </row>
    <row r="94">
      <c r="C94" s="1"/>
      <c r="F94" s="2"/>
      <c r="G94" s="2"/>
      <c r="H94" s="2"/>
      <c r="K94" s="2"/>
      <c r="L94" s="2"/>
    </row>
    <row r="95">
      <c r="C95" s="1"/>
      <c r="F95" s="2"/>
      <c r="G95" s="2"/>
      <c r="H95" s="2"/>
      <c r="K95" s="2"/>
      <c r="L95" s="2"/>
    </row>
    <row r="96">
      <c r="C96" s="1"/>
      <c r="F96" s="2"/>
      <c r="G96" s="2"/>
      <c r="H96" s="2"/>
      <c r="K96" s="2"/>
      <c r="L96" s="2"/>
    </row>
    <row r="97">
      <c r="C97" s="1"/>
      <c r="F97" s="2"/>
      <c r="G97" s="2"/>
      <c r="H97" s="2"/>
      <c r="K97" s="2"/>
      <c r="L97" s="2"/>
    </row>
    <row r="98">
      <c r="C98" s="1"/>
      <c r="F98" s="2"/>
      <c r="G98" s="2"/>
      <c r="H98" s="2"/>
      <c r="K98" s="2"/>
      <c r="L98" s="2"/>
    </row>
    <row r="99">
      <c r="C99" s="1"/>
      <c r="F99" s="2"/>
      <c r="G99" s="2"/>
      <c r="H99" s="2"/>
      <c r="K99" s="2"/>
      <c r="L99" s="2"/>
    </row>
    <row r="100">
      <c r="C100" s="1"/>
      <c r="F100" s="2"/>
      <c r="G100" s="2"/>
      <c r="H100" s="2"/>
      <c r="K100" s="2"/>
      <c r="L100" s="2"/>
    </row>
    <row r="101">
      <c r="C101" s="1"/>
      <c r="F101" s="2"/>
      <c r="G101" s="2"/>
      <c r="H101" s="2"/>
      <c r="K101" s="2"/>
      <c r="L101" s="2"/>
    </row>
    <row r="102">
      <c r="C102" s="1"/>
      <c r="F102" s="2"/>
      <c r="G102" s="2"/>
      <c r="H102" s="2"/>
      <c r="K102" s="2"/>
      <c r="L102" s="2"/>
    </row>
    <row r="103">
      <c r="C103" s="1"/>
      <c r="F103" s="2"/>
      <c r="G103" s="2"/>
      <c r="H103" s="2"/>
      <c r="K103" s="2"/>
      <c r="L103" s="2"/>
    </row>
    <row r="104">
      <c r="C104" s="1"/>
      <c r="F104" s="2"/>
      <c r="G104" s="2"/>
      <c r="H104" s="2"/>
      <c r="K104" s="2"/>
      <c r="L104" s="2"/>
    </row>
    <row r="105">
      <c r="C105" s="1"/>
      <c r="F105" s="2"/>
      <c r="G105" s="2"/>
      <c r="H105" s="2"/>
      <c r="K105" s="2"/>
      <c r="L105" s="2"/>
    </row>
    <row r="106">
      <c r="C106" s="1"/>
      <c r="F106" s="2"/>
      <c r="G106" s="2"/>
      <c r="H106" s="2"/>
      <c r="K106" s="2"/>
      <c r="L106" s="2"/>
    </row>
    <row r="107">
      <c r="C107" s="1"/>
      <c r="F107" s="2"/>
      <c r="G107" s="2"/>
      <c r="H107" s="2"/>
      <c r="K107" s="2"/>
      <c r="L107" s="2"/>
    </row>
    <row r="108">
      <c r="C108" s="1"/>
      <c r="F108" s="2"/>
      <c r="G108" s="2"/>
      <c r="H108" s="2"/>
      <c r="K108" s="2"/>
      <c r="L108" s="2"/>
    </row>
    <row r="109">
      <c r="C109" s="1"/>
      <c r="F109" s="2"/>
      <c r="G109" s="2"/>
      <c r="H109" s="2"/>
      <c r="K109" s="2"/>
      <c r="L109" s="2"/>
    </row>
    <row r="110">
      <c r="C110" s="1"/>
      <c r="F110" s="2"/>
      <c r="G110" s="2"/>
      <c r="H110" s="2"/>
      <c r="K110" s="2"/>
      <c r="L110" s="2"/>
    </row>
    <row r="111">
      <c r="C111" s="1"/>
      <c r="F111" s="2"/>
      <c r="G111" s="2"/>
      <c r="H111" s="2"/>
      <c r="K111" s="2"/>
      <c r="L111" s="2"/>
    </row>
    <row r="112">
      <c r="C112" s="1"/>
      <c r="F112" s="2"/>
      <c r="G112" s="2"/>
      <c r="H112" s="2"/>
      <c r="K112" s="2"/>
      <c r="L112" s="2"/>
    </row>
    <row r="113">
      <c r="C113" s="1"/>
      <c r="F113" s="2"/>
      <c r="G113" s="2"/>
      <c r="H113" s="2"/>
      <c r="K113" s="2"/>
      <c r="L113" s="2"/>
    </row>
    <row r="114">
      <c r="C114" s="1"/>
      <c r="F114" s="2"/>
      <c r="G114" s="2"/>
      <c r="H114" s="2"/>
      <c r="K114" s="2"/>
      <c r="L114" s="2"/>
    </row>
    <row r="115">
      <c r="C115" s="1"/>
      <c r="F115" s="2"/>
      <c r="G115" s="2"/>
      <c r="H115" s="2"/>
      <c r="K115" s="2"/>
      <c r="L115" s="2"/>
    </row>
    <row r="116">
      <c r="C116" s="1"/>
      <c r="F116" s="2"/>
      <c r="G116" s="2"/>
      <c r="H116" s="2"/>
      <c r="K116" s="2"/>
      <c r="L116" s="2"/>
    </row>
    <row r="117">
      <c r="C117" s="1"/>
      <c r="F117" s="2"/>
      <c r="G117" s="2"/>
      <c r="H117" s="2"/>
      <c r="K117" s="2"/>
      <c r="L117" s="2"/>
    </row>
    <row r="118">
      <c r="C118" s="1"/>
      <c r="F118" s="2"/>
      <c r="G118" s="2"/>
      <c r="H118" s="2"/>
      <c r="K118" s="2"/>
      <c r="L118" s="2"/>
    </row>
    <row r="119">
      <c r="C119" s="1"/>
      <c r="F119" s="2"/>
      <c r="G119" s="2"/>
      <c r="H119" s="2"/>
      <c r="K119" s="2"/>
      <c r="L119" s="2"/>
    </row>
    <row r="120">
      <c r="C120" s="1"/>
      <c r="F120" s="2"/>
      <c r="G120" s="2"/>
      <c r="H120" s="2"/>
      <c r="K120" s="2"/>
      <c r="L120" s="2"/>
    </row>
    <row r="121">
      <c r="C121" s="1"/>
      <c r="F121" s="2"/>
      <c r="G121" s="2"/>
      <c r="H121" s="2"/>
      <c r="K121" s="2"/>
      <c r="L121" s="2"/>
    </row>
    <row r="122">
      <c r="C122" s="1"/>
      <c r="F122" s="2"/>
      <c r="G122" s="2"/>
      <c r="H122" s="2"/>
      <c r="K122" s="2"/>
      <c r="L122" s="2"/>
    </row>
    <row r="123">
      <c r="C123" s="1"/>
      <c r="F123" s="2"/>
      <c r="G123" s="2"/>
      <c r="H123" s="2"/>
      <c r="K123" s="2"/>
      <c r="L123" s="2"/>
    </row>
    <row r="124">
      <c r="C124" s="1"/>
      <c r="F124" s="2"/>
      <c r="G124" s="2"/>
      <c r="H124" s="2"/>
      <c r="K124" s="2"/>
      <c r="L124" s="2"/>
    </row>
    <row r="125">
      <c r="C125" s="1"/>
      <c r="F125" s="2"/>
      <c r="G125" s="2"/>
      <c r="H125" s="2"/>
      <c r="K125" s="2"/>
      <c r="L125" s="2"/>
    </row>
    <row r="126">
      <c r="C126" s="1"/>
      <c r="F126" s="2"/>
      <c r="G126" s="2"/>
      <c r="H126" s="2"/>
      <c r="K126" s="2"/>
      <c r="L126" s="2"/>
    </row>
    <row r="127">
      <c r="C127" s="1"/>
      <c r="F127" s="2"/>
      <c r="G127" s="2"/>
      <c r="H127" s="2"/>
      <c r="K127" s="2"/>
      <c r="L127" s="2"/>
    </row>
    <row r="128">
      <c r="C128" s="1"/>
      <c r="F128" s="2"/>
      <c r="G128" s="2"/>
      <c r="H128" s="2"/>
      <c r="K128" s="2"/>
      <c r="L128" s="2"/>
    </row>
    <row r="129">
      <c r="C129" s="1"/>
      <c r="F129" s="2"/>
      <c r="G129" s="2"/>
      <c r="H129" s="2"/>
      <c r="K129" s="2"/>
      <c r="L129" s="2"/>
    </row>
    <row r="130">
      <c r="C130" s="1"/>
      <c r="F130" s="2"/>
      <c r="G130" s="2"/>
      <c r="H130" s="2"/>
      <c r="K130" s="2"/>
      <c r="L130" s="2"/>
    </row>
    <row r="131">
      <c r="C131" s="1"/>
      <c r="F131" s="2"/>
      <c r="G131" s="2"/>
      <c r="H131" s="2"/>
      <c r="K131" s="2"/>
      <c r="L131" s="2"/>
    </row>
    <row r="132">
      <c r="C132" s="1"/>
      <c r="F132" s="2"/>
      <c r="G132" s="2"/>
      <c r="H132" s="2"/>
      <c r="K132" s="2"/>
      <c r="L132" s="2"/>
    </row>
    <row r="133">
      <c r="C133" s="1"/>
      <c r="F133" s="2"/>
      <c r="G133" s="2"/>
      <c r="H133" s="2"/>
      <c r="K133" s="2"/>
      <c r="L133" s="2"/>
    </row>
    <row r="134">
      <c r="C134" s="1"/>
      <c r="F134" s="2"/>
      <c r="G134" s="2"/>
      <c r="H134" s="2"/>
      <c r="K134" s="2"/>
      <c r="L134" s="2"/>
    </row>
    <row r="135">
      <c r="C135" s="1"/>
      <c r="F135" s="2"/>
      <c r="G135" s="2"/>
      <c r="H135" s="2"/>
      <c r="K135" s="2"/>
      <c r="L135" s="2"/>
    </row>
    <row r="136">
      <c r="C136" s="1"/>
      <c r="F136" s="2"/>
      <c r="G136" s="2"/>
      <c r="H136" s="2"/>
      <c r="K136" s="2"/>
      <c r="L136" s="2"/>
    </row>
    <row r="137">
      <c r="C137" s="1"/>
      <c r="F137" s="2"/>
      <c r="G137" s="2"/>
      <c r="H137" s="2"/>
      <c r="K137" s="2"/>
      <c r="L137" s="2"/>
    </row>
    <row r="138">
      <c r="C138" s="1"/>
      <c r="F138" s="2"/>
      <c r="G138" s="2"/>
      <c r="H138" s="2"/>
      <c r="K138" s="2"/>
      <c r="L138" s="2"/>
    </row>
    <row r="139">
      <c r="C139" s="1"/>
      <c r="F139" s="2"/>
      <c r="G139" s="2"/>
      <c r="H139" s="2"/>
      <c r="K139" s="2"/>
      <c r="L139" s="2"/>
    </row>
    <row r="140">
      <c r="C140" s="1"/>
      <c r="F140" s="2"/>
      <c r="G140" s="2"/>
      <c r="H140" s="2"/>
      <c r="K140" s="2"/>
      <c r="L140" s="2"/>
    </row>
    <row r="141">
      <c r="C141" s="1"/>
      <c r="F141" s="2"/>
      <c r="G141" s="2"/>
      <c r="H141" s="2"/>
      <c r="K141" s="2"/>
      <c r="L141" s="2"/>
    </row>
    <row r="142">
      <c r="C142" s="1"/>
      <c r="F142" s="2"/>
      <c r="G142" s="2"/>
      <c r="H142" s="2"/>
      <c r="K142" s="2"/>
      <c r="L142" s="2"/>
    </row>
    <row r="143">
      <c r="C143" s="1"/>
      <c r="F143" s="2"/>
      <c r="G143" s="2"/>
      <c r="H143" s="2"/>
      <c r="K143" s="2"/>
      <c r="L143" s="2"/>
    </row>
    <row r="144">
      <c r="C144" s="1"/>
      <c r="F144" s="2"/>
      <c r="G144" s="2"/>
      <c r="H144" s="2"/>
      <c r="K144" s="2"/>
      <c r="L144" s="2"/>
    </row>
    <row r="145">
      <c r="C145" s="1"/>
      <c r="F145" s="2"/>
      <c r="G145" s="2"/>
      <c r="H145" s="2"/>
      <c r="K145" s="2"/>
      <c r="L145" s="2"/>
    </row>
    <row r="146">
      <c r="C146" s="1"/>
      <c r="F146" s="2"/>
      <c r="G146" s="2"/>
      <c r="H146" s="2"/>
      <c r="K146" s="2"/>
      <c r="L146" s="2"/>
    </row>
    <row r="147">
      <c r="C147" s="1"/>
      <c r="F147" s="2"/>
      <c r="G147" s="2"/>
      <c r="H147" s="2"/>
      <c r="K147" s="2"/>
      <c r="L147" s="2"/>
    </row>
    <row r="148">
      <c r="C148" s="1"/>
      <c r="F148" s="2"/>
      <c r="G148" s="2"/>
      <c r="H148" s="2"/>
      <c r="K148" s="2"/>
      <c r="L148" s="2"/>
    </row>
    <row r="149">
      <c r="C149" s="1"/>
      <c r="F149" s="2"/>
      <c r="G149" s="2"/>
      <c r="H149" s="2"/>
      <c r="K149" s="2"/>
      <c r="L149" s="2"/>
    </row>
    <row r="150">
      <c r="C150" s="1"/>
      <c r="F150" s="2"/>
      <c r="G150" s="2"/>
      <c r="H150" s="2"/>
      <c r="K150" s="2"/>
      <c r="L150" s="2"/>
    </row>
    <row r="151">
      <c r="C151" s="1"/>
      <c r="F151" s="2"/>
      <c r="G151" s="2"/>
      <c r="H151" s="2"/>
      <c r="K151" s="2"/>
      <c r="L151" s="2"/>
    </row>
    <row r="152">
      <c r="C152" s="1"/>
      <c r="F152" s="2"/>
      <c r="G152" s="2"/>
      <c r="H152" s="2"/>
      <c r="K152" s="2"/>
      <c r="L152" s="2"/>
    </row>
    <row r="153">
      <c r="C153" s="1"/>
      <c r="F153" s="2"/>
      <c r="G153" s="2"/>
      <c r="H153" s="2"/>
      <c r="K153" s="2"/>
      <c r="L153" s="2"/>
    </row>
    <row r="154">
      <c r="C154" s="1"/>
      <c r="F154" s="2"/>
      <c r="G154" s="2"/>
      <c r="H154" s="2"/>
      <c r="K154" s="2"/>
      <c r="L154" s="2"/>
    </row>
    <row r="155">
      <c r="C155" s="1"/>
      <c r="F155" s="2"/>
      <c r="G155" s="2"/>
      <c r="H155" s="2"/>
      <c r="K155" s="2"/>
      <c r="L155" s="2"/>
    </row>
    <row r="156">
      <c r="C156" s="1"/>
      <c r="F156" s="2"/>
      <c r="G156" s="2"/>
      <c r="H156" s="2"/>
      <c r="K156" s="2"/>
      <c r="L156" s="2"/>
    </row>
    <row r="157">
      <c r="C157" s="1"/>
      <c r="F157" s="2"/>
      <c r="G157" s="2"/>
      <c r="H157" s="2"/>
      <c r="K157" s="2"/>
      <c r="L157" s="2"/>
    </row>
    <row r="158">
      <c r="C158" s="1"/>
      <c r="F158" s="2"/>
      <c r="G158" s="2"/>
      <c r="H158" s="2"/>
      <c r="K158" s="2"/>
      <c r="L158" s="2"/>
    </row>
    <row r="159">
      <c r="C159" s="1"/>
      <c r="F159" s="2"/>
      <c r="G159" s="2"/>
      <c r="H159" s="2"/>
      <c r="K159" s="2"/>
      <c r="L159" s="2"/>
    </row>
    <row r="160">
      <c r="C160" s="1"/>
      <c r="F160" s="2"/>
      <c r="G160" s="2"/>
      <c r="H160" s="2"/>
      <c r="K160" s="2"/>
      <c r="L160" s="2"/>
    </row>
    <row r="161">
      <c r="C161" s="1"/>
      <c r="F161" s="2"/>
      <c r="G161" s="2"/>
      <c r="H161" s="2"/>
      <c r="K161" s="2"/>
      <c r="L161" s="2"/>
    </row>
    <row r="162">
      <c r="C162" s="1"/>
      <c r="F162" s="2"/>
      <c r="G162" s="2"/>
      <c r="H162" s="2"/>
      <c r="K162" s="2"/>
      <c r="L162" s="2"/>
    </row>
    <row r="163">
      <c r="C163" s="1"/>
      <c r="F163" s="2"/>
      <c r="G163" s="2"/>
      <c r="H163" s="2"/>
      <c r="K163" s="2"/>
      <c r="L163" s="2"/>
    </row>
    <row r="164">
      <c r="C164" s="1"/>
      <c r="F164" s="2"/>
      <c r="G164" s="2"/>
      <c r="H164" s="2"/>
      <c r="K164" s="2"/>
      <c r="L164" s="2"/>
    </row>
    <row r="165">
      <c r="C165" s="1"/>
      <c r="F165" s="2"/>
      <c r="G165" s="2"/>
      <c r="H165" s="2"/>
      <c r="K165" s="2"/>
      <c r="L165" s="2"/>
    </row>
    <row r="166">
      <c r="C166" s="1"/>
      <c r="F166" s="2"/>
      <c r="G166" s="2"/>
      <c r="H166" s="2"/>
      <c r="K166" s="2"/>
      <c r="L166" s="2"/>
    </row>
    <row r="167">
      <c r="C167" s="1"/>
      <c r="F167" s="2"/>
      <c r="G167" s="2"/>
      <c r="H167" s="2"/>
      <c r="K167" s="2"/>
      <c r="L167" s="2"/>
    </row>
    <row r="168">
      <c r="C168" s="1"/>
      <c r="F168" s="2"/>
      <c r="G168" s="2"/>
      <c r="H168" s="2"/>
      <c r="K168" s="2"/>
      <c r="L168" s="2"/>
    </row>
    <row r="169">
      <c r="C169" s="1"/>
      <c r="F169" s="2"/>
      <c r="G169" s="2"/>
      <c r="H169" s="2"/>
      <c r="K169" s="2"/>
      <c r="L169" s="2"/>
    </row>
    <row r="170">
      <c r="C170" s="1"/>
      <c r="F170" s="2"/>
      <c r="G170" s="2"/>
      <c r="H170" s="2"/>
      <c r="K170" s="2"/>
      <c r="L170" s="2"/>
    </row>
    <row r="171">
      <c r="C171" s="1"/>
      <c r="F171" s="2"/>
      <c r="G171" s="2"/>
      <c r="H171" s="2"/>
      <c r="K171" s="2"/>
      <c r="L171" s="2"/>
    </row>
    <row r="172">
      <c r="C172" s="1"/>
      <c r="F172" s="2"/>
      <c r="G172" s="2"/>
      <c r="H172" s="2"/>
      <c r="K172" s="2"/>
      <c r="L172" s="2"/>
    </row>
    <row r="173">
      <c r="C173" s="1"/>
      <c r="F173" s="2"/>
      <c r="G173" s="2"/>
      <c r="H173" s="2"/>
      <c r="K173" s="2"/>
      <c r="L173" s="2"/>
    </row>
    <row r="174">
      <c r="C174" s="1"/>
      <c r="F174" s="2"/>
      <c r="G174" s="2"/>
      <c r="H174" s="2"/>
      <c r="K174" s="2"/>
      <c r="L174" s="2"/>
    </row>
    <row r="175">
      <c r="C175" s="1"/>
      <c r="F175" s="2"/>
      <c r="G175" s="2"/>
      <c r="H175" s="2"/>
      <c r="K175" s="2"/>
      <c r="L175" s="2"/>
    </row>
    <row r="176">
      <c r="C176" s="1"/>
      <c r="F176" s="2"/>
      <c r="G176" s="2"/>
      <c r="H176" s="2"/>
      <c r="K176" s="2"/>
      <c r="L176" s="2"/>
    </row>
    <row r="177">
      <c r="C177" s="1"/>
      <c r="F177" s="2"/>
      <c r="G177" s="2"/>
      <c r="H177" s="2"/>
      <c r="K177" s="2"/>
      <c r="L177" s="2"/>
    </row>
    <row r="178">
      <c r="C178" s="1"/>
      <c r="F178" s="2"/>
      <c r="G178" s="2"/>
      <c r="H178" s="2"/>
      <c r="K178" s="2"/>
      <c r="L178" s="2"/>
    </row>
    <row r="179">
      <c r="C179" s="1"/>
      <c r="F179" s="2"/>
      <c r="G179" s="2"/>
      <c r="H179" s="2"/>
      <c r="K179" s="2"/>
      <c r="L179" s="2"/>
    </row>
    <row r="180">
      <c r="C180" s="1"/>
      <c r="F180" s="2"/>
      <c r="G180" s="2"/>
      <c r="H180" s="2"/>
      <c r="K180" s="2"/>
      <c r="L180" s="2"/>
    </row>
    <row r="181">
      <c r="C181" s="1"/>
      <c r="F181" s="2"/>
      <c r="G181" s="2"/>
      <c r="H181" s="2"/>
      <c r="K181" s="2"/>
      <c r="L181" s="2"/>
    </row>
    <row r="182">
      <c r="C182" s="1"/>
      <c r="F182" s="2"/>
      <c r="G182" s="2"/>
      <c r="H182" s="2"/>
      <c r="K182" s="2"/>
      <c r="L182" s="2"/>
    </row>
    <row r="183">
      <c r="C183" s="1"/>
      <c r="F183" s="2"/>
      <c r="G183" s="2"/>
      <c r="H183" s="2"/>
      <c r="K183" s="2"/>
      <c r="L183" s="2"/>
    </row>
    <row r="184">
      <c r="C184" s="1"/>
      <c r="F184" s="2"/>
      <c r="G184" s="2"/>
      <c r="H184" s="2"/>
      <c r="K184" s="2"/>
      <c r="L184" s="2"/>
    </row>
    <row r="185">
      <c r="C185" s="1"/>
      <c r="F185" s="2"/>
      <c r="G185" s="2"/>
      <c r="H185" s="2"/>
      <c r="K185" s="2"/>
      <c r="L185" s="2"/>
    </row>
    <row r="186">
      <c r="C186" s="1"/>
      <c r="F186" s="2"/>
      <c r="G186" s="2"/>
      <c r="H186" s="2"/>
      <c r="K186" s="2"/>
      <c r="L186" s="2"/>
    </row>
    <row r="187">
      <c r="C187" s="1"/>
      <c r="F187" s="2"/>
      <c r="G187" s="2"/>
      <c r="H187" s="2"/>
      <c r="K187" s="2"/>
      <c r="L187" s="2"/>
    </row>
    <row r="188">
      <c r="C188" s="1"/>
      <c r="F188" s="2"/>
      <c r="G188" s="2"/>
      <c r="H188" s="2"/>
      <c r="K188" s="2"/>
      <c r="L188" s="2"/>
    </row>
    <row r="189">
      <c r="C189" s="1"/>
      <c r="F189" s="2"/>
      <c r="G189" s="2"/>
      <c r="H189" s="2"/>
      <c r="K189" s="2"/>
      <c r="L189" s="2"/>
    </row>
    <row r="190">
      <c r="C190" s="1"/>
      <c r="F190" s="2"/>
      <c r="G190" s="2"/>
      <c r="H190" s="2"/>
      <c r="K190" s="2"/>
      <c r="L190" s="2"/>
    </row>
    <row r="191">
      <c r="C191" s="1"/>
      <c r="F191" s="2"/>
      <c r="G191" s="2"/>
      <c r="H191" s="2"/>
      <c r="K191" s="2"/>
      <c r="L191" s="2"/>
    </row>
    <row r="192">
      <c r="C192" s="1"/>
      <c r="F192" s="2"/>
      <c r="G192" s="2"/>
      <c r="H192" s="2"/>
      <c r="K192" s="2"/>
      <c r="L192" s="2"/>
    </row>
    <row r="193">
      <c r="C193" s="1"/>
      <c r="F193" s="2"/>
      <c r="G193" s="2"/>
      <c r="H193" s="2"/>
      <c r="K193" s="2"/>
      <c r="L193" s="2"/>
    </row>
    <row r="194">
      <c r="C194" s="1"/>
      <c r="F194" s="2"/>
      <c r="G194" s="2"/>
      <c r="H194" s="2"/>
      <c r="K194" s="2"/>
      <c r="L194" s="2"/>
    </row>
    <row r="195">
      <c r="C195" s="1"/>
      <c r="F195" s="2"/>
      <c r="G195" s="2"/>
      <c r="H195" s="2"/>
      <c r="K195" s="2"/>
      <c r="L195" s="2"/>
    </row>
    <row r="196">
      <c r="C196" s="1"/>
      <c r="F196" s="2"/>
      <c r="G196" s="2"/>
      <c r="H196" s="2"/>
      <c r="K196" s="2"/>
      <c r="L196" s="2"/>
    </row>
    <row r="197">
      <c r="C197" s="1"/>
      <c r="F197" s="2"/>
      <c r="G197" s="2"/>
      <c r="H197" s="2"/>
      <c r="K197" s="2"/>
      <c r="L197" s="2"/>
    </row>
    <row r="198">
      <c r="C198" s="1"/>
      <c r="F198" s="2"/>
      <c r="G198" s="2"/>
      <c r="H198" s="2"/>
      <c r="K198" s="2"/>
      <c r="L198" s="2"/>
    </row>
    <row r="199">
      <c r="C199" s="1"/>
      <c r="F199" s="2"/>
      <c r="G199" s="2"/>
      <c r="H199" s="2"/>
      <c r="K199" s="2"/>
      <c r="L199" s="2"/>
    </row>
    <row r="200">
      <c r="C200" s="1"/>
      <c r="F200" s="2"/>
      <c r="G200" s="2"/>
      <c r="H200" s="2"/>
      <c r="K200" s="2"/>
      <c r="L200" s="2"/>
    </row>
    <row r="201">
      <c r="C201" s="1"/>
      <c r="F201" s="2"/>
      <c r="G201" s="2"/>
      <c r="H201" s="2"/>
      <c r="K201" s="2"/>
      <c r="L201" s="2"/>
    </row>
    <row r="202">
      <c r="C202" s="1"/>
      <c r="F202" s="2"/>
      <c r="G202" s="2"/>
      <c r="H202" s="2"/>
      <c r="K202" s="2"/>
      <c r="L202" s="2"/>
    </row>
    <row r="203">
      <c r="C203" s="1"/>
      <c r="F203" s="2"/>
      <c r="G203" s="2"/>
      <c r="H203" s="2"/>
      <c r="K203" s="2"/>
      <c r="L203" s="2"/>
    </row>
    <row r="204">
      <c r="C204" s="1"/>
      <c r="F204" s="2"/>
      <c r="G204" s="2"/>
      <c r="H204" s="2"/>
      <c r="K204" s="2"/>
      <c r="L204" s="2"/>
    </row>
    <row r="205">
      <c r="C205" s="1"/>
      <c r="F205" s="2"/>
      <c r="G205" s="2"/>
      <c r="H205" s="2"/>
      <c r="K205" s="2"/>
      <c r="L205" s="2"/>
    </row>
    <row r="206">
      <c r="C206" s="1"/>
      <c r="F206" s="2"/>
      <c r="G206" s="2"/>
      <c r="H206" s="2"/>
      <c r="K206" s="2"/>
      <c r="L206" s="2"/>
    </row>
    <row r="207">
      <c r="C207" s="1"/>
      <c r="F207" s="2"/>
      <c r="G207" s="2"/>
      <c r="H207" s="2"/>
      <c r="K207" s="2"/>
      <c r="L207" s="2"/>
    </row>
    <row r="208">
      <c r="C208" s="1"/>
      <c r="F208" s="2"/>
      <c r="G208" s="2"/>
      <c r="H208" s="2"/>
      <c r="K208" s="2"/>
      <c r="L208" s="2"/>
    </row>
    <row r="209">
      <c r="C209" s="1"/>
      <c r="F209" s="2"/>
      <c r="G209" s="2"/>
      <c r="H209" s="2"/>
      <c r="K209" s="2"/>
      <c r="L209" s="2"/>
    </row>
    <row r="210">
      <c r="C210" s="1"/>
      <c r="F210" s="2"/>
      <c r="G210" s="2"/>
      <c r="H210" s="2"/>
      <c r="K210" s="2"/>
      <c r="L210" s="2"/>
    </row>
    <row r="211">
      <c r="C211" s="1"/>
      <c r="F211" s="2"/>
      <c r="G211" s="2"/>
      <c r="H211" s="2"/>
      <c r="K211" s="2"/>
      <c r="L211" s="2"/>
    </row>
    <row r="212">
      <c r="C212" s="1"/>
      <c r="F212" s="2"/>
      <c r="G212" s="2"/>
      <c r="H212" s="2"/>
      <c r="K212" s="2"/>
      <c r="L212" s="2"/>
    </row>
    <row r="213">
      <c r="C213" s="1"/>
      <c r="F213" s="2"/>
      <c r="G213" s="2"/>
      <c r="H213" s="2"/>
      <c r="K213" s="2"/>
      <c r="L213" s="2"/>
    </row>
    <row r="214">
      <c r="C214" s="1"/>
      <c r="F214" s="2"/>
      <c r="G214" s="2"/>
      <c r="H214" s="2"/>
      <c r="K214" s="2"/>
      <c r="L214" s="2"/>
    </row>
    <row r="215">
      <c r="C215" s="1"/>
      <c r="F215" s="2"/>
      <c r="G215" s="2"/>
      <c r="H215" s="2"/>
      <c r="K215" s="2"/>
      <c r="L215" s="2"/>
    </row>
    <row r="216">
      <c r="C216" s="1"/>
      <c r="F216" s="2"/>
      <c r="G216" s="2"/>
      <c r="H216" s="2"/>
      <c r="K216" s="2"/>
      <c r="L216" s="2"/>
    </row>
    <row r="217">
      <c r="C217" s="1"/>
      <c r="F217" s="2"/>
      <c r="G217" s="2"/>
      <c r="H217" s="2"/>
      <c r="K217" s="2"/>
      <c r="L217" s="2"/>
    </row>
    <row r="218">
      <c r="C218" s="1"/>
      <c r="F218" s="2"/>
      <c r="G218" s="2"/>
      <c r="H218" s="2"/>
      <c r="K218" s="2"/>
      <c r="L218" s="2"/>
    </row>
    <row r="219">
      <c r="C219" s="1"/>
      <c r="F219" s="2"/>
      <c r="G219" s="2"/>
      <c r="H219" s="2"/>
      <c r="K219" s="2"/>
      <c r="L219" s="2"/>
    </row>
    <row r="220">
      <c r="C220" s="1"/>
      <c r="F220" s="2"/>
      <c r="G220" s="2"/>
      <c r="H220" s="2"/>
      <c r="K220" s="2"/>
      <c r="L220" s="2"/>
    </row>
    <row r="221">
      <c r="C221" s="1"/>
      <c r="F221" s="2"/>
      <c r="G221" s="2"/>
      <c r="H221" s="2"/>
      <c r="K221" s="2"/>
      <c r="L221" s="2"/>
    </row>
    <row r="222">
      <c r="C222" s="1"/>
      <c r="F222" s="2"/>
      <c r="G222" s="2"/>
      <c r="H222" s="2"/>
      <c r="K222" s="2"/>
      <c r="L222" s="2"/>
    </row>
    <row r="223">
      <c r="C223" s="1"/>
      <c r="F223" s="2"/>
      <c r="G223" s="2"/>
      <c r="H223" s="2"/>
      <c r="K223" s="2"/>
      <c r="L223" s="2"/>
    </row>
    <row r="224">
      <c r="C224" s="1"/>
      <c r="F224" s="2"/>
      <c r="G224" s="2"/>
      <c r="H224" s="2"/>
      <c r="K224" s="2"/>
      <c r="L224" s="2"/>
    </row>
    <row r="225">
      <c r="C225" s="1"/>
      <c r="F225" s="2"/>
      <c r="G225" s="2"/>
      <c r="H225" s="2"/>
      <c r="K225" s="2"/>
      <c r="L225" s="2"/>
    </row>
    <row r="226">
      <c r="C226" s="1"/>
      <c r="F226" s="2"/>
      <c r="G226" s="2"/>
      <c r="H226" s="2"/>
      <c r="K226" s="2"/>
      <c r="L226" s="2"/>
    </row>
    <row r="227">
      <c r="C227" s="1"/>
      <c r="F227" s="2"/>
      <c r="G227" s="2"/>
      <c r="H227" s="2"/>
      <c r="K227" s="2"/>
      <c r="L227" s="2"/>
    </row>
    <row r="228">
      <c r="C228" s="1"/>
      <c r="F228" s="2"/>
      <c r="G228" s="2"/>
      <c r="H228" s="2"/>
      <c r="K228" s="2"/>
      <c r="L228" s="2"/>
    </row>
    <row r="229">
      <c r="C229" s="1"/>
      <c r="F229" s="2"/>
      <c r="G229" s="2"/>
      <c r="H229" s="2"/>
      <c r="K229" s="2"/>
      <c r="L229" s="2"/>
    </row>
    <row r="230">
      <c r="C230" s="1"/>
      <c r="F230" s="2"/>
      <c r="G230" s="2"/>
      <c r="H230" s="2"/>
      <c r="K230" s="2"/>
      <c r="L230" s="2"/>
    </row>
    <row r="231">
      <c r="C231" s="1"/>
      <c r="F231" s="2"/>
      <c r="G231" s="2"/>
      <c r="H231" s="2"/>
      <c r="K231" s="2"/>
      <c r="L231" s="2"/>
    </row>
    <row r="232">
      <c r="C232" s="1"/>
      <c r="F232" s="2"/>
      <c r="G232" s="2"/>
      <c r="H232" s="2"/>
      <c r="K232" s="2"/>
      <c r="L232" s="2"/>
    </row>
    <row r="233">
      <c r="C233" s="1"/>
      <c r="F233" s="2"/>
      <c r="G233" s="2"/>
      <c r="H233" s="2"/>
      <c r="K233" s="2"/>
      <c r="L233" s="2"/>
    </row>
    <row r="234">
      <c r="C234" s="1"/>
      <c r="F234" s="2"/>
      <c r="G234" s="2"/>
      <c r="H234" s="2"/>
      <c r="K234" s="2"/>
      <c r="L234" s="2"/>
    </row>
    <row r="235">
      <c r="C235" s="1"/>
      <c r="F235" s="2"/>
      <c r="G235" s="2"/>
      <c r="H235" s="2"/>
      <c r="K235" s="2"/>
      <c r="L235" s="2"/>
    </row>
    <row r="236">
      <c r="C236" s="1"/>
      <c r="F236" s="2"/>
      <c r="G236" s="2"/>
      <c r="H236" s="2"/>
      <c r="K236" s="2"/>
      <c r="L236" s="2"/>
    </row>
    <row r="237">
      <c r="C237" s="1"/>
      <c r="F237" s="2"/>
      <c r="G237" s="2"/>
      <c r="H237" s="2"/>
      <c r="K237" s="2"/>
      <c r="L237" s="2"/>
    </row>
    <row r="238">
      <c r="C238" s="1"/>
      <c r="F238" s="2"/>
      <c r="G238" s="2"/>
      <c r="H238" s="2"/>
      <c r="K238" s="2"/>
      <c r="L238" s="2"/>
    </row>
    <row r="239">
      <c r="C239" s="1"/>
      <c r="F239" s="2"/>
      <c r="G239" s="2"/>
      <c r="H239" s="2"/>
      <c r="K239" s="2"/>
      <c r="L239" s="2"/>
    </row>
    <row r="240">
      <c r="C240" s="1"/>
      <c r="F240" s="2"/>
      <c r="G240" s="2"/>
      <c r="H240" s="2"/>
      <c r="K240" s="2"/>
      <c r="L240" s="2"/>
    </row>
    <row r="241">
      <c r="C241" s="1"/>
      <c r="F241" s="2"/>
      <c r="G241" s="2"/>
      <c r="H241" s="2"/>
      <c r="K241" s="2"/>
      <c r="L241" s="2"/>
    </row>
    <row r="242">
      <c r="C242" s="1"/>
      <c r="F242" s="2"/>
      <c r="G242" s="2"/>
      <c r="H242" s="2"/>
      <c r="K242" s="2"/>
      <c r="L242" s="2"/>
    </row>
    <row r="243">
      <c r="C243" s="1"/>
      <c r="F243" s="2"/>
      <c r="G243" s="2"/>
      <c r="H243" s="2"/>
      <c r="K243" s="2"/>
      <c r="L243" s="2"/>
    </row>
    <row r="244">
      <c r="C244" s="1"/>
      <c r="F244" s="2"/>
      <c r="G244" s="2"/>
      <c r="H244" s="2"/>
      <c r="K244" s="2"/>
      <c r="L244" s="2"/>
    </row>
    <row r="245">
      <c r="C245" s="1"/>
      <c r="F245" s="2"/>
      <c r="G245" s="2"/>
      <c r="H245" s="2"/>
      <c r="K245" s="2"/>
      <c r="L245" s="2"/>
    </row>
    <row r="246">
      <c r="C246" s="1"/>
      <c r="F246" s="2"/>
      <c r="G246" s="2"/>
      <c r="H246" s="2"/>
      <c r="K246" s="2"/>
      <c r="L246" s="2"/>
    </row>
    <row r="247">
      <c r="C247" s="1"/>
      <c r="F247" s="2"/>
      <c r="G247" s="2"/>
      <c r="H247" s="2"/>
      <c r="K247" s="2"/>
      <c r="L247" s="2"/>
    </row>
    <row r="248">
      <c r="C248" s="1"/>
      <c r="F248" s="2"/>
      <c r="G248" s="2"/>
      <c r="H248" s="2"/>
      <c r="K248" s="2"/>
      <c r="L248" s="2"/>
    </row>
    <row r="249">
      <c r="C249" s="1"/>
      <c r="F249" s="2"/>
      <c r="G249" s="2"/>
      <c r="H249" s="2"/>
      <c r="K249" s="2"/>
      <c r="L249" s="2"/>
    </row>
    <row r="250">
      <c r="C250" s="1"/>
      <c r="F250" s="2"/>
      <c r="G250" s="2"/>
      <c r="H250" s="2"/>
      <c r="K250" s="2"/>
      <c r="L250" s="2"/>
    </row>
    <row r="251">
      <c r="C251" s="1"/>
      <c r="F251" s="2"/>
      <c r="G251" s="2"/>
      <c r="H251" s="2"/>
      <c r="K251" s="2"/>
      <c r="L251" s="2"/>
    </row>
    <row r="252">
      <c r="C252" s="1"/>
      <c r="F252" s="2"/>
      <c r="G252" s="2"/>
      <c r="H252" s="2"/>
      <c r="K252" s="2"/>
      <c r="L252" s="2"/>
    </row>
    <row r="253">
      <c r="C253" s="1"/>
      <c r="F253" s="2"/>
      <c r="G253" s="2"/>
      <c r="H253" s="2"/>
      <c r="K253" s="2"/>
      <c r="L253" s="2"/>
    </row>
    <row r="254">
      <c r="C254" s="1"/>
      <c r="F254" s="2"/>
      <c r="G254" s="2"/>
      <c r="H254" s="2"/>
      <c r="K254" s="2"/>
      <c r="L254" s="2"/>
    </row>
    <row r="255">
      <c r="C255" s="1"/>
      <c r="F255" s="2"/>
      <c r="G255" s="2"/>
      <c r="H255" s="2"/>
      <c r="K255" s="2"/>
      <c r="L255" s="2"/>
    </row>
    <row r="256">
      <c r="C256" s="1"/>
      <c r="F256" s="2"/>
      <c r="G256" s="2"/>
      <c r="H256" s="2"/>
      <c r="K256" s="2"/>
      <c r="L256" s="2"/>
    </row>
    <row r="257">
      <c r="C257" s="1"/>
      <c r="F257" s="2"/>
      <c r="G257" s="2"/>
      <c r="H257" s="2"/>
      <c r="K257" s="2"/>
      <c r="L257" s="2"/>
    </row>
    <row r="258">
      <c r="C258" s="1"/>
      <c r="F258" s="2"/>
      <c r="G258" s="2"/>
      <c r="H258" s="2"/>
      <c r="K258" s="2"/>
      <c r="L258" s="2"/>
    </row>
    <row r="259">
      <c r="C259" s="1"/>
      <c r="F259" s="2"/>
      <c r="G259" s="2"/>
      <c r="H259" s="2"/>
      <c r="K259" s="2"/>
      <c r="L259" s="2"/>
    </row>
    <row r="260">
      <c r="C260" s="1"/>
      <c r="F260" s="2"/>
      <c r="G260" s="2"/>
      <c r="H260" s="2"/>
      <c r="K260" s="2"/>
      <c r="L260" s="2"/>
    </row>
    <row r="261">
      <c r="C261" s="1"/>
      <c r="F261" s="2"/>
      <c r="G261" s="2"/>
      <c r="H261" s="2"/>
      <c r="K261" s="2"/>
      <c r="L261" s="2"/>
    </row>
    <row r="262">
      <c r="C262" s="1"/>
      <c r="F262" s="2"/>
      <c r="G262" s="2"/>
      <c r="H262" s="2"/>
      <c r="K262" s="2"/>
      <c r="L262" s="2"/>
    </row>
    <row r="263">
      <c r="C263" s="1"/>
      <c r="F263" s="2"/>
      <c r="G263" s="2"/>
      <c r="H263" s="2"/>
      <c r="K263" s="2"/>
      <c r="L263" s="2"/>
    </row>
    <row r="264">
      <c r="C264" s="1"/>
      <c r="F264" s="2"/>
      <c r="G264" s="2"/>
      <c r="H264" s="2"/>
      <c r="K264" s="2"/>
      <c r="L264" s="2"/>
    </row>
    <row r="265">
      <c r="C265" s="1"/>
      <c r="F265" s="2"/>
      <c r="G265" s="2"/>
      <c r="H265" s="2"/>
      <c r="K265" s="2"/>
      <c r="L265" s="2"/>
    </row>
    <row r="266">
      <c r="C266" s="1"/>
      <c r="F266" s="2"/>
      <c r="G266" s="2"/>
      <c r="H266" s="2"/>
      <c r="K266" s="2"/>
      <c r="L266" s="2"/>
    </row>
    <row r="267">
      <c r="C267" s="1"/>
      <c r="F267" s="2"/>
      <c r="G267" s="2"/>
      <c r="H267" s="2"/>
      <c r="K267" s="2"/>
      <c r="L267" s="2"/>
    </row>
    <row r="268">
      <c r="C268" s="1"/>
      <c r="F268" s="2"/>
      <c r="G268" s="2"/>
      <c r="H268" s="2"/>
      <c r="K268" s="2"/>
      <c r="L268" s="2"/>
    </row>
    <row r="269">
      <c r="C269" s="1"/>
      <c r="F269" s="2"/>
      <c r="G269" s="2"/>
      <c r="H269" s="2"/>
      <c r="K269" s="2"/>
      <c r="L269" s="2"/>
    </row>
    <row r="270">
      <c r="C270" s="1"/>
      <c r="F270" s="2"/>
      <c r="G270" s="2"/>
      <c r="H270" s="2"/>
      <c r="K270" s="2"/>
      <c r="L270" s="2"/>
    </row>
    <row r="271">
      <c r="C271" s="1"/>
      <c r="F271" s="2"/>
      <c r="G271" s="2"/>
      <c r="H271" s="2"/>
      <c r="K271" s="2"/>
      <c r="L271" s="2"/>
    </row>
    <row r="272">
      <c r="C272" s="1"/>
      <c r="F272" s="2"/>
      <c r="G272" s="2"/>
      <c r="H272" s="2"/>
      <c r="K272" s="2"/>
      <c r="L272" s="2"/>
    </row>
    <row r="273">
      <c r="C273" s="1"/>
      <c r="F273" s="2"/>
      <c r="G273" s="2"/>
      <c r="H273" s="2"/>
      <c r="K273" s="2"/>
      <c r="L273" s="2"/>
    </row>
    <row r="274">
      <c r="C274" s="1"/>
      <c r="F274" s="2"/>
      <c r="G274" s="2"/>
      <c r="H274" s="2"/>
      <c r="K274" s="2"/>
      <c r="L274" s="2"/>
    </row>
    <row r="275">
      <c r="C275" s="1"/>
      <c r="F275" s="2"/>
      <c r="G275" s="2"/>
      <c r="H275" s="2"/>
      <c r="K275" s="2"/>
      <c r="L275" s="2"/>
    </row>
    <row r="276">
      <c r="C276" s="1"/>
      <c r="F276" s="2"/>
      <c r="G276" s="2"/>
      <c r="H276" s="2"/>
      <c r="K276" s="2"/>
      <c r="L276" s="2"/>
    </row>
    <row r="277">
      <c r="C277" s="1"/>
      <c r="F277" s="2"/>
      <c r="G277" s="2"/>
      <c r="H277" s="2"/>
      <c r="K277" s="2"/>
      <c r="L277" s="2"/>
    </row>
    <row r="278">
      <c r="C278" s="1"/>
      <c r="F278" s="2"/>
      <c r="G278" s="2"/>
      <c r="H278" s="2"/>
      <c r="K278" s="2"/>
      <c r="L278" s="2"/>
    </row>
    <row r="279">
      <c r="C279" s="1"/>
      <c r="F279" s="2"/>
      <c r="G279" s="2"/>
      <c r="H279" s="2"/>
      <c r="K279" s="2"/>
      <c r="L279" s="2"/>
    </row>
    <row r="280">
      <c r="C280" s="1"/>
      <c r="F280" s="2"/>
      <c r="G280" s="2"/>
      <c r="H280" s="2"/>
      <c r="K280" s="2"/>
      <c r="L280" s="2"/>
    </row>
    <row r="281">
      <c r="C281" s="1"/>
      <c r="F281" s="2"/>
      <c r="G281" s="2"/>
      <c r="H281" s="2"/>
      <c r="K281" s="2"/>
      <c r="L281" s="2"/>
    </row>
    <row r="282">
      <c r="C282" s="1"/>
      <c r="F282" s="2"/>
      <c r="G282" s="2"/>
      <c r="H282" s="2"/>
      <c r="K282" s="2"/>
      <c r="L282" s="2"/>
    </row>
    <row r="283">
      <c r="C283" s="1"/>
      <c r="F283" s="2"/>
      <c r="G283" s="2"/>
      <c r="H283" s="2"/>
      <c r="K283" s="2"/>
      <c r="L283" s="2"/>
    </row>
    <row r="284">
      <c r="C284" s="1"/>
      <c r="F284" s="2"/>
      <c r="G284" s="2"/>
      <c r="H284" s="2"/>
      <c r="K284" s="2"/>
      <c r="L284" s="2"/>
    </row>
    <row r="285">
      <c r="C285" s="1"/>
      <c r="F285" s="2"/>
      <c r="G285" s="2"/>
      <c r="H285" s="2"/>
      <c r="K285" s="2"/>
      <c r="L285" s="2"/>
    </row>
    <row r="286">
      <c r="C286" s="1"/>
      <c r="F286" s="2"/>
      <c r="G286" s="2"/>
      <c r="H286" s="2"/>
      <c r="K286" s="2"/>
      <c r="L286" s="2"/>
    </row>
    <row r="287">
      <c r="C287" s="1"/>
      <c r="F287" s="2"/>
      <c r="G287" s="2"/>
      <c r="H287" s="2"/>
      <c r="K287" s="2"/>
      <c r="L287" s="2"/>
    </row>
    <row r="288">
      <c r="C288" s="1"/>
      <c r="F288" s="2"/>
      <c r="G288" s="2"/>
      <c r="H288" s="2"/>
      <c r="K288" s="2"/>
      <c r="L288" s="2"/>
    </row>
    <row r="289">
      <c r="C289" s="1"/>
      <c r="F289" s="2"/>
      <c r="G289" s="2"/>
      <c r="H289" s="2"/>
      <c r="K289" s="2"/>
      <c r="L289" s="2"/>
    </row>
    <row r="290">
      <c r="C290" s="1"/>
      <c r="F290" s="2"/>
      <c r="G290" s="2"/>
      <c r="H290" s="2"/>
      <c r="K290" s="2"/>
      <c r="L290" s="2"/>
    </row>
    <row r="291">
      <c r="C291" s="1"/>
      <c r="F291" s="2"/>
      <c r="G291" s="2"/>
      <c r="H291" s="2"/>
      <c r="K291" s="2"/>
      <c r="L291" s="2"/>
    </row>
    <row r="292">
      <c r="C292" s="1"/>
      <c r="F292" s="2"/>
      <c r="G292" s="2"/>
      <c r="H292" s="2"/>
      <c r="K292" s="2"/>
      <c r="L292" s="2"/>
    </row>
    <row r="293">
      <c r="C293" s="1"/>
      <c r="F293" s="2"/>
      <c r="G293" s="2"/>
      <c r="H293" s="2"/>
      <c r="K293" s="2"/>
      <c r="L293" s="2"/>
    </row>
    <row r="294">
      <c r="C294" s="1"/>
      <c r="F294" s="2"/>
      <c r="G294" s="2"/>
      <c r="H294" s="2"/>
      <c r="K294" s="2"/>
      <c r="L294" s="2"/>
    </row>
    <row r="295">
      <c r="C295" s="1"/>
      <c r="F295" s="2"/>
      <c r="G295" s="2"/>
      <c r="H295" s="2"/>
      <c r="K295" s="2"/>
      <c r="L295" s="2"/>
    </row>
    <row r="296">
      <c r="C296" s="1"/>
      <c r="F296" s="2"/>
      <c r="G296" s="2"/>
      <c r="H296" s="2"/>
      <c r="K296" s="2"/>
      <c r="L296" s="2"/>
    </row>
    <row r="297">
      <c r="C297" s="1"/>
      <c r="F297" s="2"/>
      <c r="G297" s="2"/>
      <c r="H297" s="2"/>
      <c r="K297" s="2"/>
      <c r="L297" s="2"/>
    </row>
    <row r="298">
      <c r="C298" s="1"/>
      <c r="F298" s="2"/>
      <c r="G298" s="2"/>
      <c r="H298" s="2"/>
      <c r="K298" s="2"/>
      <c r="L298" s="2"/>
    </row>
    <row r="299">
      <c r="C299" s="1"/>
      <c r="F299" s="2"/>
      <c r="G299" s="2"/>
      <c r="H299" s="2"/>
      <c r="K299" s="2"/>
      <c r="L299" s="2"/>
    </row>
    <row r="300">
      <c r="C300" s="1"/>
      <c r="F300" s="2"/>
      <c r="G300" s="2"/>
      <c r="H300" s="2"/>
      <c r="K300" s="2"/>
      <c r="L300" s="2"/>
    </row>
    <row r="301">
      <c r="C301" s="1"/>
      <c r="F301" s="2"/>
      <c r="G301" s="2"/>
      <c r="H301" s="2"/>
      <c r="K301" s="2"/>
      <c r="L301" s="2"/>
    </row>
    <row r="302">
      <c r="C302" s="1"/>
      <c r="F302" s="2"/>
      <c r="G302" s="2"/>
      <c r="H302" s="2"/>
      <c r="K302" s="2"/>
      <c r="L302" s="2"/>
    </row>
    <row r="303">
      <c r="C303" s="1"/>
      <c r="F303" s="2"/>
      <c r="G303" s="2"/>
      <c r="H303" s="2"/>
      <c r="K303" s="2"/>
      <c r="L303" s="2"/>
    </row>
    <row r="304">
      <c r="C304" s="1"/>
      <c r="F304" s="2"/>
      <c r="G304" s="2"/>
      <c r="H304" s="2"/>
      <c r="K304" s="2"/>
      <c r="L304" s="2"/>
    </row>
    <row r="305">
      <c r="C305" s="1"/>
      <c r="F305" s="2"/>
      <c r="G305" s="2"/>
      <c r="H305" s="2"/>
      <c r="K305" s="2"/>
      <c r="L305" s="2"/>
    </row>
    <row r="306">
      <c r="C306" s="1"/>
      <c r="F306" s="2"/>
      <c r="G306" s="2"/>
      <c r="H306" s="2"/>
      <c r="K306" s="2"/>
      <c r="L306" s="2"/>
    </row>
    <row r="307">
      <c r="C307" s="1"/>
      <c r="F307" s="2"/>
      <c r="G307" s="2"/>
      <c r="H307" s="2"/>
      <c r="K307" s="2"/>
      <c r="L307" s="2"/>
    </row>
    <row r="308">
      <c r="C308" s="1"/>
      <c r="F308" s="2"/>
      <c r="G308" s="2"/>
      <c r="H308" s="2"/>
      <c r="K308" s="2"/>
      <c r="L308" s="2"/>
    </row>
    <row r="309">
      <c r="C309" s="1"/>
      <c r="F309" s="2"/>
      <c r="G309" s="2"/>
      <c r="H309" s="2"/>
      <c r="K309" s="2"/>
      <c r="L309" s="2"/>
    </row>
    <row r="310">
      <c r="C310" s="1"/>
      <c r="F310" s="2"/>
      <c r="G310" s="2"/>
      <c r="H310" s="2"/>
      <c r="K310" s="2"/>
      <c r="L310" s="2"/>
    </row>
    <row r="311">
      <c r="C311" s="1"/>
      <c r="F311" s="2"/>
      <c r="G311" s="2"/>
      <c r="H311" s="2"/>
      <c r="K311" s="2"/>
      <c r="L311" s="2"/>
    </row>
    <row r="312">
      <c r="C312" s="1"/>
      <c r="F312" s="2"/>
      <c r="G312" s="2"/>
      <c r="H312" s="2"/>
      <c r="K312" s="2"/>
      <c r="L312" s="2"/>
    </row>
    <row r="313">
      <c r="C313" s="1"/>
      <c r="F313" s="2"/>
      <c r="G313" s="2"/>
      <c r="H313" s="2"/>
      <c r="K313" s="2"/>
      <c r="L313" s="2"/>
    </row>
    <row r="314">
      <c r="C314" s="1"/>
      <c r="F314" s="2"/>
      <c r="G314" s="2"/>
      <c r="H314" s="2"/>
      <c r="K314" s="2"/>
      <c r="L314" s="2"/>
    </row>
    <row r="315">
      <c r="C315" s="1"/>
      <c r="F315" s="2"/>
      <c r="G315" s="2"/>
      <c r="H315" s="2"/>
      <c r="K315" s="2"/>
      <c r="L315" s="2"/>
    </row>
    <row r="316">
      <c r="C316" s="1"/>
      <c r="F316" s="2"/>
      <c r="G316" s="2"/>
      <c r="H316" s="2"/>
      <c r="K316" s="2"/>
      <c r="L316" s="2"/>
    </row>
    <row r="317">
      <c r="C317" s="1"/>
      <c r="F317" s="2"/>
      <c r="G317" s="2"/>
      <c r="H317" s="2"/>
      <c r="K317" s="2"/>
      <c r="L317" s="2"/>
    </row>
    <row r="318">
      <c r="C318" s="1"/>
      <c r="F318" s="2"/>
      <c r="G318" s="2"/>
      <c r="H318" s="2"/>
      <c r="K318" s="2"/>
      <c r="L318" s="2"/>
    </row>
    <row r="319">
      <c r="C319" s="1"/>
      <c r="F319" s="2"/>
      <c r="G319" s="2"/>
      <c r="H319" s="2"/>
      <c r="K319" s="2"/>
      <c r="L319" s="2"/>
    </row>
    <row r="320">
      <c r="C320" s="1"/>
      <c r="F320" s="2"/>
      <c r="G320" s="2"/>
      <c r="H320" s="2"/>
      <c r="K320" s="2"/>
      <c r="L320" s="2"/>
    </row>
    <row r="321">
      <c r="C321" s="1"/>
      <c r="F321" s="2"/>
      <c r="G321" s="2"/>
      <c r="H321" s="2"/>
      <c r="K321" s="2"/>
      <c r="L321" s="2"/>
    </row>
    <row r="322">
      <c r="C322" s="1"/>
      <c r="F322" s="2"/>
      <c r="G322" s="2"/>
      <c r="H322" s="2"/>
      <c r="K322" s="2"/>
      <c r="L322" s="2"/>
    </row>
    <row r="323">
      <c r="C323" s="1"/>
      <c r="F323" s="2"/>
      <c r="G323" s="2"/>
      <c r="H323" s="2"/>
      <c r="K323" s="2"/>
      <c r="L323" s="2"/>
    </row>
    <row r="324">
      <c r="C324" s="1"/>
      <c r="F324" s="2"/>
      <c r="G324" s="2"/>
      <c r="H324" s="2"/>
      <c r="K324" s="2"/>
      <c r="L324" s="2"/>
    </row>
    <row r="325">
      <c r="C325" s="1"/>
      <c r="F325" s="2"/>
      <c r="G325" s="2"/>
      <c r="H325" s="2"/>
      <c r="K325" s="2"/>
      <c r="L325" s="2"/>
    </row>
    <row r="326">
      <c r="C326" s="1"/>
      <c r="F326" s="2"/>
      <c r="G326" s="2"/>
      <c r="H326" s="2"/>
      <c r="K326" s="2"/>
      <c r="L326" s="2"/>
    </row>
    <row r="327">
      <c r="C327" s="1"/>
      <c r="F327" s="2"/>
      <c r="G327" s="2"/>
      <c r="H327" s="2"/>
      <c r="K327" s="2"/>
      <c r="L327" s="2"/>
    </row>
    <row r="328">
      <c r="C328" s="1"/>
      <c r="F328" s="2"/>
      <c r="G328" s="2"/>
      <c r="H328" s="2"/>
      <c r="K328" s="2"/>
      <c r="L328" s="2"/>
    </row>
    <row r="329">
      <c r="C329" s="1"/>
      <c r="F329" s="2"/>
      <c r="G329" s="2"/>
      <c r="H329" s="2"/>
      <c r="K329" s="2"/>
      <c r="L329" s="2"/>
    </row>
    <row r="330">
      <c r="C330" s="1"/>
      <c r="F330" s="2"/>
      <c r="G330" s="2"/>
      <c r="H330" s="2"/>
      <c r="K330" s="2"/>
      <c r="L330" s="2"/>
    </row>
    <row r="331">
      <c r="C331" s="1"/>
      <c r="F331" s="2"/>
      <c r="G331" s="2"/>
      <c r="H331" s="2"/>
      <c r="K331" s="2"/>
      <c r="L331" s="2"/>
    </row>
    <row r="332">
      <c r="C332" s="1"/>
      <c r="F332" s="2"/>
      <c r="G332" s="2"/>
      <c r="H332" s="2"/>
      <c r="K332" s="2"/>
      <c r="L332" s="2"/>
    </row>
    <row r="333">
      <c r="C333" s="1"/>
      <c r="F333" s="2"/>
      <c r="G333" s="2"/>
      <c r="H333" s="2"/>
      <c r="K333" s="2"/>
      <c r="L333" s="2"/>
    </row>
    <row r="334">
      <c r="C334" s="1"/>
      <c r="F334" s="2"/>
      <c r="G334" s="2"/>
      <c r="H334" s="2"/>
      <c r="K334" s="2"/>
      <c r="L334" s="2"/>
    </row>
    <row r="335">
      <c r="C335" s="1"/>
      <c r="F335" s="2"/>
      <c r="G335" s="2"/>
      <c r="H335" s="2"/>
      <c r="K335" s="2"/>
      <c r="L335" s="2"/>
    </row>
    <row r="336">
      <c r="C336" s="1"/>
      <c r="F336" s="2"/>
      <c r="G336" s="2"/>
      <c r="H336" s="2"/>
      <c r="K336" s="2"/>
      <c r="L336" s="2"/>
    </row>
    <row r="337">
      <c r="C337" s="1"/>
      <c r="F337" s="2"/>
      <c r="G337" s="2"/>
      <c r="H337" s="2"/>
      <c r="K337" s="2"/>
      <c r="L337" s="2"/>
    </row>
    <row r="338">
      <c r="C338" s="1"/>
      <c r="F338" s="2"/>
      <c r="G338" s="2"/>
      <c r="H338" s="2"/>
      <c r="K338" s="2"/>
      <c r="L338" s="2"/>
    </row>
    <row r="339">
      <c r="C339" s="1"/>
      <c r="F339" s="2"/>
      <c r="G339" s="2"/>
      <c r="H339" s="2"/>
      <c r="K339" s="2"/>
      <c r="L339" s="2"/>
    </row>
    <row r="340">
      <c r="C340" s="1"/>
      <c r="F340" s="2"/>
      <c r="G340" s="2"/>
      <c r="H340" s="2"/>
      <c r="K340" s="2"/>
      <c r="L340" s="2"/>
    </row>
    <row r="341">
      <c r="C341" s="1"/>
      <c r="F341" s="2"/>
      <c r="G341" s="2"/>
      <c r="H341" s="2"/>
      <c r="K341" s="2"/>
      <c r="L341" s="2"/>
    </row>
    <row r="342">
      <c r="C342" s="1"/>
      <c r="F342" s="2"/>
      <c r="G342" s="2"/>
      <c r="H342" s="2"/>
      <c r="K342" s="2"/>
      <c r="L342" s="2"/>
    </row>
    <row r="343">
      <c r="C343" s="1"/>
      <c r="F343" s="2"/>
      <c r="G343" s="2"/>
      <c r="H343" s="2"/>
      <c r="K343" s="2"/>
      <c r="L343" s="2"/>
    </row>
    <row r="344">
      <c r="C344" s="1"/>
      <c r="F344" s="2"/>
      <c r="G344" s="2"/>
      <c r="H344" s="2"/>
      <c r="K344" s="2"/>
      <c r="L344" s="2"/>
    </row>
    <row r="345">
      <c r="C345" s="1"/>
      <c r="F345" s="2"/>
      <c r="G345" s="2"/>
      <c r="H345" s="2"/>
      <c r="K345" s="2"/>
      <c r="L345" s="2"/>
    </row>
    <row r="346">
      <c r="C346" s="1"/>
      <c r="F346" s="2"/>
      <c r="G346" s="2"/>
      <c r="H346" s="2"/>
      <c r="K346" s="2"/>
      <c r="L346" s="2"/>
    </row>
    <row r="347">
      <c r="C347" s="1"/>
      <c r="F347" s="2"/>
      <c r="G347" s="2"/>
      <c r="H347" s="2"/>
      <c r="K347" s="2"/>
      <c r="L347" s="2"/>
    </row>
    <row r="348">
      <c r="C348" s="1"/>
      <c r="F348" s="2"/>
      <c r="G348" s="2"/>
      <c r="H348" s="2"/>
      <c r="K348" s="2"/>
      <c r="L348" s="2"/>
    </row>
    <row r="349">
      <c r="C349" s="1"/>
      <c r="F349" s="2"/>
      <c r="G349" s="2"/>
      <c r="H349" s="2"/>
      <c r="K349" s="2"/>
      <c r="L349" s="2"/>
    </row>
    <row r="350">
      <c r="C350" s="1"/>
      <c r="F350" s="2"/>
      <c r="G350" s="2"/>
      <c r="H350" s="2"/>
      <c r="K350" s="2"/>
      <c r="L350" s="2"/>
    </row>
    <row r="351">
      <c r="C351" s="1"/>
      <c r="F351" s="2"/>
      <c r="G351" s="2"/>
      <c r="H351" s="2"/>
      <c r="K351" s="2"/>
      <c r="L351" s="2"/>
    </row>
    <row r="352">
      <c r="C352" s="1"/>
      <c r="F352" s="2"/>
      <c r="G352" s="2"/>
      <c r="H352" s="2"/>
      <c r="K352" s="2"/>
      <c r="L352" s="2"/>
    </row>
    <row r="353">
      <c r="C353" s="1"/>
      <c r="F353" s="2"/>
      <c r="G353" s="2"/>
      <c r="H353" s="2"/>
      <c r="K353" s="2"/>
      <c r="L353" s="2"/>
    </row>
    <row r="354">
      <c r="C354" s="1"/>
      <c r="F354" s="2"/>
      <c r="G354" s="2"/>
      <c r="H354" s="2"/>
      <c r="K354" s="2"/>
      <c r="L354" s="2"/>
    </row>
    <row r="355">
      <c r="C355" s="1"/>
      <c r="F355" s="2"/>
      <c r="G355" s="2"/>
      <c r="H355" s="2"/>
      <c r="K355" s="2"/>
      <c r="L355" s="2"/>
    </row>
    <row r="356">
      <c r="C356" s="1"/>
      <c r="F356" s="2"/>
      <c r="G356" s="2"/>
      <c r="H356" s="2"/>
      <c r="K356" s="2"/>
      <c r="L356" s="2"/>
    </row>
    <row r="357">
      <c r="C357" s="1"/>
      <c r="F357" s="2"/>
      <c r="G357" s="2"/>
      <c r="H357" s="2"/>
      <c r="K357" s="2"/>
      <c r="L357" s="2"/>
    </row>
    <row r="358">
      <c r="C358" s="1"/>
      <c r="F358" s="2"/>
      <c r="G358" s="2"/>
      <c r="H358" s="2"/>
      <c r="K358" s="2"/>
      <c r="L358" s="2"/>
    </row>
    <row r="359">
      <c r="C359" s="1"/>
      <c r="F359" s="2"/>
      <c r="G359" s="2"/>
      <c r="H359" s="2"/>
      <c r="K359" s="2"/>
      <c r="L359" s="2"/>
    </row>
    <row r="360">
      <c r="C360" s="1"/>
      <c r="F360" s="2"/>
      <c r="G360" s="2"/>
      <c r="H360" s="2"/>
      <c r="K360" s="2"/>
      <c r="L360" s="2"/>
    </row>
    <row r="361">
      <c r="C361" s="1"/>
      <c r="F361" s="2"/>
      <c r="G361" s="2"/>
      <c r="H361" s="2"/>
      <c r="K361" s="2"/>
      <c r="L361" s="2"/>
    </row>
    <row r="362">
      <c r="C362" s="1"/>
      <c r="F362" s="2"/>
      <c r="G362" s="2"/>
      <c r="H362" s="2"/>
      <c r="K362" s="2"/>
      <c r="L362" s="2"/>
    </row>
    <row r="363">
      <c r="C363" s="1"/>
      <c r="F363" s="2"/>
      <c r="G363" s="2"/>
      <c r="H363" s="2"/>
      <c r="K363" s="2"/>
      <c r="L363" s="2"/>
    </row>
    <row r="364">
      <c r="C364" s="1"/>
      <c r="F364" s="2"/>
      <c r="G364" s="2"/>
      <c r="H364" s="2"/>
      <c r="K364" s="2"/>
      <c r="L364" s="2"/>
    </row>
    <row r="365">
      <c r="C365" s="1"/>
      <c r="F365" s="2"/>
      <c r="G365" s="2"/>
      <c r="H365" s="2"/>
      <c r="K365" s="2"/>
      <c r="L365" s="2"/>
    </row>
    <row r="366">
      <c r="C366" s="1"/>
      <c r="F366" s="2"/>
      <c r="G366" s="2"/>
      <c r="H366" s="2"/>
      <c r="K366" s="2"/>
      <c r="L366" s="2"/>
    </row>
    <row r="367">
      <c r="C367" s="1"/>
      <c r="F367" s="2"/>
      <c r="G367" s="2"/>
      <c r="H367" s="2"/>
      <c r="K367" s="2"/>
      <c r="L367" s="2"/>
    </row>
    <row r="368">
      <c r="C368" s="1"/>
      <c r="F368" s="2"/>
      <c r="G368" s="2"/>
      <c r="H368" s="2"/>
      <c r="K368" s="2"/>
      <c r="L368" s="2"/>
    </row>
    <row r="369">
      <c r="C369" s="1"/>
      <c r="F369" s="2"/>
      <c r="G369" s="2"/>
      <c r="H369" s="2"/>
      <c r="K369" s="2"/>
      <c r="L369" s="2"/>
    </row>
    <row r="370">
      <c r="C370" s="1"/>
      <c r="F370" s="2"/>
      <c r="G370" s="2"/>
      <c r="H370" s="2"/>
      <c r="K370" s="2"/>
      <c r="L370" s="2"/>
    </row>
    <row r="371">
      <c r="C371" s="1"/>
      <c r="F371" s="2"/>
      <c r="G371" s="2"/>
      <c r="H371" s="2"/>
      <c r="K371" s="2"/>
      <c r="L371" s="2"/>
    </row>
    <row r="372">
      <c r="C372" s="1"/>
      <c r="F372" s="2"/>
      <c r="G372" s="2"/>
      <c r="H372" s="2"/>
      <c r="K372" s="2"/>
      <c r="L372" s="2"/>
    </row>
    <row r="373">
      <c r="C373" s="1"/>
      <c r="F373" s="2"/>
      <c r="G373" s="2"/>
      <c r="H373" s="2"/>
      <c r="K373" s="2"/>
      <c r="L373" s="2"/>
    </row>
    <row r="374">
      <c r="C374" s="1"/>
      <c r="F374" s="2"/>
      <c r="G374" s="2"/>
      <c r="H374" s="2"/>
      <c r="K374" s="2"/>
      <c r="L374" s="2"/>
    </row>
    <row r="375">
      <c r="C375" s="1"/>
      <c r="F375" s="2"/>
      <c r="G375" s="2"/>
      <c r="H375" s="2"/>
      <c r="K375" s="2"/>
      <c r="L375" s="2"/>
    </row>
    <row r="376">
      <c r="C376" s="1"/>
      <c r="F376" s="2"/>
      <c r="G376" s="2"/>
      <c r="H376" s="2"/>
      <c r="K376" s="2"/>
      <c r="L376" s="2"/>
    </row>
    <row r="377">
      <c r="C377" s="1"/>
      <c r="F377" s="2"/>
      <c r="G377" s="2"/>
      <c r="H377" s="2"/>
      <c r="K377" s="2"/>
      <c r="L377" s="2"/>
    </row>
    <row r="378">
      <c r="C378" s="1"/>
      <c r="F378" s="2"/>
      <c r="G378" s="2"/>
      <c r="H378" s="2"/>
      <c r="K378" s="2"/>
      <c r="L378" s="2"/>
    </row>
    <row r="379">
      <c r="C379" s="1"/>
      <c r="F379" s="2"/>
      <c r="G379" s="2"/>
      <c r="H379" s="2"/>
      <c r="K379" s="2"/>
      <c r="L379" s="2"/>
    </row>
    <row r="380">
      <c r="C380" s="1"/>
      <c r="F380" s="2"/>
      <c r="G380" s="2"/>
      <c r="H380" s="2"/>
      <c r="K380" s="2"/>
      <c r="L380" s="2"/>
    </row>
    <row r="381">
      <c r="C381" s="1"/>
      <c r="F381" s="2"/>
      <c r="G381" s="2"/>
      <c r="H381" s="2"/>
      <c r="K381" s="2"/>
      <c r="L381" s="2"/>
    </row>
    <row r="382">
      <c r="C382" s="1"/>
      <c r="F382" s="2"/>
      <c r="G382" s="2"/>
      <c r="H382" s="2"/>
      <c r="K382" s="2"/>
      <c r="L382" s="2"/>
    </row>
    <row r="383">
      <c r="C383" s="1"/>
      <c r="F383" s="2"/>
      <c r="G383" s="2"/>
      <c r="H383" s="2"/>
      <c r="K383" s="2"/>
      <c r="L383" s="2"/>
    </row>
    <row r="384">
      <c r="C384" s="1"/>
      <c r="F384" s="2"/>
      <c r="G384" s="2"/>
      <c r="H384" s="2"/>
      <c r="K384" s="2"/>
      <c r="L384" s="2"/>
    </row>
    <row r="385">
      <c r="C385" s="1"/>
      <c r="F385" s="2"/>
      <c r="G385" s="2"/>
      <c r="H385" s="2"/>
      <c r="K385" s="2"/>
      <c r="L385" s="2"/>
    </row>
    <row r="386">
      <c r="C386" s="1"/>
      <c r="F386" s="2"/>
      <c r="G386" s="2"/>
      <c r="H386" s="2"/>
      <c r="K386" s="2"/>
      <c r="L386" s="2"/>
    </row>
    <row r="387">
      <c r="C387" s="1"/>
      <c r="F387" s="2"/>
      <c r="G387" s="2"/>
      <c r="H387" s="2"/>
      <c r="K387" s="2"/>
      <c r="L387" s="2"/>
    </row>
    <row r="388">
      <c r="C388" s="1"/>
      <c r="F388" s="2"/>
      <c r="G388" s="2"/>
      <c r="H388" s="2"/>
      <c r="K388" s="2"/>
      <c r="L388" s="2"/>
    </row>
    <row r="389">
      <c r="C389" s="1"/>
      <c r="F389" s="2"/>
      <c r="G389" s="2"/>
      <c r="H389" s="2"/>
      <c r="K389" s="2"/>
      <c r="L389" s="2"/>
    </row>
    <row r="390">
      <c r="C390" s="1"/>
      <c r="F390" s="2"/>
      <c r="G390" s="2"/>
      <c r="H390" s="2"/>
      <c r="K390" s="2"/>
      <c r="L390" s="2"/>
    </row>
    <row r="391">
      <c r="C391" s="1"/>
      <c r="F391" s="2"/>
      <c r="G391" s="2"/>
      <c r="H391" s="2"/>
      <c r="K391" s="2"/>
      <c r="L391" s="2"/>
    </row>
    <row r="392">
      <c r="C392" s="1"/>
      <c r="F392" s="2"/>
      <c r="G392" s="2"/>
      <c r="H392" s="2"/>
      <c r="K392" s="2"/>
      <c r="L392" s="2"/>
    </row>
    <row r="393">
      <c r="C393" s="1"/>
      <c r="F393" s="2"/>
      <c r="G393" s="2"/>
      <c r="H393" s="2"/>
      <c r="K393" s="2"/>
      <c r="L393" s="2"/>
    </row>
    <row r="394">
      <c r="C394" s="1"/>
      <c r="F394" s="2"/>
      <c r="G394" s="2"/>
      <c r="H394" s="2"/>
      <c r="K394" s="2"/>
      <c r="L394" s="2"/>
    </row>
    <row r="395">
      <c r="C395" s="1"/>
      <c r="F395" s="2"/>
      <c r="G395" s="2"/>
      <c r="H395" s="2"/>
      <c r="K395" s="2"/>
      <c r="L395" s="2"/>
    </row>
    <row r="396">
      <c r="C396" s="1"/>
      <c r="F396" s="2"/>
      <c r="G396" s="2"/>
      <c r="H396" s="2"/>
      <c r="K396" s="2"/>
      <c r="L396" s="2"/>
    </row>
    <row r="397">
      <c r="C397" s="1"/>
      <c r="F397" s="2"/>
      <c r="G397" s="2"/>
      <c r="H397" s="2"/>
      <c r="K397" s="2"/>
      <c r="L397" s="2"/>
    </row>
    <row r="398">
      <c r="C398" s="1"/>
      <c r="F398" s="2"/>
      <c r="G398" s="2"/>
      <c r="H398" s="2"/>
      <c r="K398" s="2"/>
      <c r="L398" s="2"/>
    </row>
    <row r="399">
      <c r="C399" s="1"/>
      <c r="F399" s="2"/>
      <c r="G399" s="2"/>
      <c r="H399" s="2"/>
      <c r="K399" s="2"/>
      <c r="L399" s="2"/>
    </row>
    <row r="400">
      <c r="C400" s="1"/>
      <c r="F400" s="2"/>
      <c r="G400" s="2"/>
      <c r="H400" s="2"/>
      <c r="K400" s="2"/>
      <c r="L400" s="2"/>
    </row>
    <row r="401">
      <c r="C401" s="1"/>
      <c r="F401" s="2"/>
      <c r="G401" s="2"/>
      <c r="H401" s="2"/>
      <c r="K401" s="2"/>
      <c r="L401" s="2"/>
    </row>
    <row r="402">
      <c r="C402" s="1"/>
      <c r="F402" s="2"/>
      <c r="G402" s="2"/>
      <c r="H402" s="2"/>
      <c r="K402" s="2"/>
      <c r="L402" s="2"/>
    </row>
    <row r="403">
      <c r="C403" s="1"/>
      <c r="F403" s="2"/>
      <c r="G403" s="2"/>
      <c r="H403" s="2"/>
      <c r="K403" s="2"/>
      <c r="L403" s="2"/>
    </row>
    <row r="404">
      <c r="C404" s="1"/>
      <c r="F404" s="2"/>
      <c r="G404" s="2"/>
      <c r="H404" s="2"/>
      <c r="K404" s="2"/>
      <c r="L404" s="2"/>
    </row>
    <row r="405">
      <c r="C405" s="1"/>
      <c r="F405" s="2"/>
      <c r="G405" s="2"/>
      <c r="H405" s="2"/>
      <c r="K405" s="2"/>
      <c r="L405" s="2"/>
    </row>
    <row r="406">
      <c r="C406" s="1"/>
      <c r="F406" s="2"/>
      <c r="G406" s="2"/>
      <c r="H406" s="2"/>
      <c r="K406" s="2"/>
      <c r="L406" s="2"/>
    </row>
    <row r="407">
      <c r="C407" s="1"/>
      <c r="F407" s="2"/>
      <c r="G407" s="2"/>
      <c r="H407" s="2"/>
      <c r="K407" s="2"/>
      <c r="L407" s="2"/>
    </row>
    <row r="408">
      <c r="C408" s="1"/>
      <c r="F408" s="2"/>
      <c r="G408" s="2"/>
      <c r="H408" s="2"/>
      <c r="K408" s="2"/>
      <c r="L408" s="2"/>
    </row>
    <row r="409">
      <c r="C409" s="1"/>
      <c r="F409" s="2"/>
      <c r="G409" s="2"/>
      <c r="H409" s="2"/>
      <c r="K409" s="2"/>
      <c r="L409" s="2"/>
    </row>
    <row r="410">
      <c r="C410" s="1"/>
      <c r="F410" s="2"/>
      <c r="G410" s="2"/>
      <c r="H410" s="2"/>
      <c r="K410" s="2"/>
      <c r="L410" s="2"/>
    </row>
    <row r="411">
      <c r="C411" s="1"/>
      <c r="F411" s="2"/>
      <c r="G411" s="2"/>
      <c r="H411" s="2"/>
      <c r="K411" s="2"/>
      <c r="L411" s="2"/>
    </row>
    <row r="412">
      <c r="C412" s="1"/>
      <c r="F412" s="2"/>
      <c r="G412" s="2"/>
      <c r="H412" s="2"/>
      <c r="K412" s="2"/>
      <c r="L412" s="2"/>
    </row>
    <row r="413">
      <c r="C413" s="1"/>
      <c r="F413" s="2"/>
      <c r="G413" s="2"/>
      <c r="H413" s="2"/>
      <c r="K413" s="2"/>
      <c r="L413" s="2"/>
    </row>
    <row r="414">
      <c r="C414" s="1"/>
      <c r="F414" s="2"/>
      <c r="G414" s="2"/>
      <c r="H414" s="2"/>
      <c r="K414" s="2"/>
      <c r="L414" s="2"/>
    </row>
    <row r="415">
      <c r="C415" s="1"/>
      <c r="F415" s="2"/>
      <c r="G415" s="2"/>
      <c r="H415" s="2"/>
      <c r="K415" s="2"/>
      <c r="L415" s="2"/>
    </row>
    <row r="416">
      <c r="C416" s="1"/>
      <c r="F416" s="2"/>
      <c r="G416" s="2"/>
      <c r="H416" s="2"/>
      <c r="K416" s="2"/>
      <c r="L416" s="2"/>
    </row>
    <row r="417">
      <c r="C417" s="1"/>
      <c r="F417" s="2"/>
      <c r="G417" s="2"/>
      <c r="H417" s="2"/>
      <c r="K417" s="2"/>
      <c r="L417" s="2"/>
    </row>
    <row r="418">
      <c r="C418" s="1"/>
      <c r="F418" s="2"/>
      <c r="G418" s="2"/>
      <c r="H418" s="2"/>
      <c r="K418" s="2"/>
      <c r="L418" s="2"/>
    </row>
    <row r="419">
      <c r="C419" s="1"/>
      <c r="F419" s="2"/>
      <c r="G419" s="2"/>
      <c r="H419" s="2"/>
      <c r="K419" s="2"/>
      <c r="L419" s="2"/>
    </row>
    <row r="420">
      <c r="C420" s="1"/>
      <c r="F420" s="2"/>
      <c r="G420" s="2"/>
      <c r="H420" s="2"/>
      <c r="K420" s="2"/>
      <c r="L420" s="2"/>
    </row>
    <row r="421">
      <c r="C421" s="1"/>
      <c r="F421" s="2"/>
      <c r="G421" s="2"/>
      <c r="H421" s="2"/>
      <c r="K421" s="2"/>
      <c r="L421" s="2"/>
    </row>
    <row r="422">
      <c r="C422" s="1"/>
      <c r="F422" s="2"/>
      <c r="G422" s="2"/>
      <c r="H422" s="2"/>
      <c r="K422" s="2"/>
      <c r="L422" s="2"/>
    </row>
    <row r="423">
      <c r="C423" s="1"/>
      <c r="F423" s="2"/>
      <c r="G423" s="2"/>
      <c r="H423" s="2"/>
      <c r="K423" s="2"/>
      <c r="L423" s="2"/>
    </row>
    <row r="424">
      <c r="C424" s="1"/>
      <c r="F424" s="2"/>
      <c r="G424" s="2"/>
      <c r="H424" s="2"/>
      <c r="K424" s="2"/>
      <c r="L424" s="2"/>
    </row>
    <row r="425">
      <c r="C425" s="1"/>
      <c r="F425" s="2"/>
      <c r="G425" s="2"/>
      <c r="H425" s="2"/>
      <c r="K425" s="2"/>
      <c r="L425" s="2"/>
    </row>
    <row r="426">
      <c r="C426" s="1"/>
      <c r="F426" s="2"/>
      <c r="G426" s="2"/>
      <c r="H426" s="2"/>
      <c r="K426" s="2"/>
      <c r="L426" s="2"/>
    </row>
    <row r="427">
      <c r="C427" s="1"/>
      <c r="F427" s="2"/>
      <c r="G427" s="2"/>
      <c r="H427" s="2"/>
      <c r="K427" s="2"/>
      <c r="L427" s="2"/>
    </row>
    <row r="428">
      <c r="C428" s="1"/>
      <c r="F428" s="2"/>
      <c r="G428" s="2"/>
      <c r="H428" s="2"/>
      <c r="K428" s="2"/>
      <c r="L428" s="2"/>
    </row>
    <row r="429">
      <c r="C429" s="1"/>
      <c r="F429" s="2"/>
      <c r="G429" s="2"/>
      <c r="H429" s="2"/>
      <c r="K429" s="2"/>
      <c r="L429" s="2"/>
    </row>
    <row r="430">
      <c r="C430" s="1"/>
      <c r="F430" s="2"/>
      <c r="G430" s="2"/>
      <c r="H430" s="2"/>
      <c r="K430" s="2"/>
      <c r="L430" s="2"/>
    </row>
    <row r="431">
      <c r="C431" s="1"/>
      <c r="F431" s="2"/>
      <c r="G431" s="2"/>
      <c r="H431" s="2"/>
      <c r="K431" s="2"/>
      <c r="L431" s="2"/>
    </row>
    <row r="432">
      <c r="C432" s="1"/>
      <c r="F432" s="2"/>
      <c r="G432" s="2"/>
      <c r="H432" s="2"/>
      <c r="K432" s="2"/>
      <c r="L432" s="2"/>
    </row>
    <row r="433">
      <c r="C433" s="1"/>
      <c r="F433" s="2"/>
      <c r="G433" s="2"/>
      <c r="H433" s="2"/>
      <c r="K433" s="2"/>
      <c r="L433" s="2"/>
    </row>
    <row r="434">
      <c r="C434" s="1"/>
      <c r="F434" s="2"/>
      <c r="G434" s="2"/>
      <c r="H434" s="2"/>
      <c r="K434" s="2"/>
      <c r="L434" s="2"/>
    </row>
    <row r="435">
      <c r="C435" s="1"/>
      <c r="F435" s="2"/>
      <c r="G435" s="2"/>
      <c r="H435" s="2"/>
      <c r="K435" s="2"/>
      <c r="L435" s="2"/>
    </row>
    <row r="436">
      <c r="C436" s="1"/>
      <c r="F436" s="2"/>
      <c r="G436" s="2"/>
      <c r="H436" s="2"/>
      <c r="K436" s="2"/>
      <c r="L436" s="2"/>
    </row>
    <row r="437">
      <c r="C437" s="1"/>
      <c r="F437" s="2"/>
      <c r="G437" s="2"/>
      <c r="H437" s="2"/>
      <c r="K437" s="2"/>
      <c r="L437" s="2"/>
    </row>
    <row r="438">
      <c r="C438" s="1"/>
      <c r="F438" s="2"/>
      <c r="G438" s="2"/>
      <c r="H438" s="2"/>
      <c r="K438" s="2"/>
      <c r="L438" s="2"/>
    </row>
    <row r="439">
      <c r="C439" s="1"/>
      <c r="F439" s="2"/>
      <c r="G439" s="2"/>
      <c r="H439" s="2"/>
      <c r="K439" s="2"/>
      <c r="L439" s="2"/>
    </row>
    <row r="440">
      <c r="C440" s="1"/>
      <c r="F440" s="2"/>
      <c r="G440" s="2"/>
      <c r="H440" s="2"/>
      <c r="K440" s="2"/>
      <c r="L440" s="2"/>
    </row>
    <row r="441">
      <c r="C441" s="1"/>
      <c r="F441" s="2"/>
      <c r="G441" s="2"/>
      <c r="H441" s="2"/>
      <c r="K441" s="2"/>
      <c r="L441" s="2"/>
    </row>
    <row r="442">
      <c r="C442" s="1"/>
      <c r="F442" s="2"/>
      <c r="G442" s="2"/>
      <c r="H442" s="2"/>
      <c r="K442" s="2"/>
      <c r="L442" s="2"/>
    </row>
    <row r="443">
      <c r="C443" s="1"/>
      <c r="F443" s="2"/>
      <c r="G443" s="2"/>
      <c r="H443" s="2"/>
      <c r="K443" s="2"/>
      <c r="L443" s="2"/>
    </row>
    <row r="444">
      <c r="C444" s="1"/>
      <c r="F444" s="2"/>
      <c r="G444" s="2"/>
      <c r="H444" s="2"/>
      <c r="K444" s="2"/>
      <c r="L444" s="2"/>
    </row>
    <row r="445">
      <c r="C445" s="1"/>
      <c r="F445" s="2"/>
      <c r="G445" s="2"/>
      <c r="H445" s="2"/>
      <c r="K445" s="2"/>
      <c r="L445" s="2"/>
    </row>
    <row r="446">
      <c r="C446" s="1"/>
      <c r="F446" s="2"/>
      <c r="G446" s="2"/>
      <c r="H446" s="2"/>
      <c r="K446" s="2"/>
      <c r="L446" s="2"/>
    </row>
    <row r="447">
      <c r="C447" s="1"/>
      <c r="F447" s="2"/>
      <c r="G447" s="2"/>
      <c r="H447" s="2"/>
      <c r="K447" s="2"/>
      <c r="L447" s="2"/>
    </row>
    <row r="448">
      <c r="C448" s="1"/>
      <c r="F448" s="2"/>
      <c r="G448" s="2"/>
      <c r="H448" s="2"/>
      <c r="K448" s="2"/>
      <c r="L448" s="2"/>
    </row>
    <row r="449">
      <c r="C449" s="1"/>
      <c r="F449" s="2"/>
      <c r="G449" s="2"/>
      <c r="H449" s="2"/>
      <c r="K449" s="2"/>
      <c r="L449" s="2"/>
    </row>
    <row r="450">
      <c r="C450" s="1"/>
      <c r="F450" s="2"/>
      <c r="G450" s="2"/>
      <c r="H450" s="2"/>
      <c r="K450" s="2"/>
      <c r="L450" s="2"/>
    </row>
    <row r="451">
      <c r="C451" s="1"/>
      <c r="F451" s="2"/>
      <c r="G451" s="2"/>
      <c r="H451" s="2"/>
      <c r="K451" s="2"/>
      <c r="L451" s="2"/>
    </row>
    <row r="452">
      <c r="C452" s="1"/>
      <c r="F452" s="2"/>
      <c r="G452" s="2"/>
      <c r="H452" s="2"/>
      <c r="K452" s="2"/>
      <c r="L452" s="2"/>
    </row>
    <row r="453">
      <c r="C453" s="1"/>
      <c r="F453" s="2"/>
      <c r="G453" s="2"/>
      <c r="H453" s="2"/>
      <c r="K453" s="2"/>
      <c r="L453" s="2"/>
    </row>
    <row r="454">
      <c r="C454" s="1"/>
      <c r="F454" s="2"/>
      <c r="G454" s="2"/>
      <c r="H454" s="2"/>
      <c r="K454" s="2"/>
      <c r="L454" s="2"/>
    </row>
    <row r="455">
      <c r="C455" s="1"/>
      <c r="F455" s="2"/>
      <c r="G455" s="2"/>
      <c r="H455" s="2"/>
      <c r="K455" s="2"/>
      <c r="L455" s="2"/>
    </row>
    <row r="456">
      <c r="C456" s="1"/>
      <c r="F456" s="2"/>
      <c r="G456" s="2"/>
      <c r="H456" s="2"/>
      <c r="K456" s="2"/>
      <c r="L456" s="2"/>
    </row>
    <row r="457">
      <c r="C457" s="1"/>
      <c r="F457" s="2"/>
      <c r="G457" s="2"/>
      <c r="H457" s="2"/>
      <c r="K457" s="2"/>
      <c r="L457" s="2"/>
    </row>
    <row r="458">
      <c r="C458" s="1"/>
      <c r="F458" s="2"/>
      <c r="G458" s="2"/>
      <c r="H458" s="2"/>
      <c r="K458" s="2"/>
      <c r="L458" s="2"/>
    </row>
    <row r="459">
      <c r="C459" s="1"/>
      <c r="F459" s="2"/>
      <c r="G459" s="2"/>
      <c r="H459" s="2"/>
      <c r="K459" s="2"/>
      <c r="L459" s="2"/>
    </row>
    <row r="460">
      <c r="C460" s="1"/>
      <c r="F460" s="2"/>
      <c r="G460" s="2"/>
      <c r="H460" s="2"/>
      <c r="K460" s="2"/>
      <c r="L460" s="2"/>
    </row>
    <row r="461">
      <c r="C461" s="1"/>
      <c r="F461" s="2"/>
      <c r="G461" s="2"/>
      <c r="H461" s="2"/>
      <c r="K461" s="2"/>
      <c r="L461" s="2"/>
    </row>
    <row r="462">
      <c r="C462" s="1"/>
      <c r="F462" s="2"/>
      <c r="G462" s="2"/>
      <c r="H462" s="2"/>
      <c r="K462" s="2"/>
      <c r="L462" s="2"/>
    </row>
    <row r="463">
      <c r="C463" s="1"/>
      <c r="F463" s="2"/>
      <c r="G463" s="2"/>
      <c r="H463" s="2"/>
      <c r="K463" s="2"/>
      <c r="L463" s="2"/>
    </row>
    <row r="464">
      <c r="C464" s="1"/>
      <c r="F464" s="2"/>
      <c r="G464" s="2"/>
      <c r="H464" s="2"/>
      <c r="K464" s="2"/>
      <c r="L464" s="2"/>
    </row>
    <row r="465">
      <c r="C465" s="1"/>
      <c r="F465" s="2"/>
      <c r="G465" s="2"/>
      <c r="H465" s="2"/>
      <c r="K465" s="2"/>
      <c r="L465" s="2"/>
    </row>
    <row r="466">
      <c r="C466" s="1"/>
      <c r="F466" s="2"/>
      <c r="G466" s="2"/>
      <c r="H466" s="2"/>
      <c r="K466" s="2"/>
      <c r="L466" s="2"/>
    </row>
    <row r="467">
      <c r="C467" s="1"/>
      <c r="F467" s="2"/>
      <c r="G467" s="2"/>
      <c r="H467" s="2"/>
      <c r="K467" s="2"/>
      <c r="L467" s="2"/>
    </row>
    <row r="468">
      <c r="C468" s="1"/>
      <c r="F468" s="2"/>
      <c r="G468" s="2"/>
      <c r="H468" s="2"/>
      <c r="K468" s="2"/>
      <c r="L468" s="2"/>
    </row>
    <row r="469">
      <c r="C469" s="1"/>
      <c r="F469" s="2"/>
      <c r="G469" s="2"/>
      <c r="H469" s="2"/>
      <c r="K469" s="2"/>
      <c r="L469" s="2"/>
    </row>
    <row r="470">
      <c r="C470" s="1"/>
      <c r="F470" s="2"/>
      <c r="G470" s="2"/>
      <c r="H470" s="2"/>
      <c r="K470" s="2"/>
      <c r="L470" s="2"/>
    </row>
    <row r="471">
      <c r="C471" s="1"/>
      <c r="F471" s="2"/>
      <c r="G471" s="2"/>
      <c r="H471" s="2"/>
      <c r="K471" s="2"/>
      <c r="L471" s="2"/>
    </row>
    <row r="472">
      <c r="C472" s="1"/>
      <c r="F472" s="2"/>
      <c r="G472" s="2"/>
      <c r="H472" s="2"/>
      <c r="K472" s="2"/>
      <c r="L472" s="2"/>
    </row>
    <row r="473">
      <c r="C473" s="1"/>
      <c r="F473" s="2"/>
      <c r="G473" s="2"/>
      <c r="H473" s="2"/>
      <c r="K473" s="2"/>
      <c r="L473" s="2"/>
    </row>
    <row r="474">
      <c r="C474" s="1"/>
      <c r="F474" s="2"/>
      <c r="G474" s="2"/>
      <c r="H474" s="2"/>
      <c r="K474" s="2"/>
      <c r="L474" s="2"/>
    </row>
    <row r="475">
      <c r="C475" s="1"/>
      <c r="F475" s="2"/>
      <c r="G475" s="2"/>
      <c r="H475" s="2"/>
      <c r="K475" s="2"/>
      <c r="L475" s="2"/>
    </row>
    <row r="476">
      <c r="C476" s="1"/>
      <c r="F476" s="2"/>
      <c r="G476" s="2"/>
      <c r="H476" s="2"/>
      <c r="K476" s="2"/>
      <c r="L476" s="2"/>
    </row>
    <row r="477">
      <c r="C477" s="1"/>
      <c r="F477" s="2"/>
      <c r="G477" s="2"/>
      <c r="H477" s="2"/>
      <c r="K477" s="2"/>
      <c r="L477" s="2"/>
    </row>
    <row r="478">
      <c r="C478" s="1"/>
      <c r="F478" s="2"/>
      <c r="G478" s="2"/>
      <c r="H478" s="2"/>
      <c r="K478" s="2"/>
      <c r="L478" s="2"/>
    </row>
    <row r="479">
      <c r="C479" s="1"/>
      <c r="F479" s="2"/>
      <c r="G479" s="2"/>
      <c r="H479" s="2"/>
      <c r="K479" s="2"/>
      <c r="L479" s="2"/>
    </row>
    <row r="480">
      <c r="C480" s="1"/>
      <c r="F480" s="2"/>
      <c r="G480" s="2"/>
      <c r="H480" s="2"/>
      <c r="K480" s="2"/>
      <c r="L480" s="2"/>
    </row>
    <row r="481">
      <c r="C481" s="1"/>
      <c r="F481" s="2"/>
      <c r="G481" s="2"/>
      <c r="H481" s="2"/>
      <c r="K481" s="2"/>
      <c r="L481" s="2"/>
    </row>
    <row r="482">
      <c r="C482" s="1"/>
      <c r="F482" s="2"/>
      <c r="G482" s="2"/>
      <c r="H482" s="2"/>
      <c r="K482" s="2"/>
      <c r="L482" s="2"/>
    </row>
    <row r="483">
      <c r="C483" s="1"/>
      <c r="F483" s="2"/>
      <c r="G483" s="2"/>
      <c r="H483" s="2"/>
      <c r="K483" s="2"/>
      <c r="L483" s="2"/>
    </row>
    <row r="484">
      <c r="C484" s="1"/>
      <c r="F484" s="2"/>
      <c r="G484" s="2"/>
      <c r="H484" s="2"/>
      <c r="K484" s="2"/>
      <c r="L484" s="2"/>
    </row>
    <row r="485">
      <c r="C485" s="1"/>
      <c r="F485" s="2"/>
      <c r="G485" s="2"/>
      <c r="H485" s="2"/>
      <c r="K485" s="2"/>
      <c r="L485" s="2"/>
    </row>
    <row r="486">
      <c r="C486" s="1"/>
      <c r="F486" s="2"/>
      <c r="G486" s="2"/>
      <c r="H486" s="2"/>
      <c r="K486" s="2"/>
      <c r="L486" s="2"/>
    </row>
    <row r="487">
      <c r="C487" s="1"/>
      <c r="F487" s="2"/>
      <c r="G487" s="2"/>
      <c r="H487" s="2"/>
      <c r="K487" s="2"/>
      <c r="L487" s="2"/>
    </row>
    <row r="488">
      <c r="C488" s="1"/>
      <c r="F488" s="2"/>
      <c r="G488" s="2"/>
      <c r="H488" s="2"/>
      <c r="K488" s="2"/>
      <c r="L488" s="2"/>
    </row>
    <row r="489">
      <c r="C489" s="1"/>
      <c r="F489" s="2"/>
      <c r="G489" s="2"/>
      <c r="H489" s="2"/>
      <c r="K489" s="2"/>
      <c r="L489" s="2"/>
    </row>
    <row r="490">
      <c r="C490" s="1"/>
      <c r="F490" s="2"/>
      <c r="G490" s="2"/>
      <c r="H490" s="2"/>
      <c r="K490" s="2"/>
      <c r="L490" s="2"/>
    </row>
    <row r="491">
      <c r="C491" s="1"/>
      <c r="F491" s="2"/>
      <c r="G491" s="2"/>
      <c r="H491" s="2"/>
      <c r="K491" s="2"/>
      <c r="L491" s="2"/>
    </row>
    <row r="492">
      <c r="C492" s="1"/>
      <c r="F492" s="2"/>
      <c r="G492" s="2"/>
      <c r="H492" s="2"/>
      <c r="K492" s="2"/>
      <c r="L492" s="2"/>
    </row>
    <row r="493">
      <c r="C493" s="1"/>
      <c r="F493" s="2"/>
      <c r="G493" s="2"/>
      <c r="H493" s="2"/>
      <c r="K493" s="2"/>
      <c r="L493" s="2"/>
    </row>
    <row r="494">
      <c r="C494" s="1"/>
      <c r="F494" s="2"/>
      <c r="G494" s="2"/>
      <c r="H494" s="2"/>
      <c r="K494" s="2"/>
      <c r="L494" s="2"/>
    </row>
    <row r="495">
      <c r="C495" s="1"/>
      <c r="F495" s="2"/>
      <c r="G495" s="2"/>
      <c r="H495" s="2"/>
      <c r="K495" s="2"/>
      <c r="L495" s="2"/>
    </row>
    <row r="496">
      <c r="C496" s="1"/>
      <c r="F496" s="2"/>
      <c r="G496" s="2"/>
      <c r="H496" s="2"/>
      <c r="K496" s="2"/>
      <c r="L496" s="2"/>
    </row>
    <row r="497">
      <c r="C497" s="1"/>
      <c r="F497" s="2"/>
      <c r="G497" s="2"/>
      <c r="H497" s="2"/>
      <c r="K497" s="2"/>
      <c r="L497" s="2"/>
    </row>
    <row r="498">
      <c r="C498" s="1"/>
      <c r="F498" s="2"/>
      <c r="G498" s="2"/>
      <c r="H498" s="2"/>
      <c r="K498" s="2"/>
      <c r="L498" s="2"/>
    </row>
    <row r="499">
      <c r="C499" s="1"/>
      <c r="F499" s="2"/>
      <c r="G499" s="2"/>
      <c r="H499" s="2"/>
      <c r="K499" s="2"/>
      <c r="L499" s="2"/>
    </row>
    <row r="500">
      <c r="C500" s="1"/>
      <c r="F500" s="2"/>
      <c r="G500" s="2"/>
      <c r="H500" s="2"/>
      <c r="K500" s="2"/>
      <c r="L500" s="2"/>
    </row>
    <row r="501">
      <c r="C501" s="1"/>
      <c r="F501" s="2"/>
      <c r="G501" s="2"/>
      <c r="H501" s="2"/>
      <c r="K501" s="2"/>
      <c r="L501" s="2"/>
    </row>
    <row r="502">
      <c r="C502" s="1"/>
      <c r="F502" s="2"/>
      <c r="G502" s="2"/>
      <c r="H502" s="2"/>
      <c r="K502" s="2"/>
      <c r="L502" s="2"/>
    </row>
    <row r="503">
      <c r="C503" s="1"/>
      <c r="F503" s="2"/>
      <c r="G503" s="2"/>
      <c r="H503" s="2"/>
      <c r="K503" s="2"/>
      <c r="L503" s="2"/>
    </row>
    <row r="504">
      <c r="C504" s="1"/>
      <c r="F504" s="2"/>
      <c r="G504" s="2"/>
      <c r="H504" s="2"/>
      <c r="K504" s="2"/>
      <c r="L504" s="2"/>
    </row>
    <row r="505">
      <c r="C505" s="1"/>
      <c r="F505" s="2"/>
      <c r="G505" s="2"/>
      <c r="H505" s="2"/>
      <c r="K505" s="2"/>
      <c r="L505" s="2"/>
    </row>
    <row r="506">
      <c r="C506" s="1"/>
      <c r="F506" s="2"/>
      <c r="G506" s="2"/>
      <c r="H506" s="2"/>
      <c r="K506" s="2"/>
      <c r="L506" s="2"/>
    </row>
    <row r="507">
      <c r="C507" s="1"/>
      <c r="F507" s="2"/>
      <c r="G507" s="2"/>
      <c r="H507" s="2"/>
      <c r="K507" s="2"/>
      <c r="L507" s="2"/>
    </row>
    <row r="508">
      <c r="C508" s="1"/>
      <c r="F508" s="2"/>
      <c r="G508" s="2"/>
      <c r="H508" s="2"/>
      <c r="K508" s="2"/>
      <c r="L508" s="2"/>
    </row>
    <row r="509">
      <c r="C509" s="1"/>
      <c r="F509" s="2"/>
      <c r="G509" s="2"/>
      <c r="H509" s="2"/>
      <c r="K509" s="2"/>
      <c r="L509" s="2"/>
    </row>
    <row r="510">
      <c r="C510" s="1"/>
      <c r="F510" s="2"/>
      <c r="G510" s="2"/>
      <c r="H510" s="2"/>
      <c r="K510" s="2"/>
      <c r="L510" s="2"/>
    </row>
    <row r="511">
      <c r="C511" s="1"/>
      <c r="F511" s="2"/>
      <c r="G511" s="2"/>
      <c r="H511" s="2"/>
      <c r="K511" s="2"/>
      <c r="L511" s="2"/>
    </row>
    <row r="512">
      <c r="C512" s="1"/>
      <c r="F512" s="2"/>
      <c r="G512" s="2"/>
      <c r="H512" s="2"/>
      <c r="K512" s="2"/>
      <c r="L512" s="2"/>
    </row>
    <row r="513">
      <c r="C513" s="1"/>
      <c r="F513" s="2"/>
      <c r="G513" s="2"/>
      <c r="H513" s="2"/>
      <c r="K513" s="2"/>
      <c r="L513" s="2"/>
    </row>
    <row r="514">
      <c r="C514" s="1"/>
      <c r="F514" s="2"/>
      <c r="G514" s="2"/>
      <c r="H514" s="2"/>
      <c r="K514" s="2"/>
      <c r="L514" s="2"/>
    </row>
    <row r="515">
      <c r="C515" s="1"/>
      <c r="F515" s="2"/>
      <c r="G515" s="2"/>
      <c r="H515" s="2"/>
      <c r="K515" s="2"/>
      <c r="L515" s="2"/>
    </row>
    <row r="516">
      <c r="C516" s="1"/>
      <c r="F516" s="2"/>
      <c r="G516" s="2"/>
      <c r="H516" s="2"/>
      <c r="K516" s="2"/>
      <c r="L516" s="2"/>
    </row>
    <row r="517">
      <c r="C517" s="1"/>
      <c r="F517" s="2"/>
      <c r="G517" s="2"/>
      <c r="H517" s="2"/>
      <c r="K517" s="2"/>
      <c r="L517" s="2"/>
    </row>
    <row r="518">
      <c r="C518" s="1"/>
      <c r="F518" s="2"/>
      <c r="G518" s="2"/>
      <c r="H518" s="2"/>
      <c r="K518" s="2"/>
      <c r="L518" s="2"/>
    </row>
    <row r="519">
      <c r="C519" s="1"/>
      <c r="F519" s="2"/>
      <c r="G519" s="2"/>
      <c r="H519" s="2"/>
      <c r="K519" s="2"/>
      <c r="L519" s="2"/>
    </row>
    <row r="520">
      <c r="C520" s="1"/>
      <c r="F520" s="2"/>
      <c r="G520" s="2"/>
      <c r="H520" s="2"/>
      <c r="K520" s="2"/>
      <c r="L520" s="2"/>
    </row>
    <row r="521">
      <c r="C521" s="1"/>
      <c r="F521" s="2"/>
      <c r="G521" s="2"/>
      <c r="H521" s="2"/>
      <c r="K521" s="2"/>
      <c r="L521" s="2"/>
    </row>
    <row r="522">
      <c r="C522" s="1"/>
      <c r="F522" s="2"/>
      <c r="G522" s="2"/>
      <c r="H522" s="2"/>
      <c r="K522" s="2"/>
      <c r="L522" s="2"/>
    </row>
    <row r="523">
      <c r="C523" s="1"/>
      <c r="F523" s="2"/>
      <c r="G523" s="2"/>
      <c r="H523" s="2"/>
      <c r="K523" s="2"/>
      <c r="L523" s="2"/>
    </row>
    <row r="524">
      <c r="C524" s="1"/>
      <c r="F524" s="2"/>
      <c r="G524" s="2"/>
      <c r="H524" s="2"/>
      <c r="K524" s="2"/>
      <c r="L524" s="2"/>
    </row>
    <row r="525">
      <c r="C525" s="1"/>
      <c r="F525" s="2"/>
      <c r="G525" s="2"/>
      <c r="H525" s="2"/>
      <c r="K525" s="2"/>
      <c r="L525" s="2"/>
    </row>
    <row r="526">
      <c r="C526" s="1"/>
      <c r="F526" s="2"/>
      <c r="G526" s="2"/>
      <c r="H526" s="2"/>
      <c r="K526" s="2"/>
      <c r="L526" s="2"/>
    </row>
    <row r="527">
      <c r="C527" s="1"/>
      <c r="F527" s="2"/>
      <c r="G527" s="2"/>
      <c r="H527" s="2"/>
      <c r="K527" s="2"/>
      <c r="L527" s="2"/>
    </row>
    <row r="528">
      <c r="C528" s="1"/>
      <c r="F528" s="2"/>
      <c r="G528" s="2"/>
      <c r="H528" s="2"/>
      <c r="K528" s="2"/>
      <c r="L528" s="2"/>
    </row>
    <row r="529">
      <c r="C529" s="1"/>
      <c r="F529" s="2"/>
      <c r="G529" s="2"/>
      <c r="H529" s="2"/>
      <c r="K529" s="2"/>
      <c r="L529" s="2"/>
    </row>
    <row r="530">
      <c r="C530" s="1"/>
      <c r="F530" s="2"/>
      <c r="G530" s="2"/>
      <c r="H530" s="2"/>
      <c r="K530" s="2"/>
      <c r="L530" s="2"/>
    </row>
    <row r="531">
      <c r="C531" s="1"/>
      <c r="F531" s="2"/>
      <c r="G531" s="2"/>
      <c r="H531" s="2"/>
      <c r="K531" s="2"/>
      <c r="L531" s="2"/>
    </row>
    <row r="532">
      <c r="C532" s="1"/>
      <c r="F532" s="2"/>
      <c r="G532" s="2"/>
      <c r="H532" s="2"/>
      <c r="K532" s="2"/>
      <c r="L532" s="2"/>
    </row>
    <row r="533">
      <c r="C533" s="1"/>
      <c r="F533" s="2"/>
      <c r="G533" s="2"/>
      <c r="H533" s="2"/>
      <c r="K533" s="2"/>
      <c r="L533" s="2"/>
    </row>
    <row r="534">
      <c r="C534" s="1"/>
      <c r="F534" s="2"/>
      <c r="G534" s="2"/>
      <c r="H534" s="2"/>
      <c r="K534" s="2"/>
      <c r="L534" s="2"/>
    </row>
    <row r="535">
      <c r="C535" s="1"/>
      <c r="F535" s="2"/>
      <c r="G535" s="2"/>
      <c r="H535" s="2"/>
      <c r="K535" s="2"/>
      <c r="L535" s="2"/>
    </row>
    <row r="536">
      <c r="C536" s="1"/>
      <c r="F536" s="2"/>
      <c r="G536" s="2"/>
      <c r="H536" s="2"/>
      <c r="K536" s="2"/>
      <c r="L536" s="2"/>
    </row>
    <row r="537">
      <c r="C537" s="1"/>
      <c r="F537" s="2"/>
      <c r="G537" s="2"/>
      <c r="H537" s="2"/>
      <c r="K537" s="2"/>
      <c r="L537" s="2"/>
    </row>
    <row r="538">
      <c r="C538" s="1"/>
      <c r="F538" s="2"/>
      <c r="G538" s="2"/>
      <c r="H538" s="2"/>
      <c r="K538" s="2"/>
      <c r="L538" s="2"/>
    </row>
    <row r="539">
      <c r="C539" s="1"/>
      <c r="F539" s="2"/>
      <c r="G539" s="2"/>
      <c r="H539" s="2"/>
      <c r="K539" s="2"/>
      <c r="L539" s="2"/>
    </row>
    <row r="540">
      <c r="C540" s="1"/>
      <c r="F540" s="2"/>
      <c r="G540" s="2"/>
      <c r="H540" s="2"/>
      <c r="K540" s="2"/>
      <c r="L540" s="2"/>
    </row>
    <row r="541">
      <c r="C541" s="1"/>
      <c r="F541" s="2"/>
      <c r="G541" s="2"/>
      <c r="H541" s="2"/>
      <c r="K541" s="2"/>
      <c r="L541" s="2"/>
    </row>
    <row r="542">
      <c r="C542" s="1"/>
      <c r="F542" s="2"/>
      <c r="G542" s="2"/>
      <c r="H542" s="2"/>
      <c r="K542" s="2"/>
      <c r="L542" s="2"/>
    </row>
    <row r="543">
      <c r="C543" s="1"/>
      <c r="F543" s="2"/>
      <c r="G543" s="2"/>
      <c r="H543" s="2"/>
      <c r="K543" s="2"/>
      <c r="L543" s="2"/>
    </row>
    <row r="544">
      <c r="C544" s="1"/>
      <c r="F544" s="2"/>
      <c r="G544" s="2"/>
      <c r="H544" s="2"/>
      <c r="K544" s="2"/>
      <c r="L544" s="2"/>
    </row>
    <row r="545">
      <c r="C545" s="1"/>
      <c r="F545" s="2"/>
      <c r="G545" s="2"/>
      <c r="H545" s="2"/>
      <c r="K545" s="2"/>
      <c r="L545" s="2"/>
    </row>
    <row r="546">
      <c r="C546" s="1"/>
      <c r="F546" s="2"/>
      <c r="G546" s="2"/>
      <c r="H546" s="2"/>
      <c r="K546" s="2"/>
      <c r="L546" s="2"/>
    </row>
    <row r="547">
      <c r="C547" s="1"/>
      <c r="F547" s="2"/>
      <c r="G547" s="2"/>
      <c r="H547" s="2"/>
      <c r="K547" s="2"/>
      <c r="L547" s="2"/>
    </row>
    <row r="548">
      <c r="C548" s="1"/>
      <c r="F548" s="2"/>
      <c r="G548" s="2"/>
      <c r="H548" s="2"/>
      <c r="K548" s="2"/>
      <c r="L548" s="2"/>
    </row>
    <row r="549">
      <c r="C549" s="1"/>
      <c r="F549" s="2"/>
      <c r="G549" s="2"/>
      <c r="H549" s="2"/>
      <c r="K549" s="2"/>
      <c r="L549" s="2"/>
    </row>
    <row r="550">
      <c r="C550" s="1"/>
      <c r="F550" s="2"/>
      <c r="G550" s="2"/>
      <c r="H550" s="2"/>
      <c r="K550" s="2"/>
      <c r="L550" s="2"/>
    </row>
    <row r="551">
      <c r="C551" s="1"/>
      <c r="F551" s="2"/>
      <c r="G551" s="2"/>
      <c r="H551" s="2"/>
      <c r="K551" s="2"/>
      <c r="L551" s="2"/>
    </row>
    <row r="552">
      <c r="C552" s="1"/>
      <c r="F552" s="2"/>
      <c r="G552" s="2"/>
      <c r="H552" s="2"/>
      <c r="K552" s="2"/>
      <c r="L552" s="2"/>
    </row>
    <row r="553">
      <c r="C553" s="1"/>
      <c r="F553" s="2"/>
      <c r="G553" s="2"/>
      <c r="H553" s="2"/>
      <c r="K553" s="2"/>
      <c r="L553" s="2"/>
    </row>
    <row r="554">
      <c r="C554" s="1"/>
      <c r="F554" s="2"/>
      <c r="G554" s="2"/>
      <c r="H554" s="2"/>
      <c r="K554" s="2"/>
      <c r="L554" s="2"/>
    </row>
    <row r="555">
      <c r="C555" s="1"/>
      <c r="F555" s="2"/>
      <c r="G555" s="2"/>
      <c r="H555" s="2"/>
      <c r="K555" s="2"/>
      <c r="L555" s="2"/>
    </row>
    <row r="556">
      <c r="C556" s="1"/>
      <c r="F556" s="2"/>
      <c r="G556" s="2"/>
      <c r="H556" s="2"/>
      <c r="K556" s="2"/>
      <c r="L556" s="2"/>
    </row>
    <row r="557">
      <c r="C557" s="1"/>
      <c r="F557" s="2"/>
      <c r="G557" s="2"/>
      <c r="H557" s="2"/>
      <c r="K557" s="2"/>
      <c r="L557" s="2"/>
    </row>
    <row r="558">
      <c r="C558" s="1"/>
      <c r="F558" s="2"/>
      <c r="G558" s="2"/>
      <c r="H558" s="2"/>
      <c r="K558" s="2"/>
      <c r="L558" s="2"/>
    </row>
    <row r="559">
      <c r="C559" s="1"/>
      <c r="F559" s="2"/>
      <c r="G559" s="2"/>
      <c r="H559" s="2"/>
      <c r="K559" s="2"/>
      <c r="L559" s="2"/>
    </row>
    <row r="560">
      <c r="C560" s="1"/>
      <c r="F560" s="2"/>
      <c r="G560" s="2"/>
      <c r="H560" s="2"/>
      <c r="K560" s="2"/>
      <c r="L560" s="2"/>
    </row>
    <row r="561">
      <c r="C561" s="1"/>
      <c r="F561" s="2"/>
      <c r="G561" s="2"/>
      <c r="H561" s="2"/>
      <c r="K561" s="2"/>
      <c r="L561" s="2"/>
    </row>
    <row r="562">
      <c r="C562" s="1"/>
      <c r="F562" s="2"/>
      <c r="G562" s="2"/>
      <c r="H562" s="2"/>
      <c r="K562" s="2"/>
      <c r="L562" s="2"/>
    </row>
    <row r="563">
      <c r="C563" s="1"/>
      <c r="F563" s="2"/>
      <c r="G563" s="2"/>
      <c r="H563" s="2"/>
      <c r="K563" s="2"/>
      <c r="L563" s="2"/>
    </row>
    <row r="564">
      <c r="C564" s="1"/>
      <c r="F564" s="2"/>
      <c r="G564" s="2"/>
      <c r="H564" s="2"/>
      <c r="K564" s="2"/>
      <c r="L564" s="2"/>
    </row>
    <row r="565">
      <c r="C565" s="1"/>
      <c r="F565" s="2"/>
      <c r="G565" s="2"/>
      <c r="H565" s="2"/>
      <c r="K565" s="2"/>
      <c r="L565" s="2"/>
    </row>
    <row r="566">
      <c r="C566" s="1"/>
      <c r="F566" s="2"/>
      <c r="G566" s="2"/>
      <c r="H566" s="2"/>
      <c r="K566" s="2"/>
      <c r="L566" s="2"/>
    </row>
    <row r="567">
      <c r="C567" s="1"/>
      <c r="F567" s="2"/>
      <c r="G567" s="2"/>
      <c r="H567" s="2"/>
      <c r="K567" s="2"/>
      <c r="L567" s="2"/>
    </row>
    <row r="568">
      <c r="C568" s="1"/>
      <c r="F568" s="2"/>
      <c r="G568" s="2"/>
      <c r="H568" s="2"/>
      <c r="K568" s="2"/>
      <c r="L568" s="2"/>
    </row>
    <row r="569">
      <c r="C569" s="1"/>
      <c r="F569" s="2"/>
      <c r="G569" s="2"/>
      <c r="H569" s="2"/>
      <c r="K569" s="2"/>
      <c r="L569" s="2"/>
    </row>
    <row r="570">
      <c r="C570" s="1"/>
      <c r="F570" s="2"/>
      <c r="G570" s="2"/>
      <c r="H570" s="2"/>
      <c r="K570" s="2"/>
      <c r="L570" s="2"/>
    </row>
    <row r="571">
      <c r="C571" s="1"/>
      <c r="F571" s="2"/>
      <c r="G571" s="2"/>
      <c r="H571" s="2"/>
      <c r="K571" s="2"/>
      <c r="L571" s="2"/>
    </row>
    <row r="572">
      <c r="C572" s="1"/>
      <c r="F572" s="2"/>
      <c r="G572" s="2"/>
      <c r="H572" s="2"/>
      <c r="K572" s="2"/>
      <c r="L572" s="2"/>
    </row>
    <row r="573">
      <c r="C573" s="1"/>
      <c r="F573" s="2"/>
      <c r="G573" s="2"/>
      <c r="H573" s="2"/>
      <c r="K573" s="2"/>
      <c r="L573" s="2"/>
    </row>
    <row r="574">
      <c r="C574" s="1"/>
      <c r="F574" s="2"/>
      <c r="G574" s="2"/>
      <c r="H574" s="2"/>
      <c r="K574" s="2"/>
      <c r="L574" s="2"/>
    </row>
    <row r="575">
      <c r="C575" s="1"/>
      <c r="F575" s="2"/>
      <c r="G575" s="2"/>
      <c r="H575" s="2"/>
      <c r="K575" s="2"/>
      <c r="L575" s="2"/>
    </row>
    <row r="576">
      <c r="C576" s="1"/>
      <c r="F576" s="2"/>
      <c r="G576" s="2"/>
      <c r="H576" s="2"/>
      <c r="K576" s="2"/>
      <c r="L576" s="2"/>
    </row>
    <row r="577">
      <c r="C577" s="1"/>
      <c r="F577" s="2"/>
      <c r="G577" s="2"/>
      <c r="H577" s="2"/>
      <c r="K577" s="2"/>
      <c r="L577" s="2"/>
    </row>
    <row r="578">
      <c r="C578" s="1"/>
      <c r="F578" s="2"/>
      <c r="G578" s="2"/>
      <c r="H578" s="2"/>
      <c r="K578" s="2"/>
      <c r="L578" s="2"/>
    </row>
    <row r="579">
      <c r="C579" s="1"/>
      <c r="F579" s="2"/>
      <c r="G579" s="2"/>
      <c r="H579" s="2"/>
      <c r="K579" s="2"/>
      <c r="L579" s="2"/>
    </row>
    <row r="580">
      <c r="C580" s="1"/>
      <c r="F580" s="2"/>
      <c r="G580" s="2"/>
      <c r="H580" s="2"/>
      <c r="K580" s="2"/>
      <c r="L580" s="2"/>
    </row>
    <row r="581">
      <c r="C581" s="1"/>
      <c r="F581" s="2"/>
      <c r="G581" s="2"/>
      <c r="H581" s="2"/>
      <c r="K581" s="2"/>
      <c r="L581" s="2"/>
    </row>
    <row r="582">
      <c r="C582" s="1"/>
      <c r="F582" s="2"/>
      <c r="G582" s="2"/>
      <c r="H582" s="2"/>
      <c r="K582" s="2"/>
      <c r="L582" s="2"/>
    </row>
    <row r="583">
      <c r="C583" s="1"/>
      <c r="F583" s="2"/>
      <c r="G583" s="2"/>
      <c r="H583" s="2"/>
      <c r="K583" s="2"/>
      <c r="L583" s="2"/>
    </row>
    <row r="584">
      <c r="C584" s="1"/>
      <c r="F584" s="2"/>
      <c r="G584" s="2"/>
      <c r="H584" s="2"/>
      <c r="K584" s="2"/>
      <c r="L584" s="2"/>
    </row>
    <row r="585">
      <c r="C585" s="1"/>
      <c r="F585" s="2"/>
      <c r="G585" s="2"/>
      <c r="H585" s="2"/>
      <c r="K585" s="2"/>
      <c r="L585" s="2"/>
    </row>
    <row r="586">
      <c r="C586" s="1"/>
      <c r="F586" s="2"/>
      <c r="G586" s="2"/>
      <c r="H586" s="2"/>
      <c r="K586" s="2"/>
      <c r="L586" s="2"/>
    </row>
    <row r="587">
      <c r="C587" s="1"/>
      <c r="F587" s="2"/>
      <c r="G587" s="2"/>
      <c r="H587" s="2"/>
      <c r="K587" s="2"/>
      <c r="L587" s="2"/>
    </row>
    <row r="588">
      <c r="C588" s="1"/>
      <c r="F588" s="2"/>
      <c r="G588" s="2"/>
      <c r="H588" s="2"/>
      <c r="K588" s="2"/>
      <c r="L588" s="2"/>
    </row>
    <row r="589">
      <c r="C589" s="1"/>
      <c r="F589" s="2"/>
      <c r="G589" s="2"/>
      <c r="H589" s="2"/>
      <c r="K589" s="2"/>
      <c r="L589" s="2"/>
    </row>
    <row r="590">
      <c r="C590" s="1"/>
      <c r="F590" s="2"/>
      <c r="G590" s="2"/>
      <c r="H590" s="2"/>
      <c r="K590" s="2"/>
      <c r="L590" s="2"/>
    </row>
    <row r="591">
      <c r="C591" s="1"/>
      <c r="F591" s="2"/>
      <c r="G591" s="2"/>
      <c r="H591" s="2"/>
      <c r="K591" s="2"/>
      <c r="L591" s="2"/>
    </row>
    <row r="592">
      <c r="C592" s="1"/>
      <c r="F592" s="2"/>
      <c r="G592" s="2"/>
      <c r="H592" s="2"/>
      <c r="K592" s="2"/>
      <c r="L592" s="2"/>
    </row>
    <row r="593">
      <c r="C593" s="1"/>
      <c r="F593" s="2"/>
      <c r="G593" s="2"/>
      <c r="H593" s="2"/>
      <c r="K593" s="2"/>
      <c r="L593" s="2"/>
    </row>
    <row r="594">
      <c r="C594" s="1"/>
      <c r="F594" s="2"/>
      <c r="G594" s="2"/>
      <c r="H594" s="2"/>
      <c r="K594" s="2"/>
      <c r="L594" s="2"/>
    </row>
    <row r="595">
      <c r="C595" s="1"/>
      <c r="F595" s="2"/>
      <c r="G595" s="2"/>
      <c r="H595" s="2"/>
      <c r="K595" s="2"/>
      <c r="L595" s="2"/>
    </row>
    <row r="596">
      <c r="C596" s="1"/>
      <c r="F596" s="2"/>
      <c r="G596" s="2"/>
      <c r="H596" s="2"/>
      <c r="K596" s="2"/>
      <c r="L596" s="2"/>
    </row>
    <row r="597">
      <c r="C597" s="1"/>
      <c r="F597" s="2"/>
      <c r="G597" s="2"/>
      <c r="H597" s="2"/>
      <c r="K597" s="2"/>
      <c r="L597" s="2"/>
    </row>
    <row r="598">
      <c r="C598" s="1"/>
      <c r="F598" s="2"/>
      <c r="G598" s="2"/>
      <c r="H598" s="2"/>
      <c r="K598" s="2"/>
      <c r="L598" s="2"/>
    </row>
    <row r="599">
      <c r="C599" s="1"/>
      <c r="F599" s="2"/>
      <c r="G599" s="2"/>
      <c r="H599" s="2"/>
      <c r="K599" s="2"/>
      <c r="L599" s="2"/>
    </row>
    <row r="600">
      <c r="C600" s="1"/>
      <c r="F600" s="2"/>
      <c r="G600" s="2"/>
      <c r="H600" s="2"/>
      <c r="K600" s="2"/>
      <c r="L600" s="2"/>
    </row>
    <row r="601">
      <c r="C601" s="1"/>
      <c r="F601" s="2"/>
      <c r="G601" s="2"/>
      <c r="H601" s="2"/>
      <c r="K601" s="2"/>
      <c r="L601" s="2"/>
    </row>
    <row r="602">
      <c r="C602" s="1"/>
      <c r="F602" s="2"/>
      <c r="G602" s="2"/>
      <c r="H602" s="2"/>
      <c r="K602" s="2"/>
      <c r="L602" s="2"/>
    </row>
    <row r="603">
      <c r="C603" s="1"/>
      <c r="F603" s="2"/>
      <c r="G603" s="2"/>
      <c r="H603" s="2"/>
      <c r="K603" s="2"/>
      <c r="L603" s="2"/>
    </row>
    <row r="604">
      <c r="C604" s="1"/>
      <c r="F604" s="2"/>
      <c r="G604" s="2"/>
      <c r="H604" s="2"/>
      <c r="K604" s="2"/>
      <c r="L604" s="2"/>
    </row>
    <row r="605">
      <c r="C605" s="1"/>
      <c r="F605" s="2"/>
      <c r="G605" s="2"/>
      <c r="H605" s="2"/>
      <c r="K605" s="2"/>
      <c r="L605" s="2"/>
    </row>
    <row r="606">
      <c r="C606" s="1"/>
      <c r="F606" s="2"/>
      <c r="G606" s="2"/>
      <c r="H606" s="2"/>
      <c r="K606" s="2"/>
      <c r="L606" s="2"/>
    </row>
    <row r="607">
      <c r="C607" s="1"/>
      <c r="F607" s="2"/>
      <c r="G607" s="2"/>
      <c r="H607" s="2"/>
      <c r="K607" s="2"/>
      <c r="L607" s="2"/>
    </row>
    <row r="608">
      <c r="C608" s="1"/>
      <c r="F608" s="2"/>
      <c r="G608" s="2"/>
      <c r="H608" s="2"/>
      <c r="K608" s="2"/>
      <c r="L608" s="2"/>
    </row>
    <row r="609">
      <c r="C609" s="1"/>
      <c r="F609" s="2"/>
      <c r="G609" s="2"/>
      <c r="H609" s="2"/>
      <c r="K609" s="2"/>
      <c r="L609" s="2"/>
    </row>
    <row r="610">
      <c r="C610" s="1"/>
      <c r="F610" s="2"/>
      <c r="G610" s="2"/>
      <c r="H610" s="2"/>
      <c r="K610" s="2"/>
      <c r="L610" s="2"/>
    </row>
    <row r="611">
      <c r="C611" s="1"/>
      <c r="F611" s="2"/>
      <c r="G611" s="2"/>
      <c r="H611" s="2"/>
      <c r="K611" s="2"/>
      <c r="L611" s="2"/>
    </row>
    <row r="612">
      <c r="C612" s="1"/>
      <c r="F612" s="2"/>
      <c r="G612" s="2"/>
      <c r="H612" s="2"/>
      <c r="K612" s="2"/>
      <c r="L612" s="2"/>
    </row>
    <row r="613">
      <c r="C613" s="1"/>
      <c r="F613" s="2"/>
      <c r="G613" s="2"/>
      <c r="H613" s="2"/>
      <c r="K613" s="2"/>
      <c r="L613" s="2"/>
    </row>
    <row r="614">
      <c r="C614" s="1"/>
      <c r="F614" s="2"/>
      <c r="G614" s="2"/>
      <c r="H614" s="2"/>
      <c r="K614" s="2"/>
      <c r="L614" s="2"/>
    </row>
    <row r="615">
      <c r="C615" s="1"/>
      <c r="F615" s="2"/>
      <c r="G615" s="2"/>
      <c r="H615" s="2"/>
      <c r="K615" s="2"/>
      <c r="L615" s="2"/>
    </row>
    <row r="616">
      <c r="C616" s="1"/>
      <c r="F616" s="2"/>
      <c r="G616" s="2"/>
      <c r="H616" s="2"/>
      <c r="K616" s="2"/>
      <c r="L616" s="2"/>
    </row>
    <row r="617">
      <c r="C617" s="1"/>
      <c r="F617" s="2"/>
      <c r="G617" s="2"/>
      <c r="H617" s="2"/>
      <c r="K617" s="2"/>
      <c r="L617" s="2"/>
    </row>
    <row r="618">
      <c r="C618" s="1"/>
      <c r="F618" s="2"/>
      <c r="G618" s="2"/>
      <c r="H618" s="2"/>
      <c r="K618" s="2"/>
      <c r="L618" s="2"/>
    </row>
    <row r="619">
      <c r="C619" s="1"/>
      <c r="F619" s="2"/>
      <c r="G619" s="2"/>
      <c r="H619" s="2"/>
      <c r="K619" s="2"/>
      <c r="L619" s="2"/>
    </row>
    <row r="620">
      <c r="C620" s="1"/>
      <c r="F620" s="2"/>
      <c r="G620" s="2"/>
      <c r="H620" s="2"/>
      <c r="K620" s="2"/>
      <c r="L620" s="2"/>
    </row>
    <row r="621">
      <c r="C621" s="1"/>
      <c r="F621" s="2"/>
      <c r="G621" s="2"/>
      <c r="H621" s="2"/>
      <c r="K621" s="2"/>
      <c r="L621" s="2"/>
    </row>
    <row r="622">
      <c r="C622" s="1"/>
      <c r="F622" s="2"/>
      <c r="G622" s="2"/>
      <c r="H622" s="2"/>
      <c r="K622" s="2"/>
      <c r="L622" s="2"/>
    </row>
    <row r="623">
      <c r="C623" s="1"/>
      <c r="F623" s="2"/>
      <c r="G623" s="2"/>
      <c r="H623" s="2"/>
      <c r="K623" s="2"/>
      <c r="L623" s="2"/>
    </row>
    <row r="624">
      <c r="C624" s="1"/>
      <c r="F624" s="2"/>
      <c r="G624" s="2"/>
      <c r="H624" s="2"/>
      <c r="K624" s="2"/>
      <c r="L624" s="2"/>
    </row>
    <row r="625">
      <c r="C625" s="1"/>
      <c r="F625" s="2"/>
      <c r="G625" s="2"/>
      <c r="H625" s="2"/>
      <c r="K625" s="2"/>
      <c r="L625" s="2"/>
    </row>
    <row r="626">
      <c r="C626" s="1"/>
      <c r="F626" s="2"/>
      <c r="G626" s="2"/>
      <c r="H626" s="2"/>
      <c r="K626" s="2"/>
      <c r="L626" s="2"/>
    </row>
    <row r="627">
      <c r="C627" s="1"/>
      <c r="F627" s="2"/>
      <c r="G627" s="2"/>
      <c r="H627" s="2"/>
      <c r="K627" s="2"/>
      <c r="L627" s="2"/>
    </row>
    <row r="628">
      <c r="C628" s="1"/>
      <c r="F628" s="2"/>
      <c r="G628" s="2"/>
      <c r="H628" s="2"/>
      <c r="K628" s="2"/>
      <c r="L628" s="2"/>
    </row>
    <row r="629">
      <c r="C629" s="1"/>
      <c r="F629" s="2"/>
      <c r="G629" s="2"/>
      <c r="H629" s="2"/>
      <c r="K629" s="2"/>
      <c r="L629" s="2"/>
    </row>
    <row r="630">
      <c r="C630" s="1"/>
      <c r="F630" s="2"/>
      <c r="G630" s="2"/>
      <c r="H630" s="2"/>
      <c r="K630" s="2"/>
      <c r="L630" s="2"/>
    </row>
    <row r="631">
      <c r="C631" s="1"/>
      <c r="F631" s="2"/>
      <c r="G631" s="2"/>
      <c r="H631" s="2"/>
      <c r="K631" s="2"/>
      <c r="L631" s="2"/>
    </row>
    <row r="632">
      <c r="C632" s="1"/>
      <c r="F632" s="2"/>
      <c r="G632" s="2"/>
      <c r="H632" s="2"/>
      <c r="K632" s="2"/>
      <c r="L632" s="2"/>
    </row>
    <row r="633">
      <c r="C633" s="1"/>
      <c r="F633" s="2"/>
      <c r="G633" s="2"/>
      <c r="H633" s="2"/>
      <c r="K633" s="2"/>
      <c r="L633" s="2"/>
    </row>
    <row r="634">
      <c r="C634" s="1"/>
      <c r="F634" s="2"/>
      <c r="G634" s="2"/>
      <c r="H634" s="2"/>
      <c r="K634" s="2"/>
      <c r="L634" s="2"/>
    </row>
    <row r="635">
      <c r="C635" s="1"/>
      <c r="F635" s="2"/>
      <c r="G635" s="2"/>
      <c r="H635" s="2"/>
      <c r="K635" s="2"/>
      <c r="L635" s="2"/>
    </row>
    <row r="636">
      <c r="C636" s="1"/>
      <c r="F636" s="2"/>
      <c r="G636" s="2"/>
      <c r="H636" s="2"/>
      <c r="K636" s="2"/>
      <c r="L636" s="2"/>
    </row>
    <row r="637">
      <c r="C637" s="1"/>
      <c r="F637" s="2"/>
      <c r="G637" s="2"/>
      <c r="H637" s="2"/>
      <c r="K637" s="2"/>
      <c r="L637" s="2"/>
    </row>
    <row r="638">
      <c r="C638" s="1"/>
      <c r="F638" s="2"/>
      <c r="G638" s="2"/>
      <c r="H638" s="2"/>
      <c r="K638" s="2"/>
      <c r="L638" s="2"/>
    </row>
    <row r="639">
      <c r="C639" s="1"/>
      <c r="F639" s="2"/>
      <c r="G639" s="2"/>
      <c r="H639" s="2"/>
      <c r="K639" s="2"/>
      <c r="L639" s="2"/>
    </row>
    <row r="640">
      <c r="C640" s="1"/>
      <c r="F640" s="2"/>
      <c r="G640" s="2"/>
      <c r="H640" s="2"/>
      <c r="K640" s="2"/>
      <c r="L640" s="2"/>
    </row>
    <row r="641">
      <c r="C641" s="1"/>
      <c r="F641" s="2"/>
      <c r="G641" s="2"/>
      <c r="H641" s="2"/>
      <c r="K641" s="2"/>
      <c r="L641" s="2"/>
    </row>
    <row r="642">
      <c r="C642" s="1"/>
      <c r="F642" s="2"/>
      <c r="G642" s="2"/>
      <c r="H642" s="2"/>
      <c r="K642" s="2"/>
      <c r="L642" s="2"/>
    </row>
    <row r="643">
      <c r="C643" s="1"/>
      <c r="F643" s="2"/>
      <c r="G643" s="2"/>
      <c r="H643" s="2"/>
      <c r="K643" s="2"/>
      <c r="L643" s="2"/>
    </row>
    <row r="644">
      <c r="C644" s="1"/>
      <c r="F644" s="2"/>
      <c r="G644" s="2"/>
      <c r="H644" s="2"/>
      <c r="K644" s="2"/>
      <c r="L644" s="2"/>
    </row>
    <row r="645">
      <c r="C645" s="1"/>
      <c r="F645" s="2"/>
      <c r="G645" s="2"/>
      <c r="H645" s="2"/>
      <c r="K645" s="2"/>
      <c r="L645" s="2"/>
    </row>
    <row r="646">
      <c r="C646" s="1"/>
      <c r="F646" s="2"/>
      <c r="G646" s="2"/>
      <c r="H646" s="2"/>
      <c r="K646" s="2"/>
      <c r="L646" s="2"/>
    </row>
    <row r="647">
      <c r="C647" s="1"/>
      <c r="F647" s="2"/>
      <c r="G647" s="2"/>
      <c r="H647" s="2"/>
      <c r="K647" s="2"/>
      <c r="L647" s="2"/>
    </row>
    <row r="648">
      <c r="C648" s="1"/>
      <c r="F648" s="2"/>
      <c r="G648" s="2"/>
      <c r="H648" s="2"/>
      <c r="K648" s="2"/>
      <c r="L648" s="2"/>
    </row>
    <row r="649">
      <c r="C649" s="1"/>
      <c r="F649" s="2"/>
      <c r="G649" s="2"/>
      <c r="H649" s="2"/>
      <c r="K649" s="2"/>
      <c r="L649" s="2"/>
    </row>
    <row r="650">
      <c r="C650" s="1"/>
      <c r="F650" s="2"/>
      <c r="G650" s="2"/>
      <c r="H650" s="2"/>
      <c r="K650" s="2"/>
      <c r="L650" s="2"/>
    </row>
    <row r="651">
      <c r="C651" s="1"/>
      <c r="F651" s="2"/>
      <c r="G651" s="2"/>
      <c r="H651" s="2"/>
      <c r="K651" s="2"/>
      <c r="L651" s="2"/>
    </row>
    <row r="652">
      <c r="C652" s="1"/>
      <c r="F652" s="2"/>
      <c r="G652" s="2"/>
      <c r="H652" s="2"/>
      <c r="K652" s="2"/>
      <c r="L652" s="2"/>
    </row>
    <row r="653">
      <c r="C653" s="1"/>
      <c r="F653" s="2"/>
      <c r="G653" s="2"/>
      <c r="H653" s="2"/>
      <c r="K653" s="2"/>
      <c r="L653" s="2"/>
    </row>
    <row r="654">
      <c r="C654" s="1"/>
      <c r="F654" s="2"/>
      <c r="G654" s="2"/>
      <c r="H654" s="2"/>
      <c r="K654" s="2"/>
      <c r="L654" s="2"/>
    </row>
    <row r="655">
      <c r="C655" s="1"/>
      <c r="F655" s="2"/>
      <c r="G655" s="2"/>
      <c r="H655" s="2"/>
      <c r="K655" s="2"/>
      <c r="L655" s="2"/>
    </row>
    <row r="656">
      <c r="C656" s="1"/>
      <c r="F656" s="2"/>
      <c r="G656" s="2"/>
      <c r="H656" s="2"/>
      <c r="K656" s="2"/>
      <c r="L656" s="2"/>
    </row>
    <row r="657">
      <c r="C657" s="1"/>
      <c r="F657" s="2"/>
      <c r="G657" s="2"/>
      <c r="H657" s="2"/>
      <c r="K657" s="2"/>
      <c r="L657" s="2"/>
    </row>
    <row r="658">
      <c r="C658" s="1"/>
      <c r="F658" s="2"/>
      <c r="G658" s="2"/>
      <c r="H658" s="2"/>
      <c r="K658" s="2"/>
      <c r="L658" s="2"/>
    </row>
    <row r="659">
      <c r="C659" s="1"/>
      <c r="F659" s="2"/>
      <c r="G659" s="2"/>
      <c r="H659" s="2"/>
      <c r="K659" s="2"/>
      <c r="L659" s="2"/>
    </row>
    <row r="660">
      <c r="C660" s="1"/>
      <c r="F660" s="2"/>
      <c r="G660" s="2"/>
      <c r="H660" s="2"/>
      <c r="K660" s="2"/>
      <c r="L660" s="2"/>
    </row>
    <row r="661">
      <c r="C661" s="1"/>
      <c r="F661" s="2"/>
      <c r="G661" s="2"/>
      <c r="H661" s="2"/>
      <c r="K661" s="2"/>
      <c r="L661" s="2"/>
    </row>
    <row r="662">
      <c r="C662" s="1"/>
      <c r="F662" s="2"/>
      <c r="G662" s="2"/>
      <c r="H662" s="2"/>
      <c r="K662" s="2"/>
      <c r="L662" s="2"/>
    </row>
    <row r="663">
      <c r="C663" s="1"/>
      <c r="F663" s="2"/>
      <c r="G663" s="2"/>
      <c r="H663" s="2"/>
      <c r="K663" s="2"/>
      <c r="L663" s="2"/>
    </row>
    <row r="664">
      <c r="C664" s="1"/>
      <c r="F664" s="2"/>
      <c r="G664" s="2"/>
      <c r="H664" s="2"/>
      <c r="K664" s="2"/>
      <c r="L664" s="2"/>
    </row>
    <row r="665">
      <c r="C665" s="1"/>
      <c r="F665" s="2"/>
      <c r="G665" s="2"/>
      <c r="H665" s="2"/>
      <c r="K665" s="2"/>
      <c r="L665" s="2"/>
    </row>
    <row r="666">
      <c r="C666" s="1"/>
      <c r="F666" s="2"/>
      <c r="G666" s="2"/>
      <c r="H666" s="2"/>
      <c r="K666" s="2"/>
      <c r="L666" s="2"/>
    </row>
    <row r="667">
      <c r="C667" s="1"/>
      <c r="F667" s="2"/>
      <c r="G667" s="2"/>
      <c r="H667" s="2"/>
      <c r="K667" s="2"/>
      <c r="L667" s="2"/>
    </row>
    <row r="668">
      <c r="C668" s="1"/>
      <c r="F668" s="2"/>
      <c r="G668" s="2"/>
      <c r="H668" s="2"/>
      <c r="K668" s="2"/>
      <c r="L668" s="2"/>
    </row>
    <row r="669">
      <c r="C669" s="1"/>
      <c r="F669" s="2"/>
      <c r="G669" s="2"/>
      <c r="H669" s="2"/>
      <c r="K669" s="2"/>
      <c r="L669" s="2"/>
    </row>
    <row r="670">
      <c r="C670" s="1"/>
      <c r="F670" s="2"/>
      <c r="G670" s="2"/>
      <c r="H670" s="2"/>
      <c r="K670" s="2"/>
      <c r="L670" s="2"/>
    </row>
    <row r="671">
      <c r="C671" s="1"/>
      <c r="F671" s="2"/>
      <c r="G671" s="2"/>
      <c r="H671" s="2"/>
      <c r="K671" s="2"/>
      <c r="L671" s="2"/>
    </row>
    <row r="672">
      <c r="C672" s="1"/>
      <c r="F672" s="2"/>
      <c r="G672" s="2"/>
      <c r="H672" s="2"/>
      <c r="K672" s="2"/>
      <c r="L672" s="2"/>
    </row>
    <row r="673">
      <c r="C673" s="1"/>
      <c r="F673" s="2"/>
      <c r="G673" s="2"/>
      <c r="H673" s="2"/>
      <c r="K673" s="2"/>
      <c r="L673" s="2"/>
    </row>
    <row r="674">
      <c r="C674" s="1"/>
      <c r="F674" s="2"/>
      <c r="G674" s="2"/>
      <c r="H674" s="2"/>
      <c r="K674" s="2"/>
      <c r="L674" s="2"/>
    </row>
    <row r="675">
      <c r="C675" s="1"/>
      <c r="F675" s="2"/>
      <c r="G675" s="2"/>
      <c r="H675" s="2"/>
      <c r="K675" s="2"/>
      <c r="L675" s="2"/>
    </row>
    <row r="676">
      <c r="C676" s="1"/>
      <c r="F676" s="2"/>
      <c r="G676" s="2"/>
      <c r="H676" s="2"/>
      <c r="K676" s="2"/>
      <c r="L676" s="2"/>
    </row>
    <row r="677">
      <c r="C677" s="1"/>
      <c r="F677" s="2"/>
      <c r="G677" s="2"/>
      <c r="H677" s="2"/>
      <c r="K677" s="2"/>
      <c r="L677" s="2"/>
    </row>
    <row r="678">
      <c r="C678" s="1"/>
      <c r="F678" s="2"/>
      <c r="G678" s="2"/>
      <c r="H678" s="2"/>
      <c r="K678" s="2"/>
      <c r="L678" s="2"/>
    </row>
    <row r="679">
      <c r="C679" s="1"/>
      <c r="F679" s="2"/>
      <c r="G679" s="2"/>
      <c r="H679" s="2"/>
      <c r="K679" s="2"/>
      <c r="L679" s="2"/>
    </row>
    <row r="680">
      <c r="C680" s="1"/>
      <c r="F680" s="2"/>
      <c r="G680" s="2"/>
      <c r="H680" s="2"/>
      <c r="K680" s="2"/>
      <c r="L680" s="2"/>
    </row>
    <row r="681">
      <c r="C681" s="1"/>
      <c r="F681" s="2"/>
      <c r="G681" s="2"/>
      <c r="H681" s="2"/>
      <c r="K681" s="2"/>
      <c r="L681" s="2"/>
    </row>
    <row r="682">
      <c r="C682" s="1"/>
      <c r="F682" s="2"/>
      <c r="G682" s="2"/>
      <c r="H682" s="2"/>
      <c r="K682" s="2"/>
      <c r="L682" s="2"/>
    </row>
    <row r="683">
      <c r="C683" s="1"/>
      <c r="F683" s="2"/>
      <c r="G683" s="2"/>
      <c r="H683" s="2"/>
      <c r="K683" s="2"/>
      <c r="L683" s="2"/>
    </row>
    <row r="684">
      <c r="C684" s="1"/>
      <c r="F684" s="2"/>
      <c r="G684" s="2"/>
      <c r="H684" s="2"/>
      <c r="K684" s="2"/>
      <c r="L684" s="2"/>
    </row>
    <row r="685">
      <c r="C685" s="1"/>
      <c r="F685" s="2"/>
      <c r="G685" s="2"/>
      <c r="H685" s="2"/>
      <c r="K685" s="2"/>
      <c r="L685" s="2"/>
    </row>
    <row r="686">
      <c r="C686" s="1"/>
      <c r="F686" s="2"/>
      <c r="G686" s="2"/>
      <c r="H686" s="2"/>
      <c r="K686" s="2"/>
      <c r="L686" s="2"/>
    </row>
    <row r="687">
      <c r="C687" s="1"/>
      <c r="F687" s="2"/>
      <c r="G687" s="2"/>
      <c r="H687" s="2"/>
      <c r="K687" s="2"/>
      <c r="L687" s="2"/>
    </row>
    <row r="688">
      <c r="C688" s="1"/>
      <c r="F688" s="2"/>
      <c r="G688" s="2"/>
      <c r="H688" s="2"/>
      <c r="K688" s="2"/>
      <c r="L688" s="2"/>
    </row>
    <row r="689">
      <c r="C689" s="1"/>
      <c r="F689" s="2"/>
      <c r="G689" s="2"/>
      <c r="H689" s="2"/>
      <c r="K689" s="2"/>
      <c r="L689" s="2"/>
    </row>
    <row r="690">
      <c r="C690" s="1"/>
      <c r="F690" s="2"/>
      <c r="G690" s="2"/>
      <c r="H690" s="2"/>
      <c r="K690" s="2"/>
      <c r="L690" s="2"/>
    </row>
    <row r="691">
      <c r="C691" s="1"/>
      <c r="F691" s="2"/>
      <c r="G691" s="2"/>
      <c r="H691" s="2"/>
      <c r="K691" s="2"/>
      <c r="L691" s="2"/>
    </row>
    <row r="692">
      <c r="C692" s="1"/>
      <c r="F692" s="2"/>
      <c r="G692" s="2"/>
      <c r="H692" s="2"/>
      <c r="K692" s="2"/>
      <c r="L692" s="2"/>
    </row>
    <row r="693">
      <c r="C693" s="1"/>
      <c r="F693" s="2"/>
      <c r="G693" s="2"/>
      <c r="H693" s="2"/>
      <c r="K693" s="2"/>
      <c r="L693" s="2"/>
    </row>
    <row r="694">
      <c r="C694" s="1"/>
      <c r="F694" s="2"/>
      <c r="G694" s="2"/>
      <c r="H694" s="2"/>
      <c r="K694" s="2"/>
      <c r="L694" s="2"/>
    </row>
    <row r="695">
      <c r="C695" s="1"/>
      <c r="F695" s="2"/>
      <c r="G695" s="2"/>
      <c r="H695" s="2"/>
      <c r="K695" s="2"/>
      <c r="L695" s="2"/>
    </row>
    <row r="696">
      <c r="C696" s="1"/>
      <c r="F696" s="2"/>
      <c r="G696" s="2"/>
      <c r="H696" s="2"/>
      <c r="K696" s="2"/>
      <c r="L696" s="2"/>
    </row>
    <row r="697">
      <c r="C697" s="1"/>
      <c r="F697" s="2"/>
      <c r="G697" s="2"/>
      <c r="H697" s="2"/>
      <c r="K697" s="2"/>
      <c r="L697" s="2"/>
    </row>
    <row r="698">
      <c r="C698" s="1"/>
      <c r="F698" s="2"/>
      <c r="G698" s="2"/>
      <c r="H698" s="2"/>
      <c r="K698" s="2"/>
      <c r="L698" s="2"/>
    </row>
    <row r="699">
      <c r="C699" s="1"/>
      <c r="F699" s="2"/>
      <c r="G699" s="2"/>
      <c r="H699" s="2"/>
      <c r="K699" s="2"/>
      <c r="L699" s="2"/>
    </row>
    <row r="700">
      <c r="C700" s="1"/>
      <c r="F700" s="2"/>
      <c r="G700" s="2"/>
      <c r="H700" s="2"/>
      <c r="K700" s="2"/>
      <c r="L700" s="2"/>
    </row>
    <row r="701">
      <c r="C701" s="1"/>
      <c r="F701" s="2"/>
      <c r="G701" s="2"/>
      <c r="H701" s="2"/>
      <c r="K701" s="2"/>
      <c r="L701" s="2"/>
    </row>
    <row r="702">
      <c r="C702" s="1"/>
      <c r="F702" s="2"/>
      <c r="G702" s="2"/>
      <c r="H702" s="2"/>
      <c r="K702" s="2"/>
      <c r="L702" s="2"/>
    </row>
    <row r="703">
      <c r="C703" s="1"/>
      <c r="F703" s="2"/>
      <c r="G703" s="2"/>
      <c r="H703" s="2"/>
      <c r="K703" s="2"/>
      <c r="L703" s="2"/>
    </row>
    <row r="704">
      <c r="C704" s="1"/>
      <c r="F704" s="2"/>
      <c r="G704" s="2"/>
      <c r="H704" s="2"/>
      <c r="K704" s="2"/>
      <c r="L704" s="2"/>
    </row>
    <row r="705">
      <c r="C705" s="1"/>
      <c r="F705" s="2"/>
      <c r="G705" s="2"/>
      <c r="H705" s="2"/>
      <c r="K705" s="2"/>
      <c r="L705" s="2"/>
    </row>
    <row r="706">
      <c r="C706" s="1"/>
      <c r="F706" s="2"/>
      <c r="G706" s="2"/>
      <c r="H706" s="2"/>
      <c r="K706" s="2"/>
      <c r="L706" s="2"/>
    </row>
    <row r="707">
      <c r="C707" s="1"/>
      <c r="F707" s="2"/>
      <c r="G707" s="2"/>
      <c r="H707" s="2"/>
      <c r="K707" s="2"/>
      <c r="L707" s="2"/>
    </row>
    <row r="708">
      <c r="C708" s="1"/>
      <c r="F708" s="2"/>
      <c r="G708" s="2"/>
      <c r="H708" s="2"/>
      <c r="K708" s="2"/>
      <c r="L708" s="2"/>
    </row>
    <row r="709">
      <c r="C709" s="1"/>
      <c r="F709" s="2"/>
      <c r="G709" s="2"/>
      <c r="H709" s="2"/>
      <c r="K709" s="2"/>
      <c r="L709" s="2"/>
    </row>
    <row r="710">
      <c r="C710" s="1"/>
      <c r="F710" s="2"/>
      <c r="G710" s="2"/>
      <c r="H710" s="2"/>
      <c r="K710" s="2"/>
      <c r="L710" s="2"/>
    </row>
    <row r="711">
      <c r="C711" s="1"/>
      <c r="F711" s="2"/>
      <c r="G711" s="2"/>
      <c r="H711" s="2"/>
      <c r="K711" s="2"/>
      <c r="L711" s="2"/>
    </row>
    <row r="712">
      <c r="C712" s="1"/>
      <c r="F712" s="2"/>
      <c r="G712" s="2"/>
      <c r="H712" s="2"/>
      <c r="K712" s="2"/>
      <c r="L712" s="2"/>
    </row>
    <row r="713">
      <c r="C713" s="1"/>
      <c r="F713" s="2"/>
      <c r="G713" s="2"/>
      <c r="H713" s="2"/>
      <c r="K713" s="2"/>
      <c r="L713" s="2"/>
    </row>
    <row r="714">
      <c r="C714" s="1"/>
      <c r="F714" s="2"/>
      <c r="G714" s="2"/>
      <c r="H714" s="2"/>
      <c r="K714" s="2"/>
      <c r="L714" s="2"/>
    </row>
    <row r="715">
      <c r="C715" s="1"/>
      <c r="F715" s="2"/>
      <c r="G715" s="2"/>
      <c r="H715" s="2"/>
      <c r="K715" s="2"/>
      <c r="L715" s="2"/>
    </row>
    <row r="716">
      <c r="C716" s="1"/>
      <c r="F716" s="2"/>
      <c r="G716" s="2"/>
      <c r="H716" s="2"/>
      <c r="K716" s="2"/>
      <c r="L716" s="2"/>
    </row>
    <row r="717">
      <c r="C717" s="1"/>
      <c r="F717" s="2"/>
      <c r="G717" s="2"/>
      <c r="H717" s="2"/>
      <c r="K717" s="2"/>
      <c r="L717" s="2"/>
    </row>
    <row r="718">
      <c r="C718" s="1"/>
      <c r="F718" s="2"/>
      <c r="G718" s="2"/>
      <c r="H718" s="2"/>
      <c r="K718" s="2"/>
      <c r="L718" s="2"/>
    </row>
    <row r="719">
      <c r="C719" s="1"/>
      <c r="F719" s="2"/>
      <c r="G719" s="2"/>
      <c r="H719" s="2"/>
      <c r="K719" s="2"/>
      <c r="L719" s="2"/>
    </row>
    <row r="720">
      <c r="C720" s="1"/>
      <c r="F720" s="2"/>
      <c r="G720" s="2"/>
      <c r="H720" s="2"/>
      <c r="K720" s="2"/>
      <c r="L720" s="2"/>
    </row>
    <row r="721">
      <c r="C721" s="1"/>
      <c r="F721" s="2"/>
      <c r="G721" s="2"/>
      <c r="H721" s="2"/>
      <c r="K721" s="2"/>
      <c r="L721" s="2"/>
    </row>
    <row r="722">
      <c r="C722" s="1"/>
      <c r="F722" s="2"/>
      <c r="G722" s="2"/>
      <c r="H722" s="2"/>
      <c r="K722" s="2"/>
      <c r="L722" s="2"/>
    </row>
    <row r="723">
      <c r="C723" s="1"/>
      <c r="F723" s="2"/>
      <c r="G723" s="2"/>
      <c r="H723" s="2"/>
      <c r="K723" s="2"/>
      <c r="L723" s="2"/>
    </row>
    <row r="724">
      <c r="C724" s="1"/>
      <c r="F724" s="2"/>
      <c r="G724" s="2"/>
      <c r="H724" s="2"/>
      <c r="K724" s="2"/>
      <c r="L724" s="2"/>
    </row>
    <row r="725">
      <c r="C725" s="1"/>
      <c r="F725" s="2"/>
      <c r="G725" s="2"/>
      <c r="H725" s="2"/>
      <c r="K725" s="2"/>
      <c r="L725" s="2"/>
    </row>
    <row r="726">
      <c r="C726" s="1"/>
      <c r="F726" s="2"/>
      <c r="G726" s="2"/>
      <c r="H726" s="2"/>
      <c r="K726" s="2"/>
      <c r="L726" s="2"/>
    </row>
    <row r="727">
      <c r="C727" s="1"/>
      <c r="F727" s="2"/>
      <c r="G727" s="2"/>
      <c r="H727" s="2"/>
      <c r="K727" s="2"/>
      <c r="L727" s="2"/>
    </row>
    <row r="728">
      <c r="C728" s="1"/>
      <c r="F728" s="2"/>
      <c r="G728" s="2"/>
      <c r="H728" s="2"/>
      <c r="K728" s="2"/>
      <c r="L728" s="2"/>
    </row>
    <row r="729">
      <c r="C729" s="1"/>
      <c r="F729" s="2"/>
      <c r="G729" s="2"/>
      <c r="H729" s="2"/>
      <c r="K729" s="2"/>
      <c r="L729" s="2"/>
    </row>
    <row r="730">
      <c r="C730" s="1"/>
      <c r="F730" s="2"/>
      <c r="G730" s="2"/>
      <c r="H730" s="2"/>
      <c r="K730" s="2"/>
      <c r="L730" s="2"/>
    </row>
    <row r="731">
      <c r="C731" s="1"/>
      <c r="F731" s="2"/>
      <c r="G731" s="2"/>
      <c r="H731" s="2"/>
      <c r="K731" s="2"/>
      <c r="L731" s="2"/>
    </row>
    <row r="732">
      <c r="C732" s="1"/>
      <c r="F732" s="2"/>
      <c r="G732" s="2"/>
      <c r="H732" s="2"/>
      <c r="K732" s="2"/>
      <c r="L732" s="2"/>
    </row>
    <row r="733">
      <c r="C733" s="1"/>
      <c r="F733" s="2"/>
      <c r="G733" s="2"/>
      <c r="H733" s="2"/>
      <c r="K733" s="2"/>
      <c r="L733" s="2"/>
    </row>
    <row r="734">
      <c r="C734" s="1"/>
      <c r="F734" s="2"/>
      <c r="G734" s="2"/>
      <c r="H734" s="2"/>
      <c r="K734" s="2"/>
      <c r="L734" s="2"/>
    </row>
    <row r="735">
      <c r="C735" s="1"/>
      <c r="F735" s="2"/>
      <c r="G735" s="2"/>
      <c r="H735" s="2"/>
      <c r="K735" s="2"/>
      <c r="L735" s="2"/>
    </row>
    <row r="736">
      <c r="C736" s="1"/>
      <c r="F736" s="2"/>
      <c r="G736" s="2"/>
      <c r="H736" s="2"/>
      <c r="K736" s="2"/>
      <c r="L736" s="2"/>
    </row>
    <row r="737">
      <c r="C737" s="1"/>
      <c r="F737" s="2"/>
      <c r="G737" s="2"/>
      <c r="H737" s="2"/>
      <c r="K737" s="2"/>
      <c r="L737" s="2"/>
    </row>
    <row r="738">
      <c r="C738" s="1"/>
      <c r="F738" s="2"/>
      <c r="G738" s="2"/>
      <c r="H738" s="2"/>
      <c r="K738" s="2"/>
      <c r="L738" s="2"/>
    </row>
    <row r="739">
      <c r="C739" s="1"/>
      <c r="F739" s="2"/>
      <c r="G739" s="2"/>
      <c r="H739" s="2"/>
      <c r="K739" s="2"/>
      <c r="L739" s="2"/>
    </row>
    <row r="740">
      <c r="C740" s="1"/>
      <c r="F740" s="2"/>
      <c r="G740" s="2"/>
      <c r="H740" s="2"/>
      <c r="K740" s="2"/>
      <c r="L740" s="2"/>
    </row>
    <row r="741">
      <c r="C741" s="1"/>
      <c r="F741" s="2"/>
      <c r="G741" s="2"/>
      <c r="H741" s="2"/>
      <c r="K741" s="2"/>
      <c r="L741" s="2"/>
    </row>
    <row r="742">
      <c r="C742" s="1"/>
      <c r="F742" s="2"/>
      <c r="G742" s="2"/>
      <c r="H742" s="2"/>
      <c r="K742" s="2"/>
      <c r="L742" s="2"/>
    </row>
    <row r="743">
      <c r="C743" s="1"/>
      <c r="F743" s="2"/>
      <c r="G743" s="2"/>
      <c r="H743" s="2"/>
      <c r="K743" s="2"/>
      <c r="L743" s="2"/>
    </row>
    <row r="744">
      <c r="C744" s="1"/>
      <c r="F744" s="2"/>
      <c r="G744" s="2"/>
      <c r="H744" s="2"/>
      <c r="K744" s="2"/>
      <c r="L744" s="2"/>
    </row>
    <row r="745">
      <c r="C745" s="1"/>
      <c r="F745" s="2"/>
      <c r="G745" s="2"/>
      <c r="H745" s="2"/>
      <c r="K745" s="2"/>
      <c r="L745" s="2"/>
    </row>
    <row r="746">
      <c r="C746" s="1"/>
      <c r="F746" s="2"/>
      <c r="G746" s="2"/>
      <c r="H746" s="2"/>
      <c r="K746" s="2"/>
      <c r="L746" s="2"/>
    </row>
    <row r="747">
      <c r="C747" s="1"/>
      <c r="F747" s="2"/>
      <c r="G747" s="2"/>
      <c r="H747" s="2"/>
      <c r="K747" s="2"/>
      <c r="L747" s="2"/>
    </row>
    <row r="748">
      <c r="C748" s="1"/>
      <c r="F748" s="2"/>
      <c r="G748" s="2"/>
      <c r="H748" s="2"/>
      <c r="K748" s="2"/>
      <c r="L748" s="2"/>
    </row>
    <row r="749">
      <c r="C749" s="1"/>
      <c r="F749" s="2"/>
      <c r="G749" s="2"/>
      <c r="H749" s="2"/>
      <c r="K749" s="2"/>
      <c r="L749" s="2"/>
    </row>
    <row r="750">
      <c r="C750" s="1"/>
      <c r="F750" s="2"/>
      <c r="G750" s="2"/>
      <c r="H750" s="2"/>
      <c r="K750" s="2"/>
      <c r="L750" s="2"/>
    </row>
    <row r="751">
      <c r="C751" s="1"/>
      <c r="F751" s="2"/>
      <c r="G751" s="2"/>
      <c r="H751" s="2"/>
      <c r="K751" s="2"/>
      <c r="L751" s="2"/>
    </row>
    <row r="752">
      <c r="C752" s="1"/>
      <c r="F752" s="2"/>
      <c r="G752" s="2"/>
      <c r="H752" s="2"/>
      <c r="K752" s="2"/>
      <c r="L752" s="2"/>
    </row>
    <row r="753">
      <c r="C753" s="1"/>
      <c r="F753" s="2"/>
      <c r="G753" s="2"/>
      <c r="H753" s="2"/>
      <c r="K753" s="2"/>
      <c r="L753" s="2"/>
    </row>
    <row r="754">
      <c r="C754" s="1"/>
      <c r="F754" s="2"/>
      <c r="G754" s="2"/>
      <c r="H754" s="2"/>
      <c r="K754" s="2"/>
      <c r="L754" s="2"/>
    </row>
    <row r="755">
      <c r="C755" s="1"/>
      <c r="F755" s="2"/>
      <c r="G755" s="2"/>
      <c r="H755" s="2"/>
      <c r="K755" s="2"/>
      <c r="L755" s="2"/>
    </row>
    <row r="756">
      <c r="C756" s="1"/>
      <c r="F756" s="2"/>
      <c r="G756" s="2"/>
      <c r="H756" s="2"/>
      <c r="K756" s="2"/>
      <c r="L756" s="2"/>
    </row>
    <row r="757">
      <c r="C757" s="1"/>
      <c r="F757" s="2"/>
      <c r="G757" s="2"/>
      <c r="H757" s="2"/>
      <c r="K757" s="2"/>
      <c r="L757" s="2"/>
    </row>
    <row r="758">
      <c r="C758" s="1"/>
      <c r="F758" s="2"/>
      <c r="G758" s="2"/>
      <c r="H758" s="2"/>
      <c r="K758" s="2"/>
      <c r="L758" s="2"/>
    </row>
    <row r="759">
      <c r="C759" s="1"/>
      <c r="F759" s="2"/>
      <c r="G759" s="2"/>
      <c r="H759" s="2"/>
      <c r="K759" s="2"/>
      <c r="L759" s="2"/>
    </row>
    <row r="760">
      <c r="C760" s="1"/>
      <c r="F760" s="2"/>
      <c r="G760" s="2"/>
      <c r="H760" s="2"/>
      <c r="K760" s="2"/>
      <c r="L760" s="2"/>
    </row>
    <row r="761">
      <c r="C761" s="1"/>
      <c r="F761" s="2"/>
      <c r="G761" s="2"/>
      <c r="H761" s="2"/>
      <c r="K761" s="2"/>
      <c r="L761" s="2"/>
    </row>
    <row r="762">
      <c r="C762" s="1"/>
      <c r="F762" s="2"/>
      <c r="G762" s="2"/>
      <c r="H762" s="2"/>
      <c r="K762" s="2"/>
      <c r="L762" s="2"/>
    </row>
    <row r="763">
      <c r="C763" s="1"/>
      <c r="F763" s="2"/>
      <c r="G763" s="2"/>
      <c r="H763" s="2"/>
      <c r="K763" s="2"/>
      <c r="L763" s="2"/>
    </row>
    <row r="764">
      <c r="C764" s="1"/>
      <c r="F764" s="2"/>
      <c r="G764" s="2"/>
      <c r="H764" s="2"/>
      <c r="K764" s="2"/>
      <c r="L764" s="2"/>
    </row>
    <row r="765">
      <c r="C765" s="1"/>
      <c r="F765" s="2"/>
      <c r="G765" s="2"/>
      <c r="H765" s="2"/>
      <c r="K765" s="2"/>
      <c r="L765" s="2"/>
    </row>
    <row r="766">
      <c r="C766" s="1"/>
      <c r="F766" s="2"/>
      <c r="G766" s="2"/>
      <c r="H766" s="2"/>
      <c r="K766" s="2"/>
      <c r="L766" s="2"/>
    </row>
    <row r="767">
      <c r="C767" s="1"/>
      <c r="F767" s="2"/>
      <c r="G767" s="2"/>
      <c r="H767" s="2"/>
      <c r="K767" s="2"/>
      <c r="L767" s="2"/>
    </row>
    <row r="768">
      <c r="C768" s="1"/>
      <c r="F768" s="2"/>
      <c r="G768" s="2"/>
      <c r="H768" s="2"/>
      <c r="K768" s="2"/>
      <c r="L768" s="2"/>
    </row>
    <row r="769">
      <c r="C769" s="1"/>
      <c r="F769" s="2"/>
      <c r="G769" s="2"/>
      <c r="H769" s="2"/>
      <c r="K769" s="2"/>
      <c r="L769" s="2"/>
    </row>
    <row r="770">
      <c r="C770" s="1"/>
      <c r="F770" s="2"/>
      <c r="G770" s="2"/>
      <c r="H770" s="2"/>
      <c r="K770" s="2"/>
      <c r="L770" s="2"/>
    </row>
    <row r="771">
      <c r="C771" s="1"/>
      <c r="F771" s="2"/>
      <c r="G771" s="2"/>
      <c r="H771" s="2"/>
      <c r="K771" s="2"/>
      <c r="L771" s="2"/>
    </row>
    <row r="772">
      <c r="C772" s="1"/>
      <c r="F772" s="2"/>
      <c r="G772" s="2"/>
      <c r="H772" s="2"/>
      <c r="K772" s="2"/>
      <c r="L772" s="2"/>
    </row>
    <row r="773">
      <c r="C773" s="1"/>
      <c r="F773" s="2"/>
      <c r="G773" s="2"/>
      <c r="H773" s="2"/>
      <c r="K773" s="2"/>
      <c r="L773" s="2"/>
    </row>
    <row r="774">
      <c r="C774" s="1"/>
      <c r="F774" s="2"/>
      <c r="G774" s="2"/>
      <c r="H774" s="2"/>
      <c r="K774" s="2"/>
      <c r="L774" s="2"/>
    </row>
    <row r="775">
      <c r="C775" s="1"/>
      <c r="F775" s="2"/>
      <c r="G775" s="2"/>
      <c r="H775" s="2"/>
      <c r="K775" s="2"/>
      <c r="L775" s="2"/>
    </row>
    <row r="776">
      <c r="C776" s="1"/>
      <c r="F776" s="2"/>
      <c r="G776" s="2"/>
      <c r="H776" s="2"/>
      <c r="K776" s="2"/>
      <c r="L776" s="2"/>
    </row>
    <row r="777">
      <c r="C777" s="1"/>
      <c r="F777" s="2"/>
      <c r="G777" s="2"/>
      <c r="H777" s="2"/>
      <c r="K777" s="2"/>
      <c r="L777" s="2"/>
    </row>
    <row r="778">
      <c r="C778" s="1"/>
      <c r="F778" s="2"/>
      <c r="G778" s="2"/>
      <c r="H778" s="2"/>
      <c r="K778" s="2"/>
      <c r="L778" s="2"/>
    </row>
    <row r="779">
      <c r="C779" s="1"/>
      <c r="F779" s="2"/>
      <c r="G779" s="2"/>
      <c r="H779" s="2"/>
      <c r="K779" s="2"/>
      <c r="L779" s="2"/>
    </row>
    <row r="780">
      <c r="C780" s="1"/>
      <c r="F780" s="2"/>
      <c r="G780" s="2"/>
      <c r="H780" s="2"/>
      <c r="K780" s="2"/>
      <c r="L780" s="2"/>
    </row>
    <row r="781">
      <c r="C781" s="1"/>
      <c r="F781" s="2"/>
      <c r="G781" s="2"/>
      <c r="H781" s="2"/>
      <c r="K781" s="2"/>
      <c r="L781" s="2"/>
    </row>
    <row r="782">
      <c r="C782" s="1"/>
      <c r="F782" s="2"/>
      <c r="G782" s="2"/>
      <c r="H782" s="2"/>
      <c r="K782" s="2"/>
      <c r="L782" s="2"/>
    </row>
    <row r="783">
      <c r="C783" s="1"/>
      <c r="F783" s="2"/>
      <c r="G783" s="2"/>
      <c r="H783" s="2"/>
      <c r="K783" s="2"/>
      <c r="L783" s="2"/>
    </row>
    <row r="784">
      <c r="C784" s="1"/>
      <c r="F784" s="2"/>
      <c r="G784" s="2"/>
      <c r="H784" s="2"/>
      <c r="K784" s="2"/>
      <c r="L784" s="2"/>
    </row>
    <row r="785">
      <c r="C785" s="1"/>
      <c r="F785" s="2"/>
      <c r="G785" s="2"/>
      <c r="H785" s="2"/>
      <c r="K785" s="2"/>
      <c r="L785" s="2"/>
    </row>
    <row r="786">
      <c r="C786" s="1"/>
      <c r="F786" s="2"/>
      <c r="G786" s="2"/>
      <c r="H786" s="2"/>
      <c r="K786" s="2"/>
      <c r="L786" s="2"/>
    </row>
    <row r="787">
      <c r="C787" s="1"/>
      <c r="F787" s="2"/>
      <c r="G787" s="2"/>
      <c r="H787" s="2"/>
      <c r="K787" s="2"/>
      <c r="L787" s="2"/>
    </row>
    <row r="788">
      <c r="C788" s="1"/>
      <c r="F788" s="2"/>
      <c r="G788" s="2"/>
      <c r="H788" s="2"/>
      <c r="K788" s="2"/>
      <c r="L788" s="2"/>
    </row>
    <row r="789">
      <c r="C789" s="1"/>
      <c r="F789" s="2"/>
      <c r="G789" s="2"/>
      <c r="H789" s="2"/>
      <c r="K789" s="2"/>
      <c r="L789" s="2"/>
    </row>
    <row r="790">
      <c r="C790" s="1"/>
      <c r="F790" s="2"/>
      <c r="G790" s="2"/>
      <c r="H790" s="2"/>
      <c r="K790" s="2"/>
      <c r="L790" s="2"/>
    </row>
    <row r="791">
      <c r="C791" s="1"/>
      <c r="F791" s="2"/>
      <c r="G791" s="2"/>
      <c r="H791" s="2"/>
      <c r="K791" s="2"/>
      <c r="L791" s="2"/>
    </row>
    <row r="792">
      <c r="C792" s="1"/>
      <c r="F792" s="2"/>
      <c r="G792" s="2"/>
      <c r="H792" s="2"/>
      <c r="K792" s="2"/>
      <c r="L792" s="2"/>
    </row>
    <row r="793">
      <c r="C793" s="1"/>
      <c r="F793" s="2"/>
      <c r="G793" s="2"/>
      <c r="H793" s="2"/>
      <c r="K793" s="2"/>
      <c r="L793" s="2"/>
    </row>
    <row r="794">
      <c r="C794" s="1"/>
      <c r="F794" s="2"/>
      <c r="G794" s="2"/>
      <c r="H794" s="2"/>
      <c r="K794" s="2"/>
      <c r="L794" s="2"/>
    </row>
    <row r="795">
      <c r="C795" s="1"/>
      <c r="F795" s="2"/>
      <c r="G795" s="2"/>
      <c r="H795" s="2"/>
      <c r="K795" s="2"/>
      <c r="L795" s="2"/>
    </row>
    <row r="796">
      <c r="C796" s="1"/>
      <c r="F796" s="2"/>
      <c r="G796" s="2"/>
      <c r="H796" s="2"/>
      <c r="K796" s="2"/>
      <c r="L796" s="2"/>
    </row>
    <row r="797">
      <c r="C797" s="1"/>
      <c r="F797" s="2"/>
      <c r="G797" s="2"/>
      <c r="H797" s="2"/>
      <c r="K797" s="2"/>
      <c r="L797" s="2"/>
    </row>
    <row r="798">
      <c r="C798" s="1"/>
      <c r="F798" s="2"/>
      <c r="G798" s="2"/>
      <c r="H798" s="2"/>
      <c r="K798" s="2"/>
      <c r="L798" s="2"/>
    </row>
    <row r="799">
      <c r="C799" s="1"/>
      <c r="F799" s="2"/>
      <c r="G799" s="2"/>
      <c r="H799" s="2"/>
      <c r="K799" s="2"/>
      <c r="L799" s="2"/>
    </row>
    <row r="800">
      <c r="C800" s="1"/>
      <c r="F800" s="2"/>
      <c r="G800" s="2"/>
      <c r="H800" s="2"/>
      <c r="K800" s="2"/>
      <c r="L800" s="2"/>
    </row>
    <row r="801">
      <c r="C801" s="1"/>
      <c r="F801" s="2"/>
      <c r="G801" s="2"/>
      <c r="H801" s="2"/>
      <c r="K801" s="2"/>
      <c r="L801" s="2"/>
    </row>
    <row r="802">
      <c r="C802" s="1"/>
      <c r="F802" s="2"/>
      <c r="G802" s="2"/>
      <c r="H802" s="2"/>
      <c r="K802" s="2"/>
      <c r="L802" s="2"/>
    </row>
    <row r="803">
      <c r="C803" s="1"/>
      <c r="F803" s="2"/>
      <c r="G803" s="2"/>
      <c r="H803" s="2"/>
      <c r="K803" s="2"/>
      <c r="L803" s="2"/>
    </row>
    <row r="804">
      <c r="C804" s="1"/>
      <c r="F804" s="2"/>
      <c r="G804" s="2"/>
      <c r="H804" s="2"/>
      <c r="K804" s="2"/>
      <c r="L804" s="2"/>
    </row>
    <row r="805">
      <c r="C805" s="1"/>
      <c r="F805" s="2"/>
      <c r="G805" s="2"/>
      <c r="H805" s="2"/>
      <c r="K805" s="2"/>
      <c r="L805" s="2"/>
    </row>
    <row r="806">
      <c r="C806" s="1"/>
      <c r="F806" s="2"/>
      <c r="G806" s="2"/>
      <c r="H806" s="2"/>
      <c r="K806" s="2"/>
      <c r="L806" s="2"/>
    </row>
    <row r="807">
      <c r="C807" s="1"/>
      <c r="F807" s="2"/>
      <c r="G807" s="2"/>
      <c r="H807" s="2"/>
      <c r="K807" s="2"/>
      <c r="L807" s="2"/>
    </row>
    <row r="808">
      <c r="C808" s="1"/>
      <c r="F808" s="2"/>
      <c r="G808" s="2"/>
      <c r="H808" s="2"/>
      <c r="K808" s="2"/>
      <c r="L808" s="2"/>
    </row>
    <row r="809">
      <c r="C809" s="1"/>
      <c r="F809" s="2"/>
      <c r="G809" s="2"/>
      <c r="H809" s="2"/>
      <c r="K809" s="2"/>
      <c r="L809" s="2"/>
    </row>
    <row r="810">
      <c r="C810" s="1"/>
      <c r="F810" s="2"/>
      <c r="G810" s="2"/>
      <c r="H810" s="2"/>
      <c r="K810" s="2"/>
      <c r="L810" s="2"/>
    </row>
    <row r="811">
      <c r="C811" s="1"/>
      <c r="F811" s="2"/>
      <c r="G811" s="2"/>
      <c r="H811" s="2"/>
      <c r="K811" s="2"/>
      <c r="L811" s="2"/>
    </row>
    <row r="812">
      <c r="C812" s="1"/>
      <c r="F812" s="2"/>
      <c r="G812" s="2"/>
      <c r="H812" s="2"/>
      <c r="K812" s="2"/>
      <c r="L812" s="2"/>
    </row>
    <row r="813">
      <c r="C813" s="1"/>
      <c r="F813" s="2"/>
      <c r="G813" s="2"/>
      <c r="H813" s="2"/>
      <c r="K813" s="2"/>
      <c r="L813" s="2"/>
    </row>
    <row r="814">
      <c r="C814" s="1"/>
      <c r="F814" s="2"/>
      <c r="G814" s="2"/>
      <c r="H814" s="2"/>
      <c r="K814" s="2"/>
      <c r="L814" s="2"/>
    </row>
    <row r="815">
      <c r="C815" s="1"/>
      <c r="F815" s="2"/>
      <c r="G815" s="2"/>
      <c r="H815" s="2"/>
      <c r="K815" s="2"/>
      <c r="L815" s="2"/>
    </row>
    <row r="816">
      <c r="C816" s="1"/>
      <c r="F816" s="2"/>
      <c r="G816" s="2"/>
      <c r="H816" s="2"/>
      <c r="K816" s="2"/>
      <c r="L816" s="2"/>
    </row>
    <row r="817">
      <c r="C817" s="1"/>
      <c r="F817" s="2"/>
      <c r="G817" s="2"/>
      <c r="H817" s="2"/>
      <c r="K817" s="2"/>
      <c r="L817" s="2"/>
    </row>
    <row r="818">
      <c r="C818" s="1"/>
      <c r="F818" s="2"/>
      <c r="G818" s="2"/>
      <c r="H818" s="2"/>
      <c r="K818" s="2"/>
      <c r="L818" s="2"/>
    </row>
    <row r="819">
      <c r="C819" s="1"/>
      <c r="F819" s="2"/>
      <c r="G819" s="2"/>
      <c r="H819" s="2"/>
      <c r="K819" s="2"/>
      <c r="L819" s="2"/>
    </row>
    <row r="820">
      <c r="C820" s="1"/>
      <c r="F820" s="2"/>
      <c r="G820" s="2"/>
      <c r="H820" s="2"/>
      <c r="K820" s="2"/>
      <c r="L820" s="2"/>
    </row>
    <row r="821">
      <c r="C821" s="1"/>
      <c r="F821" s="2"/>
      <c r="G821" s="2"/>
      <c r="H821" s="2"/>
      <c r="K821" s="2"/>
      <c r="L821" s="2"/>
    </row>
    <row r="822">
      <c r="C822" s="1"/>
      <c r="F822" s="2"/>
      <c r="G822" s="2"/>
      <c r="H822" s="2"/>
      <c r="K822" s="2"/>
      <c r="L822" s="2"/>
    </row>
    <row r="823">
      <c r="C823" s="1"/>
      <c r="F823" s="2"/>
      <c r="G823" s="2"/>
      <c r="H823" s="2"/>
      <c r="K823" s="2"/>
      <c r="L823" s="2"/>
    </row>
    <row r="824">
      <c r="C824" s="1"/>
      <c r="F824" s="2"/>
      <c r="G824" s="2"/>
      <c r="H824" s="2"/>
      <c r="K824" s="2"/>
      <c r="L824" s="2"/>
    </row>
    <row r="825">
      <c r="C825" s="1"/>
      <c r="F825" s="2"/>
      <c r="G825" s="2"/>
      <c r="H825" s="2"/>
      <c r="K825" s="2"/>
      <c r="L825" s="2"/>
    </row>
    <row r="826">
      <c r="C826" s="1"/>
      <c r="F826" s="2"/>
      <c r="G826" s="2"/>
      <c r="H826" s="2"/>
      <c r="K826" s="2"/>
      <c r="L826" s="2"/>
    </row>
    <row r="827">
      <c r="C827" s="1"/>
      <c r="F827" s="2"/>
      <c r="G827" s="2"/>
      <c r="H827" s="2"/>
      <c r="K827" s="2"/>
      <c r="L827" s="2"/>
    </row>
    <row r="828">
      <c r="C828" s="1"/>
      <c r="F828" s="2"/>
      <c r="G828" s="2"/>
      <c r="H828" s="2"/>
      <c r="K828" s="2"/>
      <c r="L828" s="2"/>
    </row>
    <row r="829">
      <c r="C829" s="1"/>
      <c r="F829" s="2"/>
      <c r="G829" s="2"/>
      <c r="H829" s="2"/>
      <c r="K829" s="2"/>
      <c r="L829" s="2"/>
    </row>
    <row r="830">
      <c r="C830" s="1"/>
      <c r="F830" s="2"/>
      <c r="G830" s="2"/>
      <c r="H830" s="2"/>
      <c r="K830" s="2"/>
      <c r="L830" s="2"/>
    </row>
    <row r="831">
      <c r="C831" s="1"/>
      <c r="F831" s="2"/>
      <c r="G831" s="2"/>
      <c r="H831" s="2"/>
      <c r="K831" s="2"/>
      <c r="L831" s="2"/>
    </row>
    <row r="832">
      <c r="C832" s="1"/>
      <c r="F832" s="2"/>
      <c r="G832" s="2"/>
      <c r="H832" s="2"/>
      <c r="K832" s="2"/>
      <c r="L832" s="2"/>
    </row>
    <row r="833">
      <c r="C833" s="1"/>
      <c r="F833" s="2"/>
      <c r="G833" s="2"/>
      <c r="H833" s="2"/>
      <c r="K833" s="2"/>
      <c r="L833" s="2"/>
    </row>
    <row r="834">
      <c r="C834" s="1"/>
      <c r="F834" s="2"/>
      <c r="G834" s="2"/>
      <c r="H834" s="2"/>
      <c r="K834" s="2"/>
      <c r="L834" s="2"/>
    </row>
    <row r="835">
      <c r="C835" s="1"/>
      <c r="F835" s="2"/>
      <c r="G835" s="2"/>
      <c r="H835" s="2"/>
      <c r="K835" s="2"/>
      <c r="L835" s="2"/>
    </row>
    <row r="836">
      <c r="C836" s="1"/>
      <c r="F836" s="2"/>
      <c r="G836" s="2"/>
      <c r="H836" s="2"/>
      <c r="K836" s="2"/>
      <c r="L836" s="2"/>
    </row>
    <row r="837">
      <c r="C837" s="1"/>
      <c r="F837" s="2"/>
      <c r="G837" s="2"/>
      <c r="H837" s="2"/>
      <c r="K837" s="2"/>
      <c r="L837" s="2"/>
    </row>
    <row r="838">
      <c r="C838" s="1"/>
      <c r="F838" s="2"/>
      <c r="G838" s="2"/>
      <c r="H838" s="2"/>
      <c r="K838" s="2"/>
      <c r="L838" s="2"/>
    </row>
    <row r="839">
      <c r="C839" s="1"/>
      <c r="F839" s="2"/>
      <c r="G839" s="2"/>
      <c r="H839" s="2"/>
      <c r="K839" s="2"/>
      <c r="L839" s="2"/>
    </row>
    <row r="840">
      <c r="C840" s="1"/>
      <c r="F840" s="2"/>
      <c r="G840" s="2"/>
      <c r="H840" s="2"/>
      <c r="K840" s="2"/>
      <c r="L840" s="2"/>
    </row>
    <row r="841">
      <c r="C841" s="1"/>
      <c r="F841" s="2"/>
      <c r="G841" s="2"/>
      <c r="H841" s="2"/>
      <c r="K841" s="2"/>
      <c r="L841" s="2"/>
    </row>
    <row r="842">
      <c r="C842" s="1"/>
      <c r="F842" s="2"/>
      <c r="G842" s="2"/>
      <c r="H842" s="2"/>
      <c r="K842" s="2"/>
      <c r="L842" s="2"/>
    </row>
    <row r="843">
      <c r="C843" s="1"/>
      <c r="F843" s="2"/>
      <c r="G843" s="2"/>
      <c r="H843" s="2"/>
      <c r="K843" s="2"/>
      <c r="L843" s="2"/>
    </row>
    <row r="844">
      <c r="C844" s="1"/>
      <c r="F844" s="2"/>
      <c r="G844" s="2"/>
      <c r="H844" s="2"/>
      <c r="K844" s="2"/>
      <c r="L844" s="2"/>
    </row>
    <row r="845">
      <c r="C845" s="1"/>
      <c r="F845" s="2"/>
      <c r="G845" s="2"/>
      <c r="H845" s="2"/>
      <c r="K845" s="2"/>
      <c r="L845" s="2"/>
    </row>
    <row r="846">
      <c r="C846" s="1"/>
      <c r="F846" s="2"/>
      <c r="G846" s="2"/>
      <c r="H846" s="2"/>
      <c r="K846" s="2"/>
      <c r="L846" s="2"/>
    </row>
    <row r="847">
      <c r="C847" s="1"/>
      <c r="F847" s="2"/>
      <c r="G847" s="2"/>
      <c r="H847" s="2"/>
      <c r="K847" s="2"/>
      <c r="L847" s="2"/>
    </row>
    <row r="848">
      <c r="C848" s="1"/>
      <c r="F848" s="2"/>
      <c r="G848" s="2"/>
      <c r="H848" s="2"/>
      <c r="K848" s="2"/>
      <c r="L848" s="2"/>
    </row>
    <row r="849">
      <c r="C849" s="1"/>
      <c r="F849" s="2"/>
      <c r="G849" s="2"/>
      <c r="H849" s="2"/>
      <c r="K849" s="2"/>
      <c r="L849" s="2"/>
    </row>
    <row r="850">
      <c r="C850" s="1"/>
      <c r="F850" s="2"/>
      <c r="G850" s="2"/>
      <c r="H850" s="2"/>
      <c r="K850" s="2"/>
      <c r="L850" s="2"/>
    </row>
    <row r="851">
      <c r="C851" s="1"/>
      <c r="F851" s="2"/>
      <c r="G851" s="2"/>
      <c r="H851" s="2"/>
      <c r="K851" s="2"/>
      <c r="L851" s="2"/>
    </row>
    <row r="852">
      <c r="C852" s="1"/>
      <c r="F852" s="2"/>
      <c r="G852" s="2"/>
      <c r="H852" s="2"/>
      <c r="K852" s="2"/>
      <c r="L852" s="2"/>
    </row>
    <row r="853">
      <c r="C853" s="1"/>
      <c r="F853" s="2"/>
      <c r="G853" s="2"/>
      <c r="H853" s="2"/>
      <c r="K853" s="2"/>
      <c r="L853" s="2"/>
    </row>
    <row r="854">
      <c r="C854" s="1"/>
      <c r="F854" s="2"/>
      <c r="G854" s="2"/>
      <c r="H854" s="2"/>
      <c r="K854" s="2"/>
      <c r="L854" s="2"/>
    </row>
    <row r="855">
      <c r="C855" s="1"/>
      <c r="F855" s="2"/>
      <c r="G855" s="2"/>
      <c r="H855" s="2"/>
      <c r="K855" s="2"/>
      <c r="L855" s="2"/>
    </row>
    <row r="856">
      <c r="C856" s="1"/>
      <c r="F856" s="2"/>
      <c r="G856" s="2"/>
      <c r="H856" s="2"/>
      <c r="K856" s="2"/>
      <c r="L856" s="2"/>
    </row>
    <row r="857">
      <c r="C857" s="1"/>
      <c r="F857" s="2"/>
      <c r="G857" s="2"/>
      <c r="H857" s="2"/>
      <c r="K857" s="2"/>
      <c r="L857" s="2"/>
    </row>
    <row r="858">
      <c r="C858" s="1"/>
      <c r="F858" s="2"/>
      <c r="G858" s="2"/>
      <c r="H858" s="2"/>
      <c r="K858" s="2"/>
      <c r="L858" s="2"/>
    </row>
    <row r="859">
      <c r="C859" s="1"/>
      <c r="F859" s="2"/>
      <c r="G859" s="2"/>
      <c r="H859" s="2"/>
      <c r="K859" s="2"/>
      <c r="L859" s="2"/>
    </row>
    <row r="860">
      <c r="C860" s="1"/>
      <c r="F860" s="2"/>
      <c r="G860" s="2"/>
      <c r="H860" s="2"/>
      <c r="K860" s="2"/>
      <c r="L860" s="2"/>
    </row>
    <row r="861">
      <c r="C861" s="1"/>
      <c r="F861" s="2"/>
      <c r="G861" s="2"/>
      <c r="H861" s="2"/>
      <c r="K861" s="2"/>
      <c r="L861" s="2"/>
    </row>
    <row r="862">
      <c r="C862" s="1"/>
      <c r="F862" s="2"/>
      <c r="G862" s="2"/>
      <c r="H862" s="2"/>
      <c r="K862" s="2"/>
      <c r="L862" s="2"/>
    </row>
    <row r="863">
      <c r="C863" s="1"/>
      <c r="F863" s="2"/>
      <c r="G863" s="2"/>
      <c r="H863" s="2"/>
      <c r="K863" s="2"/>
      <c r="L863" s="2"/>
    </row>
    <row r="864">
      <c r="C864" s="1"/>
      <c r="F864" s="2"/>
      <c r="G864" s="2"/>
      <c r="H864" s="2"/>
      <c r="K864" s="2"/>
      <c r="L864" s="2"/>
    </row>
    <row r="865">
      <c r="C865" s="1"/>
      <c r="F865" s="2"/>
      <c r="G865" s="2"/>
      <c r="H865" s="2"/>
      <c r="K865" s="2"/>
      <c r="L865" s="2"/>
    </row>
    <row r="866">
      <c r="C866" s="1"/>
      <c r="F866" s="2"/>
      <c r="G866" s="2"/>
      <c r="H866" s="2"/>
      <c r="K866" s="2"/>
      <c r="L866" s="2"/>
    </row>
    <row r="867">
      <c r="C867" s="1"/>
      <c r="F867" s="2"/>
      <c r="G867" s="2"/>
      <c r="H867" s="2"/>
      <c r="K867" s="2"/>
      <c r="L867" s="2"/>
    </row>
    <row r="868">
      <c r="C868" s="1"/>
      <c r="F868" s="2"/>
      <c r="G868" s="2"/>
      <c r="H868" s="2"/>
      <c r="K868" s="2"/>
      <c r="L868" s="2"/>
    </row>
    <row r="869">
      <c r="C869" s="1"/>
      <c r="F869" s="2"/>
      <c r="G869" s="2"/>
      <c r="H869" s="2"/>
      <c r="K869" s="2"/>
      <c r="L869" s="2"/>
    </row>
    <row r="870">
      <c r="C870" s="1"/>
      <c r="F870" s="2"/>
      <c r="G870" s="2"/>
      <c r="H870" s="2"/>
      <c r="K870" s="2"/>
      <c r="L870" s="2"/>
    </row>
    <row r="871">
      <c r="C871" s="1"/>
      <c r="F871" s="2"/>
      <c r="G871" s="2"/>
      <c r="H871" s="2"/>
      <c r="K871" s="2"/>
      <c r="L871" s="2"/>
    </row>
    <row r="872">
      <c r="C872" s="1"/>
      <c r="F872" s="2"/>
      <c r="G872" s="2"/>
      <c r="H872" s="2"/>
      <c r="K872" s="2"/>
      <c r="L872" s="2"/>
    </row>
    <row r="873">
      <c r="C873" s="1"/>
      <c r="F873" s="2"/>
      <c r="G873" s="2"/>
      <c r="H873" s="2"/>
      <c r="K873" s="2"/>
      <c r="L873" s="2"/>
    </row>
    <row r="874">
      <c r="C874" s="1"/>
      <c r="F874" s="2"/>
      <c r="G874" s="2"/>
      <c r="H874" s="2"/>
      <c r="K874" s="2"/>
      <c r="L874" s="2"/>
    </row>
    <row r="875">
      <c r="C875" s="1"/>
      <c r="F875" s="2"/>
      <c r="G875" s="2"/>
      <c r="H875" s="2"/>
      <c r="K875" s="2"/>
      <c r="L875" s="2"/>
    </row>
    <row r="876">
      <c r="C876" s="1"/>
      <c r="F876" s="2"/>
      <c r="G876" s="2"/>
      <c r="H876" s="2"/>
      <c r="K876" s="2"/>
      <c r="L876" s="2"/>
    </row>
    <row r="877">
      <c r="C877" s="1"/>
      <c r="F877" s="2"/>
      <c r="G877" s="2"/>
      <c r="H877" s="2"/>
      <c r="K877" s="2"/>
      <c r="L877" s="2"/>
    </row>
    <row r="878">
      <c r="C878" s="1"/>
      <c r="F878" s="2"/>
      <c r="G878" s="2"/>
      <c r="H878" s="2"/>
      <c r="K878" s="2"/>
      <c r="L878" s="2"/>
    </row>
    <row r="879">
      <c r="C879" s="1"/>
      <c r="F879" s="2"/>
      <c r="G879" s="2"/>
      <c r="H879" s="2"/>
      <c r="K879" s="2"/>
      <c r="L879" s="2"/>
    </row>
    <row r="880">
      <c r="C880" s="1"/>
      <c r="F880" s="2"/>
      <c r="G880" s="2"/>
      <c r="H880" s="2"/>
      <c r="K880" s="2"/>
      <c r="L880" s="2"/>
    </row>
    <row r="881">
      <c r="C881" s="1"/>
      <c r="F881" s="2"/>
      <c r="G881" s="2"/>
      <c r="H881" s="2"/>
      <c r="K881" s="2"/>
      <c r="L881" s="2"/>
    </row>
    <row r="882">
      <c r="C882" s="1"/>
      <c r="F882" s="2"/>
      <c r="G882" s="2"/>
      <c r="H882" s="2"/>
      <c r="K882" s="2"/>
      <c r="L882" s="2"/>
    </row>
    <row r="883">
      <c r="C883" s="1"/>
      <c r="F883" s="2"/>
      <c r="G883" s="2"/>
      <c r="H883" s="2"/>
      <c r="K883" s="2"/>
      <c r="L883" s="2"/>
    </row>
    <row r="884">
      <c r="C884" s="1"/>
      <c r="F884" s="2"/>
      <c r="G884" s="2"/>
      <c r="H884" s="2"/>
      <c r="K884" s="2"/>
      <c r="L884" s="2"/>
    </row>
    <row r="885">
      <c r="C885" s="1"/>
      <c r="F885" s="2"/>
      <c r="G885" s="2"/>
      <c r="H885" s="2"/>
      <c r="K885" s="2"/>
      <c r="L885" s="2"/>
    </row>
    <row r="886">
      <c r="C886" s="1"/>
      <c r="F886" s="2"/>
      <c r="G886" s="2"/>
      <c r="H886" s="2"/>
      <c r="K886" s="2"/>
      <c r="L886" s="2"/>
    </row>
    <row r="887">
      <c r="C887" s="1"/>
      <c r="F887" s="2"/>
      <c r="G887" s="2"/>
      <c r="H887" s="2"/>
      <c r="K887" s="2"/>
      <c r="L887" s="2"/>
    </row>
    <row r="888">
      <c r="C888" s="1"/>
      <c r="F888" s="2"/>
      <c r="G888" s="2"/>
      <c r="H888" s="2"/>
      <c r="K888" s="2"/>
      <c r="L888" s="2"/>
    </row>
    <row r="889">
      <c r="C889" s="1"/>
      <c r="F889" s="2"/>
      <c r="G889" s="2"/>
      <c r="H889" s="2"/>
      <c r="K889" s="2"/>
      <c r="L889" s="2"/>
    </row>
    <row r="890">
      <c r="C890" s="1"/>
      <c r="F890" s="2"/>
      <c r="G890" s="2"/>
      <c r="H890" s="2"/>
      <c r="K890" s="2"/>
      <c r="L890" s="2"/>
    </row>
    <row r="891">
      <c r="C891" s="1"/>
      <c r="F891" s="2"/>
      <c r="G891" s="2"/>
      <c r="H891" s="2"/>
      <c r="K891" s="2"/>
      <c r="L891" s="2"/>
    </row>
    <row r="892">
      <c r="C892" s="1"/>
      <c r="F892" s="2"/>
      <c r="G892" s="2"/>
      <c r="H892" s="2"/>
      <c r="K892" s="2"/>
      <c r="L892" s="2"/>
    </row>
    <row r="893">
      <c r="C893" s="1"/>
      <c r="F893" s="2"/>
      <c r="G893" s="2"/>
      <c r="H893" s="2"/>
      <c r="K893" s="2"/>
      <c r="L893" s="2"/>
    </row>
    <row r="894">
      <c r="C894" s="1"/>
      <c r="F894" s="2"/>
      <c r="G894" s="2"/>
      <c r="H894" s="2"/>
      <c r="K894" s="2"/>
      <c r="L894" s="2"/>
    </row>
    <row r="895">
      <c r="C895" s="1"/>
      <c r="F895" s="2"/>
      <c r="G895" s="2"/>
      <c r="H895" s="2"/>
      <c r="K895" s="2"/>
      <c r="L895" s="2"/>
    </row>
    <row r="896">
      <c r="C896" s="1"/>
      <c r="F896" s="2"/>
      <c r="G896" s="2"/>
      <c r="H896" s="2"/>
      <c r="K896" s="2"/>
      <c r="L896" s="2"/>
    </row>
    <row r="897">
      <c r="C897" s="1"/>
      <c r="F897" s="2"/>
      <c r="G897" s="2"/>
      <c r="H897" s="2"/>
      <c r="K897" s="2"/>
      <c r="L897" s="2"/>
    </row>
    <row r="898">
      <c r="C898" s="1"/>
      <c r="F898" s="2"/>
      <c r="G898" s="2"/>
      <c r="H898" s="2"/>
      <c r="K898" s="2"/>
      <c r="L898" s="2"/>
    </row>
    <row r="899">
      <c r="C899" s="1"/>
      <c r="F899" s="2"/>
      <c r="G899" s="2"/>
      <c r="H899" s="2"/>
      <c r="K899" s="2"/>
      <c r="L899" s="2"/>
    </row>
    <row r="900">
      <c r="C900" s="1"/>
      <c r="F900" s="2"/>
      <c r="G900" s="2"/>
      <c r="H900" s="2"/>
      <c r="K900" s="2"/>
      <c r="L900" s="2"/>
    </row>
    <row r="901">
      <c r="C901" s="1"/>
      <c r="F901" s="2"/>
      <c r="G901" s="2"/>
      <c r="H901" s="2"/>
      <c r="K901" s="2"/>
      <c r="L901" s="2"/>
    </row>
    <row r="902">
      <c r="C902" s="1"/>
      <c r="F902" s="2"/>
      <c r="G902" s="2"/>
      <c r="H902" s="2"/>
      <c r="K902" s="2"/>
      <c r="L902" s="2"/>
    </row>
    <row r="903">
      <c r="C903" s="1"/>
      <c r="F903" s="2"/>
      <c r="G903" s="2"/>
      <c r="H903" s="2"/>
      <c r="K903" s="2"/>
      <c r="L903" s="2"/>
    </row>
    <row r="904">
      <c r="C904" s="1"/>
      <c r="F904" s="2"/>
      <c r="G904" s="2"/>
      <c r="H904" s="2"/>
      <c r="K904" s="2"/>
      <c r="L904" s="2"/>
    </row>
    <row r="905">
      <c r="C905" s="1"/>
      <c r="F905" s="2"/>
      <c r="G905" s="2"/>
      <c r="H905" s="2"/>
      <c r="K905" s="2"/>
      <c r="L905" s="2"/>
    </row>
    <row r="906">
      <c r="C906" s="1"/>
      <c r="F906" s="2"/>
      <c r="G906" s="2"/>
      <c r="H906" s="2"/>
      <c r="K906" s="2"/>
      <c r="L906" s="2"/>
    </row>
    <row r="907">
      <c r="C907" s="1"/>
      <c r="F907" s="2"/>
      <c r="G907" s="2"/>
      <c r="H907" s="2"/>
      <c r="K907" s="2"/>
      <c r="L907" s="2"/>
    </row>
    <row r="908">
      <c r="C908" s="1"/>
      <c r="F908" s="2"/>
      <c r="G908" s="2"/>
      <c r="H908" s="2"/>
      <c r="K908" s="2"/>
      <c r="L908" s="2"/>
    </row>
    <row r="909">
      <c r="C909" s="1"/>
      <c r="F909" s="2"/>
      <c r="G909" s="2"/>
      <c r="H909" s="2"/>
      <c r="K909" s="2"/>
      <c r="L909" s="2"/>
    </row>
    <row r="910">
      <c r="C910" s="1"/>
      <c r="F910" s="2"/>
      <c r="G910" s="2"/>
      <c r="H910" s="2"/>
      <c r="K910" s="2"/>
      <c r="L910" s="2"/>
    </row>
    <row r="911">
      <c r="C911" s="1"/>
      <c r="F911" s="2"/>
      <c r="G911" s="2"/>
      <c r="H911" s="2"/>
      <c r="K911" s="2"/>
      <c r="L911" s="2"/>
    </row>
    <row r="912">
      <c r="C912" s="1"/>
      <c r="F912" s="2"/>
      <c r="G912" s="2"/>
      <c r="H912" s="2"/>
      <c r="K912" s="2"/>
      <c r="L912" s="2"/>
    </row>
    <row r="913">
      <c r="C913" s="1"/>
      <c r="F913" s="2"/>
      <c r="G913" s="2"/>
      <c r="H913" s="2"/>
      <c r="K913" s="2"/>
      <c r="L913" s="2"/>
    </row>
    <row r="914">
      <c r="C914" s="1"/>
      <c r="F914" s="2"/>
      <c r="G914" s="2"/>
      <c r="H914" s="2"/>
      <c r="K914" s="2"/>
      <c r="L914" s="2"/>
    </row>
    <row r="915">
      <c r="C915" s="1"/>
      <c r="F915" s="2"/>
      <c r="G915" s="2"/>
      <c r="H915" s="2"/>
      <c r="K915" s="2"/>
      <c r="L915" s="2"/>
    </row>
    <row r="916">
      <c r="C916" s="1"/>
      <c r="F916" s="2"/>
      <c r="G916" s="2"/>
      <c r="H916" s="2"/>
      <c r="K916" s="2"/>
      <c r="L916" s="2"/>
    </row>
    <row r="917">
      <c r="C917" s="1"/>
      <c r="F917" s="2"/>
      <c r="G917" s="2"/>
      <c r="H917" s="2"/>
      <c r="K917" s="2"/>
      <c r="L917" s="2"/>
    </row>
    <row r="918">
      <c r="C918" s="1"/>
      <c r="F918" s="2"/>
      <c r="G918" s="2"/>
      <c r="H918" s="2"/>
      <c r="K918" s="2"/>
      <c r="L918" s="2"/>
    </row>
    <row r="919">
      <c r="C919" s="1"/>
      <c r="F919" s="2"/>
      <c r="G919" s="2"/>
      <c r="H919" s="2"/>
      <c r="K919" s="2"/>
      <c r="L919" s="2"/>
    </row>
    <row r="920">
      <c r="C920" s="1"/>
      <c r="F920" s="2"/>
      <c r="G920" s="2"/>
      <c r="H920" s="2"/>
      <c r="K920" s="2"/>
      <c r="L920" s="2"/>
    </row>
    <row r="921">
      <c r="C921" s="1"/>
      <c r="F921" s="2"/>
      <c r="G921" s="2"/>
      <c r="H921" s="2"/>
      <c r="K921" s="2"/>
      <c r="L921" s="2"/>
    </row>
    <row r="922">
      <c r="C922" s="1"/>
      <c r="F922" s="2"/>
      <c r="G922" s="2"/>
      <c r="H922" s="2"/>
      <c r="K922" s="2"/>
      <c r="L922" s="2"/>
    </row>
    <row r="923">
      <c r="C923" s="1"/>
      <c r="F923" s="2"/>
      <c r="G923" s="2"/>
      <c r="H923" s="2"/>
      <c r="K923" s="2"/>
      <c r="L923" s="2"/>
    </row>
    <row r="924">
      <c r="C924" s="1"/>
      <c r="F924" s="2"/>
      <c r="G924" s="2"/>
      <c r="H924" s="2"/>
      <c r="K924" s="2"/>
      <c r="L924" s="2"/>
    </row>
    <row r="925">
      <c r="C925" s="1"/>
      <c r="F925" s="2"/>
      <c r="G925" s="2"/>
      <c r="H925" s="2"/>
      <c r="K925" s="2"/>
      <c r="L925" s="2"/>
    </row>
    <row r="926">
      <c r="C926" s="1"/>
      <c r="F926" s="2"/>
      <c r="G926" s="2"/>
      <c r="H926" s="2"/>
      <c r="K926" s="2"/>
      <c r="L926" s="2"/>
    </row>
    <row r="927">
      <c r="C927" s="1"/>
      <c r="F927" s="2"/>
      <c r="G927" s="2"/>
      <c r="H927" s="2"/>
      <c r="K927" s="2"/>
      <c r="L927" s="2"/>
    </row>
    <row r="928">
      <c r="C928" s="1"/>
      <c r="F928" s="2"/>
      <c r="G928" s="2"/>
      <c r="H928" s="2"/>
      <c r="K928" s="2"/>
      <c r="L928" s="2"/>
    </row>
    <row r="929">
      <c r="C929" s="1"/>
      <c r="F929" s="2"/>
      <c r="G929" s="2"/>
      <c r="H929" s="2"/>
      <c r="K929" s="2"/>
      <c r="L929" s="2"/>
    </row>
    <row r="930">
      <c r="C930" s="1"/>
      <c r="F930" s="2"/>
      <c r="G930" s="2"/>
      <c r="H930" s="2"/>
      <c r="K930" s="2"/>
      <c r="L930" s="2"/>
    </row>
    <row r="931">
      <c r="C931" s="1"/>
      <c r="F931" s="2"/>
      <c r="G931" s="2"/>
      <c r="H931" s="2"/>
      <c r="K931" s="2"/>
      <c r="L931" s="2"/>
    </row>
    <row r="932">
      <c r="C932" s="1"/>
      <c r="F932" s="2"/>
      <c r="G932" s="2"/>
      <c r="H932" s="2"/>
      <c r="K932" s="2"/>
      <c r="L932" s="2"/>
    </row>
    <row r="933">
      <c r="C933" s="1"/>
      <c r="F933" s="2"/>
      <c r="G933" s="2"/>
      <c r="H933" s="2"/>
      <c r="K933" s="2"/>
      <c r="L933" s="2"/>
    </row>
    <row r="934">
      <c r="C934" s="1"/>
      <c r="F934" s="2"/>
      <c r="G934" s="2"/>
      <c r="H934" s="2"/>
      <c r="K934" s="2"/>
      <c r="L934" s="2"/>
    </row>
    <row r="935">
      <c r="C935" s="1"/>
      <c r="F935" s="2"/>
      <c r="G935" s="2"/>
      <c r="H935" s="2"/>
      <c r="K935" s="2"/>
      <c r="L935" s="2"/>
    </row>
    <row r="936">
      <c r="C936" s="1"/>
      <c r="F936" s="2"/>
      <c r="G936" s="2"/>
      <c r="H936" s="2"/>
      <c r="K936" s="2"/>
      <c r="L936" s="2"/>
    </row>
    <row r="937">
      <c r="C937" s="1"/>
      <c r="F937" s="2"/>
      <c r="G937" s="2"/>
      <c r="H937" s="2"/>
      <c r="K937" s="2"/>
      <c r="L937" s="2"/>
    </row>
    <row r="938">
      <c r="C938" s="1"/>
      <c r="F938" s="2"/>
      <c r="G938" s="2"/>
      <c r="H938" s="2"/>
      <c r="K938" s="2"/>
      <c r="L938" s="2"/>
    </row>
    <row r="939">
      <c r="C939" s="1"/>
      <c r="F939" s="2"/>
      <c r="G939" s="2"/>
      <c r="H939" s="2"/>
      <c r="K939" s="2"/>
      <c r="L939" s="2"/>
    </row>
    <row r="940">
      <c r="C940" s="1"/>
      <c r="F940" s="2"/>
      <c r="G940" s="2"/>
      <c r="H940" s="2"/>
      <c r="K940" s="2"/>
      <c r="L940" s="2"/>
    </row>
    <row r="941">
      <c r="C941" s="1"/>
      <c r="F941" s="2"/>
      <c r="G941" s="2"/>
      <c r="H941" s="2"/>
      <c r="K941" s="2"/>
      <c r="L941" s="2"/>
    </row>
    <row r="942">
      <c r="C942" s="1"/>
      <c r="F942" s="2"/>
      <c r="G942" s="2"/>
      <c r="H942" s="2"/>
      <c r="K942" s="2"/>
      <c r="L942" s="2"/>
    </row>
    <row r="943">
      <c r="C943" s="1"/>
      <c r="F943" s="2"/>
      <c r="G943" s="2"/>
      <c r="H943" s="2"/>
      <c r="K943" s="2"/>
      <c r="L943" s="2"/>
    </row>
    <row r="944">
      <c r="C944" s="1"/>
      <c r="F944" s="2"/>
      <c r="G944" s="2"/>
      <c r="H944" s="2"/>
      <c r="K944" s="2"/>
      <c r="L944" s="2"/>
    </row>
    <row r="945">
      <c r="C945" s="1"/>
      <c r="F945" s="2"/>
      <c r="G945" s="2"/>
      <c r="H945" s="2"/>
      <c r="K945" s="2"/>
      <c r="L945" s="2"/>
    </row>
    <row r="946">
      <c r="C946" s="1"/>
      <c r="F946" s="2"/>
      <c r="G946" s="2"/>
      <c r="H946" s="2"/>
      <c r="K946" s="2"/>
      <c r="L946" s="2"/>
    </row>
    <row r="947">
      <c r="C947" s="1"/>
      <c r="F947" s="2"/>
      <c r="G947" s="2"/>
      <c r="H947" s="2"/>
      <c r="K947" s="2"/>
      <c r="L947" s="2"/>
    </row>
    <row r="948">
      <c r="C948" s="1"/>
      <c r="F948" s="2"/>
      <c r="G948" s="2"/>
      <c r="H948" s="2"/>
      <c r="K948" s="2"/>
      <c r="L948" s="2"/>
    </row>
    <row r="949">
      <c r="C949" s="1"/>
      <c r="F949" s="2"/>
      <c r="G949" s="2"/>
      <c r="H949" s="2"/>
      <c r="K949" s="2"/>
      <c r="L949" s="2"/>
    </row>
    <row r="950">
      <c r="C950" s="1"/>
      <c r="F950" s="2"/>
      <c r="G950" s="2"/>
      <c r="H950" s="2"/>
      <c r="K950" s="2"/>
      <c r="L950" s="2"/>
    </row>
    <row r="951">
      <c r="C951" s="1"/>
      <c r="F951" s="2"/>
      <c r="G951" s="2"/>
      <c r="H951" s="2"/>
      <c r="K951" s="2"/>
      <c r="L951" s="2"/>
    </row>
    <row r="952">
      <c r="C952" s="1"/>
      <c r="F952" s="2"/>
      <c r="G952" s="2"/>
      <c r="H952" s="2"/>
      <c r="K952" s="2"/>
      <c r="L952" s="2"/>
    </row>
    <row r="953">
      <c r="C953" s="1"/>
      <c r="F953" s="2"/>
      <c r="G953" s="2"/>
      <c r="H953" s="2"/>
      <c r="K953" s="2"/>
      <c r="L953" s="2"/>
    </row>
    <row r="954">
      <c r="C954" s="1"/>
      <c r="F954" s="2"/>
      <c r="G954" s="2"/>
      <c r="H954" s="2"/>
      <c r="K954" s="2"/>
      <c r="L954" s="2"/>
    </row>
    <row r="955">
      <c r="C955" s="1"/>
      <c r="F955" s="2"/>
      <c r="G955" s="2"/>
      <c r="H955" s="2"/>
      <c r="K955" s="2"/>
      <c r="L955" s="2"/>
    </row>
    <row r="956">
      <c r="C956" s="1"/>
      <c r="F956" s="2"/>
      <c r="G956" s="2"/>
      <c r="H956" s="2"/>
      <c r="K956" s="2"/>
      <c r="L956" s="2"/>
    </row>
    <row r="957">
      <c r="C957" s="1"/>
      <c r="F957" s="2"/>
      <c r="G957" s="2"/>
      <c r="H957" s="2"/>
      <c r="K957" s="2"/>
      <c r="L957" s="2"/>
    </row>
    <row r="958">
      <c r="C958" s="1"/>
      <c r="F958" s="2"/>
      <c r="G958" s="2"/>
      <c r="H958" s="2"/>
      <c r="K958" s="2"/>
      <c r="L958" s="2"/>
    </row>
    <row r="959">
      <c r="C959" s="1"/>
      <c r="F959" s="2"/>
      <c r="G959" s="2"/>
      <c r="H959" s="2"/>
      <c r="K959" s="2"/>
      <c r="L959" s="2"/>
    </row>
    <row r="960">
      <c r="C960" s="1"/>
      <c r="F960" s="2"/>
      <c r="G960" s="2"/>
      <c r="H960" s="2"/>
      <c r="K960" s="2"/>
      <c r="L960" s="2"/>
    </row>
    <row r="961">
      <c r="C961" s="1"/>
      <c r="F961" s="2"/>
      <c r="G961" s="2"/>
      <c r="H961" s="2"/>
      <c r="K961" s="2"/>
      <c r="L961" s="2"/>
    </row>
    <row r="962">
      <c r="C962" s="1"/>
      <c r="F962" s="2"/>
      <c r="G962" s="2"/>
      <c r="H962" s="2"/>
      <c r="K962" s="2"/>
      <c r="L962" s="2"/>
    </row>
    <row r="963">
      <c r="C963" s="1"/>
      <c r="F963" s="2"/>
      <c r="G963" s="2"/>
      <c r="H963" s="2"/>
      <c r="K963" s="2"/>
      <c r="L963" s="2"/>
    </row>
    <row r="964">
      <c r="C964" s="1"/>
      <c r="F964" s="2"/>
      <c r="G964" s="2"/>
      <c r="H964" s="2"/>
      <c r="K964" s="2"/>
      <c r="L964" s="2"/>
    </row>
    <row r="965">
      <c r="C965" s="1"/>
      <c r="F965" s="2"/>
      <c r="G965" s="2"/>
      <c r="H965" s="2"/>
      <c r="K965" s="2"/>
      <c r="L965" s="2"/>
    </row>
    <row r="966">
      <c r="C966" s="1"/>
      <c r="F966" s="2"/>
      <c r="G966" s="2"/>
      <c r="H966" s="2"/>
      <c r="K966" s="2"/>
      <c r="L966" s="2"/>
    </row>
    <row r="967">
      <c r="C967" s="1"/>
      <c r="F967" s="2"/>
      <c r="G967" s="2"/>
      <c r="H967" s="2"/>
      <c r="K967" s="2"/>
      <c r="L967" s="2"/>
    </row>
    <row r="968">
      <c r="C968" s="1"/>
      <c r="F968" s="2"/>
      <c r="G968" s="2"/>
      <c r="H968" s="2"/>
      <c r="K968" s="2"/>
      <c r="L968" s="2"/>
    </row>
    <row r="969">
      <c r="C969" s="1"/>
      <c r="F969" s="2"/>
      <c r="G969" s="2"/>
      <c r="H969" s="2"/>
      <c r="K969" s="2"/>
      <c r="L969" s="2"/>
    </row>
    <row r="970">
      <c r="C970" s="1"/>
      <c r="F970" s="2"/>
      <c r="G970" s="2"/>
      <c r="H970" s="2"/>
      <c r="K970" s="2"/>
      <c r="L970" s="2"/>
    </row>
    <row r="971">
      <c r="C971" s="1"/>
      <c r="F971" s="2"/>
      <c r="G971" s="2"/>
      <c r="H971" s="2"/>
      <c r="K971" s="2"/>
      <c r="L971" s="2"/>
    </row>
    <row r="972">
      <c r="C972" s="1"/>
      <c r="F972" s="2"/>
      <c r="G972" s="2"/>
      <c r="H972" s="2"/>
      <c r="K972" s="2"/>
      <c r="L972" s="2"/>
    </row>
    <row r="973">
      <c r="C973" s="1"/>
      <c r="F973" s="2"/>
      <c r="G973" s="2"/>
      <c r="H973" s="2"/>
      <c r="K973" s="2"/>
      <c r="L973" s="2"/>
    </row>
    <row r="974">
      <c r="C974" s="1"/>
      <c r="F974" s="2"/>
      <c r="G974" s="2"/>
      <c r="H974" s="2"/>
      <c r="K974" s="2"/>
      <c r="L974" s="2"/>
    </row>
    <row r="975">
      <c r="C975" s="1"/>
      <c r="F975" s="2"/>
      <c r="G975" s="2"/>
      <c r="H975" s="2"/>
      <c r="K975" s="2"/>
      <c r="L975" s="2"/>
    </row>
    <row r="976">
      <c r="C976" s="1"/>
      <c r="F976" s="2"/>
      <c r="G976" s="2"/>
      <c r="H976" s="2"/>
      <c r="K976" s="2"/>
      <c r="L976" s="2"/>
    </row>
    <row r="977">
      <c r="C977" s="1"/>
      <c r="F977" s="2"/>
      <c r="G977" s="2"/>
      <c r="H977" s="2"/>
      <c r="K977" s="2"/>
      <c r="L977" s="2"/>
    </row>
    <row r="978">
      <c r="C978" s="1"/>
      <c r="F978" s="2"/>
      <c r="G978" s="2"/>
      <c r="H978" s="2"/>
      <c r="K978" s="2"/>
      <c r="L978" s="2"/>
    </row>
    <row r="979">
      <c r="C979" s="1"/>
      <c r="F979" s="2"/>
      <c r="G979" s="2"/>
      <c r="H979" s="2"/>
      <c r="K979" s="2"/>
      <c r="L979" s="2"/>
    </row>
    <row r="980">
      <c r="C980" s="1"/>
      <c r="F980" s="2"/>
      <c r="G980" s="2"/>
      <c r="H980" s="2"/>
      <c r="K980" s="2"/>
      <c r="L980" s="2"/>
    </row>
    <row r="981">
      <c r="C981" s="1"/>
      <c r="F981" s="2"/>
      <c r="G981" s="2"/>
      <c r="H981" s="2"/>
      <c r="K981" s="2"/>
      <c r="L981" s="2"/>
    </row>
    <row r="982">
      <c r="C982" s="1"/>
      <c r="F982" s="2"/>
      <c r="G982" s="2"/>
      <c r="H982" s="2"/>
      <c r="K982" s="2"/>
      <c r="L982" s="2"/>
    </row>
    <row r="983">
      <c r="C983" s="1"/>
      <c r="F983" s="2"/>
      <c r="G983" s="2"/>
      <c r="H983" s="2"/>
      <c r="K983" s="2"/>
      <c r="L983" s="2"/>
    </row>
    <row r="984">
      <c r="C984" s="1"/>
      <c r="F984" s="2"/>
      <c r="G984" s="2"/>
      <c r="H984" s="2"/>
      <c r="K984" s="2"/>
      <c r="L984" s="2"/>
    </row>
    <row r="985">
      <c r="C985" s="1"/>
      <c r="F985" s="2"/>
      <c r="G985" s="2"/>
      <c r="H985" s="2"/>
      <c r="K985" s="2"/>
      <c r="L985" s="2"/>
    </row>
    <row r="986">
      <c r="C986" s="1"/>
      <c r="F986" s="2"/>
      <c r="G986" s="2"/>
      <c r="H986" s="2"/>
      <c r="K986" s="2"/>
      <c r="L986" s="2"/>
    </row>
    <row r="987">
      <c r="C987" s="1"/>
      <c r="F987" s="2"/>
      <c r="G987" s="2"/>
      <c r="H987" s="2"/>
      <c r="K987" s="2"/>
      <c r="L987" s="2"/>
    </row>
    <row r="988">
      <c r="C988" s="1"/>
      <c r="F988" s="2"/>
      <c r="G988" s="2"/>
      <c r="H988" s="2"/>
      <c r="K988" s="2"/>
      <c r="L988" s="2"/>
    </row>
    <row r="989">
      <c r="C989" s="1"/>
      <c r="F989" s="2"/>
      <c r="G989" s="2"/>
      <c r="H989" s="2"/>
      <c r="K989" s="2"/>
      <c r="L989" s="2"/>
    </row>
    <row r="990">
      <c r="C990" s="1"/>
      <c r="F990" s="2"/>
      <c r="G990" s="2"/>
      <c r="H990" s="2"/>
      <c r="K990" s="2"/>
      <c r="L990" s="2"/>
    </row>
    <row r="991">
      <c r="C991" s="1"/>
      <c r="F991" s="2"/>
      <c r="G991" s="2"/>
      <c r="H991" s="2"/>
      <c r="K991" s="2"/>
      <c r="L991" s="2"/>
    </row>
    <row r="992">
      <c r="C992" s="1"/>
      <c r="F992" s="2"/>
      <c r="G992" s="2"/>
      <c r="H992" s="2"/>
      <c r="K992" s="2"/>
      <c r="L992" s="2"/>
    </row>
    <row r="993">
      <c r="C993" s="1"/>
      <c r="F993" s="2"/>
      <c r="G993" s="2"/>
      <c r="H993" s="2"/>
      <c r="K993" s="2"/>
      <c r="L993" s="2"/>
    </row>
    <row r="994">
      <c r="C994" s="1"/>
      <c r="F994" s="2"/>
      <c r="G994" s="2"/>
      <c r="H994" s="2"/>
      <c r="K994" s="2"/>
      <c r="L994" s="2"/>
    </row>
    <row r="995">
      <c r="C995" s="1"/>
      <c r="F995" s="2"/>
      <c r="G995" s="2"/>
      <c r="H995" s="2"/>
      <c r="K995" s="2"/>
      <c r="L995" s="2"/>
    </row>
    <row r="996">
      <c r="C996" s="1"/>
      <c r="F996" s="2"/>
      <c r="G996" s="2"/>
      <c r="H996" s="2"/>
      <c r="K996" s="2"/>
      <c r="L996" s="2"/>
    </row>
    <row r="997">
      <c r="C997" s="1"/>
      <c r="F997" s="2"/>
      <c r="G997" s="2"/>
      <c r="H997" s="2"/>
      <c r="K997" s="2"/>
      <c r="L997" s="2"/>
    </row>
  </sheetData>
  <mergeCells count="3">
    <mergeCell ref="C7:G8"/>
    <mergeCell ref="F12:G12"/>
    <mergeCell ref="D13:G13"/>
  </mergeCells>
  <dataValidations>
    <dataValidation type="list" allowBlank="1" showErrorMessage="1" sqref="E12">
      <formula1>Inventory!$B$2:$B$100</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75"/>
    <col customWidth="1" min="2" max="2" width="7.13"/>
    <col customWidth="1" min="4" max="4" width="9.38"/>
    <col customWidth="1" min="5" max="5" width="6.13"/>
    <col customWidth="1" min="6" max="6" width="6.25"/>
    <col customWidth="1" min="7" max="7" width="18.88"/>
    <col customWidth="1" min="8" max="8" width="11.0"/>
    <col customWidth="1" min="9" max="9" width="10.0"/>
    <col customWidth="1" min="10" max="10" width="9.5"/>
    <col customWidth="1" min="11" max="11" width="9.88"/>
    <col customWidth="1" min="13" max="13" width="14.0"/>
  </cols>
  <sheetData>
    <row r="1">
      <c r="E1" s="2"/>
      <c r="F1" s="2"/>
      <c r="I1" s="2"/>
      <c r="J1" s="2"/>
    </row>
    <row r="2">
      <c r="E2" s="2"/>
      <c r="F2" s="2"/>
      <c r="G2" s="90" t="s">
        <v>76</v>
      </c>
      <c r="I2" s="2"/>
      <c r="J2" s="2"/>
    </row>
    <row r="3">
      <c r="E3" s="2"/>
      <c r="F3" s="2"/>
      <c r="I3" s="2"/>
      <c r="J3" s="2"/>
    </row>
    <row r="4">
      <c r="E4" s="2"/>
      <c r="F4" s="2"/>
      <c r="I4" s="2"/>
      <c r="J4" s="2"/>
    </row>
    <row r="5">
      <c r="A5" s="75" t="str">
        <f>IFERROR(__xludf.DUMMYFUNCTION("QUERY(Sales!A:M,""SELECT * WHERE Col12 IS NOT NULL"",1)"),"DATE")</f>
        <v>DATE</v>
      </c>
      <c r="B5" s="75" t="str">
        <f>IFERROR(__xludf.DUMMYFUNCTION("""COMPUTED_VALUE"""),"ITEM ID")</f>
        <v>ITEM ID</v>
      </c>
      <c r="C5" s="75" t="str">
        <f>IFERROR(__xludf.DUMMYFUNCTION("""COMPUTED_VALUE"""),"ITEM NAME")</f>
        <v>ITEM NAME</v>
      </c>
      <c r="D5" s="75" t="str">
        <f>IFERROR(__xludf.DUMMYFUNCTION("""COMPUTED_VALUE"""),"QUANTITY")</f>
        <v>QUANTITY</v>
      </c>
      <c r="E5" s="62" t="str">
        <f>IFERROR(__xludf.DUMMYFUNCTION("""COMPUTED_VALUE"""),"PRICE")</f>
        <v>PRICE</v>
      </c>
      <c r="F5" s="62" t="str">
        <f>IFERROR(__xludf.DUMMYFUNCTION("""COMPUTED_VALUE"""),"TOTAL")</f>
        <v>TOTAL</v>
      </c>
      <c r="G5" s="75" t="str">
        <f>IFERROR(__xludf.DUMMYFUNCTION("""COMPUTED_VALUE"""),"CUSTOMER NAME")</f>
        <v>CUSTOMER NAME</v>
      </c>
      <c r="H5" s="91" t="str">
        <f>IFERROR(__xludf.DUMMYFUNCTION("""COMPUTED_VALUE"""),"PAYMENT METHOD ")</f>
        <v>PAYMENT METHOD </v>
      </c>
      <c r="I5" s="92" t="str">
        <f>IFERROR(__xludf.DUMMYFUNCTION("""COMPUTED_VALUE"""),"PAYMENT RECEIVED ")</f>
        <v>PAYMENT RECEIVED </v>
      </c>
      <c r="J5" s="92" t="str">
        <f>IFERROR(__xludf.DUMMYFUNCTION("""COMPUTED_VALUE"""),"PAYMENT BALANCE ")</f>
        <v>PAYMENT BALANCE </v>
      </c>
      <c r="K5" s="91" t="str">
        <f>IFERROR(__xludf.DUMMYFUNCTION("""COMPUTED_VALUE"""),"RETURN QUANTITY ")</f>
        <v>RETURN QUANTITY </v>
      </c>
      <c r="L5" s="91" t="str">
        <f>IFERROR(__xludf.DUMMYFUNCTION("""COMPUTED_VALUE"""),"BALANCE QUANTITY")</f>
        <v>BALANCE QUANTITY</v>
      </c>
      <c r="M5" s="91" t="str">
        <f>IFERROR(__xludf.DUMMYFUNCTION("""COMPUTED_VALUE"""),"Narration")</f>
        <v>Narration</v>
      </c>
    </row>
    <row r="6">
      <c r="A6" s="93">
        <f>IFERROR(__xludf.DUMMYFUNCTION("""COMPUTED_VALUE"""),46204.0)</f>
        <v>46204</v>
      </c>
      <c r="B6" s="75" t="str">
        <f>IFERROR(__xludf.DUMMYFUNCTION("""COMPUTED_VALUE"""),"CTRNG")</f>
        <v>CTRNG</v>
      </c>
      <c r="C6" s="75" t="str">
        <f>IFERROR(__xludf.DUMMYFUNCTION("""COMPUTED_VALUE"""),"CTRNG")</f>
        <v>CTRNG</v>
      </c>
      <c r="D6" s="75">
        <f>IFERROR(__xludf.DUMMYFUNCTION("""COMPUTED_VALUE"""),1.0)</f>
        <v>1</v>
      </c>
      <c r="E6" s="62">
        <f>IFERROR(__xludf.DUMMYFUNCTION("""COMPUTED_VALUE"""),850.0)</f>
        <v>850</v>
      </c>
      <c r="F6" s="62">
        <f>IFERROR(__xludf.DUMMYFUNCTION("""COMPUTED_VALUE"""),850.0)</f>
        <v>850</v>
      </c>
      <c r="G6" s="75" t="str">
        <f>IFERROR(__xludf.DUMMYFUNCTION("""COMPUTED_VALUE"""),"Yogesh Caterers")</f>
        <v>Yogesh Caterers</v>
      </c>
      <c r="H6" s="75"/>
      <c r="I6" s="62">
        <f>IFERROR(__xludf.DUMMYFUNCTION("""COMPUTED_VALUE"""),600.0)</f>
        <v>600</v>
      </c>
      <c r="J6" s="62">
        <f>IFERROR(__xludf.DUMMYFUNCTION("""COMPUTED_VALUE"""),250.0)</f>
        <v>250</v>
      </c>
      <c r="K6" s="75">
        <f>IFERROR(__xludf.DUMMYFUNCTION("""COMPUTED_VALUE"""),1.0)</f>
        <v>1</v>
      </c>
      <c r="L6" s="75">
        <f>IFERROR(__xludf.DUMMYFUNCTION("""COMPUTED_VALUE"""),0.0)</f>
        <v>0</v>
      </c>
      <c r="M6" s="75"/>
    </row>
    <row r="7">
      <c r="A7" s="93">
        <f>IFERROR(__xludf.DUMMYFUNCTION("""COMPUTED_VALUE"""),46204.0)</f>
        <v>46204</v>
      </c>
      <c r="B7" s="75" t="str">
        <f>IFERROR(__xludf.DUMMYFUNCTION("""COMPUTED_VALUE"""),"GD")</f>
        <v>GD</v>
      </c>
      <c r="C7" s="75" t="str">
        <f>IFERROR(__xludf.DUMMYFUNCTION("""COMPUTED_VALUE"""),"Gadi ")</f>
        <v>Gadi </v>
      </c>
      <c r="D7" s="75">
        <f>IFERROR(__xludf.DUMMYFUNCTION("""COMPUTED_VALUE"""),10.0)</f>
        <v>10</v>
      </c>
      <c r="E7" s="62">
        <f>IFERROR(__xludf.DUMMYFUNCTION("""COMPUTED_VALUE"""),15.0)</f>
        <v>15</v>
      </c>
      <c r="F7" s="62">
        <f>IFERROR(__xludf.DUMMYFUNCTION("""COMPUTED_VALUE"""),150.0)</f>
        <v>150</v>
      </c>
      <c r="G7" s="75" t="str">
        <f>IFERROR(__xludf.DUMMYFUNCTION("""COMPUTED_VALUE"""),"Samarth Sound")</f>
        <v>Samarth Sound</v>
      </c>
      <c r="H7" s="75"/>
      <c r="I7" s="62">
        <f>IFERROR(__xludf.DUMMYFUNCTION("""COMPUTED_VALUE"""),150.0)</f>
        <v>150</v>
      </c>
      <c r="J7" s="62"/>
      <c r="K7" s="75">
        <f>IFERROR(__xludf.DUMMYFUNCTION("""COMPUTED_VALUE"""),10.0)</f>
        <v>10</v>
      </c>
      <c r="L7" s="75">
        <f>IFERROR(__xludf.DUMMYFUNCTION("""COMPUTED_VALUE"""),0.0)</f>
        <v>0</v>
      </c>
      <c r="M7" s="75"/>
    </row>
    <row r="8">
      <c r="A8" s="93">
        <f>IFERROR(__xludf.DUMMYFUNCTION("""COMPUTED_VALUE"""),46204.0)</f>
        <v>46204</v>
      </c>
      <c r="B8" s="75" t="str">
        <f>IFERROR(__xludf.DUMMYFUNCTION("""COMPUTED_VALUE"""),"AAH")</f>
        <v>AAH</v>
      </c>
      <c r="C8" s="75" t="str">
        <f>IFERROR(__xludf.DUMMYFUNCTION("""COMPUTED_VALUE"""),"Amp Ahuja ")</f>
        <v>Amp Ahuja </v>
      </c>
      <c r="D8" s="75">
        <f>IFERROR(__xludf.DUMMYFUNCTION("""COMPUTED_VALUE"""),1.0)</f>
        <v>1</v>
      </c>
      <c r="E8" s="62">
        <f>IFERROR(__xludf.DUMMYFUNCTION("""COMPUTED_VALUE"""),800.0)</f>
        <v>800</v>
      </c>
      <c r="F8" s="62">
        <f>IFERROR(__xludf.DUMMYFUNCTION("""COMPUTED_VALUE"""),800.0)</f>
        <v>800</v>
      </c>
      <c r="G8" s="75" t="str">
        <f>IFERROR(__xludf.DUMMYFUNCTION("""COMPUTED_VALUE"""),"Samarth Sound")</f>
        <v>Samarth Sound</v>
      </c>
      <c r="H8" s="75"/>
      <c r="I8" s="62">
        <f>IFERROR(__xludf.DUMMYFUNCTION("""COMPUTED_VALUE"""),800.0)</f>
        <v>800</v>
      </c>
      <c r="J8" s="62"/>
      <c r="K8" s="75">
        <f>IFERROR(__xludf.DUMMYFUNCTION("""COMPUTED_VALUE"""),1.0)</f>
        <v>1</v>
      </c>
      <c r="L8" s="75">
        <f>IFERROR(__xludf.DUMMYFUNCTION("""COMPUTED_VALUE"""),0.0)</f>
        <v>0</v>
      </c>
      <c r="M8" s="75"/>
    </row>
    <row r="9">
      <c r="A9" s="93">
        <f>IFERROR(__xludf.DUMMYFUNCTION("""COMPUTED_VALUE"""),46204.0)</f>
        <v>46204</v>
      </c>
      <c r="B9" s="75" t="str">
        <f>IFERROR(__xludf.DUMMYFUNCTION("""COMPUTED_VALUE"""),"CH")</f>
        <v>CH</v>
      </c>
      <c r="C9" s="75" t="str">
        <f>IFERROR(__xludf.DUMMYFUNCTION("""COMPUTED_VALUE"""),"Chair ")</f>
        <v>Chair </v>
      </c>
      <c r="D9" s="75">
        <f>IFERROR(__xludf.DUMMYFUNCTION("""COMPUTED_VALUE"""),20.0)</f>
        <v>20</v>
      </c>
      <c r="E9" s="62">
        <f>IFERROR(__xludf.DUMMYFUNCTION("""COMPUTED_VALUE"""),4.0)</f>
        <v>4</v>
      </c>
      <c r="F9" s="62">
        <f>IFERROR(__xludf.DUMMYFUNCTION("""COMPUTED_VALUE"""),80.0)</f>
        <v>80</v>
      </c>
      <c r="G9" s="75" t="str">
        <f>IFERROR(__xludf.DUMMYFUNCTION("""COMPUTED_VALUE"""),"Tulja Bhavani Mandap")</f>
        <v>Tulja Bhavani Mandap</v>
      </c>
      <c r="H9" s="75"/>
      <c r="I9" s="62"/>
      <c r="J9" s="62">
        <f>IFERROR(__xludf.DUMMYFUNCTION("""COMPUTED_VALUE"""),80.0)</f>
        <v>80</v>
      </c>
      <c r="K9" s="75">
        <f>IFERROR(__xludf.DUMMYFUNCTION("""COMPUTED_VALUE"""),20.0)</f>
        <v>20</v>
      </c>
      <c r="L9" s="75">
        <f>IFERROR(__xludf.DUMMYFUNCTION("""COMPUTED_VALUE"""),0.0)</f>
        <v>0</v>
      </c>
      <c r="M9" s="75"/>
    </row>
    <row r="10">
      <c r="A10" s="93">
        <f>IFERROR(__xludf.DUMMYFUNCTION("""COMPUTED_VALUE"""),46204.0)</f>
        <v>46204</v>
      </c>
      <c r="B10" s="75" t="str">
        <f>IFERROR(__xludf.DUMMYFUNCTION("""COMPUTED_VALUE"""),"CH")</f>
        <v>CH</v>
      </c>
      <c r="C10" s="75" t="str">
        <f>IFERROR(__xludf.DUMMYFUNCTION("""COMPUTED_VALUE"""),"Chair ")</f>
        <v>Chair </v>
      </c>
      <c r="D10" s="75">
        <f>IFERROR(__xludf.DUMMYFUNCTION("""COMPUTED_VALUE"""),70.0)</f>
        <v>70</v>
      </c>
      <c r="E10" s="62">
        <f>IFERROR(__xludf.DUMMYFUNCTION("""COMPUTED_VALUE"""),4.0)</f>
        <v>4</v>
      </c>
      <c r="F10" s="62">
        <f>IFERROR(__xludf.DUMMYFUNCTION("""COMPUTED_VALUE"""),280.0)</f>
        <v>280</v>
      </c>
      <c r="G10" s="75" t="str">
        <f>IFERROR(__xludf.DUMMYFUNCTION("""COMPUTED_VALUE"""),"Tulja Bhavani Mandap")</f>
        <v>Tulja Bhavani Mandap</v>
      </c>
      <c r="H10" s="75"/>
      <c r="I10" s="62"/>
      <c r="J10" s="62">
        <f>IFERROR(__xludf.DUMMYFUNCTION("""COMPUTED_VALUE"""),280.0)</f>
        <v>280</v>
      </c>
      <c r="K10" s="75">
        <f>IFERROR(__xludf.DUMMYFUNCTION("""COMPUTED_VALUE"""),70.0)</f>
        <v>70</v>
      </c>
      <c r="L10" s="75">
        <f>IFERROR(__xludf.DUMMYFUNCTION("""COMPUTED_VALUE"""),0.0)</f>
        <v>0</v>
      </c>
      <c r="M10" s="75"/>
    </row>
    <row r="11">
      <c r="A11" s="93">
        <f>IFERROR(__xludf.DUMMYFUNCTION("""COMPUTED_VALUE"""),46204.0)</f>
        <v>46204</v>
      </c>
      <c r="B11" s="75" t="str">
        <f>IFERROR(__xludf.DUMMYFUNCTION("""COMPUTED_VALUE"""),"TBL")</f>
        <v>TBL</v>
      </c>
      <c r="C11" s="75" t="str">
        <f>IFERROR(__xludf.DUMMYFUNCTION("""COMPUTED_VALUE"""),"Table")</f>
        <v>Table</v>
      </c>
      <c r="D11" s="75">
        <f>IFERROR(__xludf.DUMMYFUNCTION("""COMPUTED_VALUE"""),39.0)</f>
        <v>39</v>
      </c>
      <c r="E11" s="62">
        <f>IFERROR(__xludf.DUMMYFUNCTION("""COMPUTED_VALUE"""),20.0)</f>
        <v>20</v>
      </c>
      <c r="F11" s="62">
        <f>IFERROR(__xludf.DUMMYFUNCTION("""COMPUTED_VALUE"""),1000.0)</f>
        <v>1000</v>
      </c>
      <c r="G11" s="75" t="str">
        <f>IFERROR(__xludf.DUMMYFUNCTION("""COMPUTED_VALUE"""),"CASH")</f>
        <v>CASH</v>
      </c>
      <c r="H11" s="75"/>
      <c r="I11" s="62">
        <f>IFERROR(__xludf.DUMMYFUNCTION("""COMPUTED_VALUE"""),1000.0)</f>
        <v>1000</v>
      </c>
      <c r="J11" s="62"/>
      <c r="K11" s="75">
        <f>IFERROR(__xludf.DUMMYFUNCTION("""COMPUTED_VALUE"""),39.0)</f>
        <v>39</v>
      </c>
      <c r="L11" s="75">
        <f>IFERROR(__xludf.DUMMYFUNCTION("""COMPUTED_VALUE"""),0.0)</f>
        <v>0</v>
      </c>
      <c r="M11" s="75" t="str">
        <f>IFERROR(__xludf.DUMMYFUNCTION("""COMPUTED_VALUE"""),"Avinash gaikwad")</f>
        <v>Avinash gaikwad</v>
      </c>
    </row>
    <row r="12">
      <c r="A12" s="93">
        <f>IFERROR(__xludf.DUMMYFUNCTION("""COMPUTED_VALUE"""),46204.0)</f>
        <v>46204</v>
      </c>
      <c r="B12" s="75" t="str">
        <f>IFERROR(__xludf.DUMMYFUNCTION("""COMPUTED_VALUE"""),"DSH")</f>
        <v>DSH</v>
      </c>
      <c r="C12" s="75" t="str">
        <f>IFERROR(__xludf.DUMMYFUNCTION("""COMPUTED_VALUE"""),"Dish")</f>
        <v>Dish</v>
      </c>
      <c r="D12" s="75">
        <f>IFERROR(__xludf.DUMMYFUNCTION("""COMPUTED_VALUE"""),200.0)</f>
        <v>200</v>
      </c>
      <c r="E12" s="62">
        <f>IFERROR(__xludf.DUMMYFUNCTION("""COMPUTED_VALUE"""),2.0)</f>
        <v>2</v>
      </c>
      <c r="F12" s="62">
        <f>IFERROR(__xludf.DUMMYFUNCTION("""COMPUTED_VALUE"""),540.0)</f>
        <v>540</v>
      </c>
      <c r="G12" s="75" t="str">
        <f>IFERROR(__xludf.DUMMYFUNCTION("""COMPUTED_VALUE"""),"CASH")</f>
        <v>CASH</v>
      </c>
      <c r="H12" s="75"/>
      <c r="I12" s="62">
        <f>IFERROR(__xludf.DUMMYFUNCTION("""COMPUTED_VALUE"""),540.0)</f>
        <v>540</v>
      </c>
      <c r="J12" s="62"/>
      <c r="K12" s="75">
        <f>IFERROR(__xludf.DUMMYFUNCTION("""COMPUTED_VALUE"""),200.0)</f>
        <v>200</v>
      </c>
      <c r="L12" s="75">
        <f>IFERROR(__xludf.DUMMYFUNCTION("""COMPUTED_VALUE"""),0.0)</f>
        <v>0</v>
      </c>
      <c r="M12" s="75" t="str">
        <f>IFERROR(__xludf.DUMMYFUNCTION("""COMPUTED_VALUE"""),"Avinash gaikwad")</f>
        <v>Avinash gaikwad</v>
      </c>
    </row>
    <row r="13">
      <c r="A13" s="93">
        <f>IFERROR(__xludf.DUMMYFUNCTION("""COMPUTED_VALUE"""),46206.0)</f>
        <v>46206</v>
      </c>
      <c r="B13" s="75" t="str">
        <f>IFERROR(__xludf.DUMMYFUNCTION("""COMPUTED_VALUE"""),"CTRNG")</f>
        <v>CTRNG</v>
      </c>
      <c r="C13" s="75" t="str">
        <f>IFERROR(__xludf.DUMMYFUNCTION("""COMPUTED_VALUE"""),"CTRNG")</f>
        <v>CTRNG</v>
      </c>
      <c r="D13" s="75">
        <f>IFERROR(__xludf.DUMMYFUNCTION("""COMPUTED_VALUE"""),1.0)</f>
        <v>1</v>
      </c>
      <c r="E13" s="62">
        <f>IFERROR(__xludf.DUMMYFUNCTION("""COMPUTED_VALUE"""),50.0)</f>
        <v>50</v>
      </c>
      <c r="F13" s="62">
        <f>IFERROR(__xludf.DUMMYFUNCTION("""COMPUTED_VALUE"""),50.0)</f>
        <v>50</v>
      </c>
      <c r="G13" s="75" t="str">
        <f>IFERROR(__xludf.DUMMYFUNCTION("""COMPUTED_VALUE"""),"CASH")</f>
        <v>CASH</v>
      </c>
      <c r="H13" s="75"/>
      <c r="I13" s="62"/>
      <c r="J13" s="62">
        <f>IFERROR(__xludf.DUMMYFUNCTION("""COMPUTED_VALUE"""),50.0)</f>
        <v>50</v>
      </c>
      <c r="K13" s="75">
        <f>IFERROR(__xludf.DUMMYFUNCTION("""COMPUTED_VALUE"""),1.0)</f>
        <v>1</v>
      </c>
      <c r="L13" s="75">
        <f>IFERROR(__xludf.DUMMYFUNCTION("""COMPUTED_VALUE"""),0.0)</f>
        <v>0</v>
      </c>
      <c r="M13" s="75" t="str">
        <f>IFERROR(__xludf.DUMMYFUNCTION("""COMPUTED_VALUE"""),"Vijay jadhav")</f>
        <v>Vijay jadhav</v>
      </c>
    </row>
    <row r="14">
      <c r="A14" s="93">
        <f>IFERROR(__xludf.DUMMYFUNCTION("""COMPUTED_VALUE"""),46206.0)</f>
        <v>46206</v>
      </c>
      <c r="B14" s="75" t="str">
        <f>IFERROR(__xludf.DUMMYFUNCTION("""COMPUTED_VALUE"""),"HLC")</f>
        <v>HLC</v>
      </c>
      <c r="C14" s="75" t="str">
        <f>IFERROR(__xludf.DUMMYFUNCTION("""COMPUTED_VALUE"""),"Halad Chair")</f>
        <v>Halad Chair</v>
      </c>
      <c r="D14" s="75">
        <f>IFERROR(__xludf.DUMMYFUNCTION("""COMPUTED_VALUE"""),1.0)</f>
        <v>1</v>
      </c>
      <c r="E14" s="62">
        <f>IFERROR(__xludf.DUMMYFUNCTION("""COMPUTED_VALUE"""),300.0)</f>
        <v>300</v>
      </c>
      <c r="F14" s="62">
        <f>IFERROR(__xludf.DUMMYFUNCTION("""COMPUTED_VALUE"""),300.0)</f>
        <v>300</v>
      </c>
      <c r="G14" s="75" t="str">
        <f>IFERROR(__xludf.DUMMYFUNCTION("""COMPUTED_VALUE"""),"Sunil Garandwal")</f>
        <v>Sunil Garandwal</v>
      </c>
      <c r="H14" s="75"/>
      <c r="I14" s="62">
        <f>IFERROR(__xludf.DUMMYFUNCTION("""COMPUTED_VALUE"""),300.0)</f>
        <v>300</v>
      </c>
      <c r="J14" s="62"/>
      <c r="K14" s="75">
        <f>IFERROR(__xludf.DUMMYFUNCTION("""COMPUTED_VALUE"""),1.0)</f>
        <v>1</v>
      </c>
      <c r="L14" s="75">
        <f>IFERROR(__xludf.DUMMYFUNCTION("""COMPUTED_VALUE"""),0.0)</f>
        <v>0</v>
      </c>
      <c r="M14" s="75"/>
    </row>
    <row r="15">
      <c r="A15" s="93">
        <f>IFERROR(__xludf.DUMMYFUNCTION("""COMPUTED_VALUE"""),46207.0)</f>
        <v>46207</v>
      </c>
      <c r="B15" s="75" t="str">
        <f>IFERROR(__xludf.DUMMYFUNCTION("""COMPUTED_VALUE"""),"CTRNG")</f>
        <v>CTRNG</v>
      </c>
      <c r="C15" s="75" t="str">
        <f>IFERROR(__xludf.DUMMYFUNCTION("""COMPUTED_VALUE"""),"CTRNG")</f>
        <v>CTRNG</v>
      </c>
      <c r="D15" s="75">
        <f>IFERROR(__xludf.DUMMYFUNCTION("""COMPUTED_VALUE"""),1.0)</f>
        <v>1</v>
      </c>
      <c r="E15" s="62">
        <f>IFERROR(__xludf.DUMMYFUNCTION("""COMPUTED_VALUE"""),330.0)</f>
        <v>330</v>
      </c>
      <c r="F15" s="62">
        <f>IFERROR(__xludf.DUMMYFUNCTION("""COMPUTED_VALUE"""),330.0)</f>
        <v>330</v>
      </c>
      <c r="G15" s="75" t="str">
        <f>IFERROR(__xludf.DUMMYFUNCTION("""COMPUTED_VALUE"""),"Abhiman Kharat")</f>
        <v>Abhiman Kharat</v>
      </c>
      <c r="H15" s="75"/>
      <c r="I15" s="62">
        <f>IFERROR(__xludf.DUMMYFUNCTION("""COMPUTED_VALUE"""),100.0)</f>
        <v>100</v>
      </c>
      <c r="J15" s="62">
        <f>IFERROR(__xludf.DUMMYFUNCTION("""COMPUTED_VALUE"""),230.0)</f>
        <v>230</v>
      </c>
      <c r="K15" s="75">
        <f>IFERROR(__xludf.DUMMYFUNCTION("""COMPUTED_VALUE"""),1.0)</f>
        <v>1</v>
      </c>
      <c r="L15" s="75">
        <f>IFERROR(__xludf.DUMMYFUNCTION("""COMPUTED_VALUE"""),0.0)</f>
        <v>0</v>
      </c>
      <c r="M15" s="75"/>
    </row>
    <row r="16">
      <c r="A16" s="93">
        <f>IFERROR(__xludf.DUMMYFUNCTION("""COMPUTED_VALUE"""),46206.0)</f>
        <v>46206</v>
      </c>
      <c r="B16" s="75" t="str">
        <f>IFERROR(__xludf.DUMMYFUNCTION("""COMPUTED_VALUE"""),"CTRNG")</f>
        <v>CTRNG</v>
      </c>
      <c r="C16" s="75" t="str">
        <f>IFERROR(__xludf.DUMMYFUNCTION("""COMPUTED_VALUE"""),"CTRNG")</f>
        <v>CTRNG</v>
      </c>
      <c r="D16" s="75">
        <f>IFERROR(__xludf.DUMMYFUNCTION("""COMPUTED_VALUE"""),1.0)</f>
        <v>1</v>
      </c>
      <c r="E16" s="62">
        <f>IFERROR(__xludf.DUMMYFUNCTION("""COMPUTED_VALUE"""),450.0)</f>
        <v>450</v>
      </c>
      <c r="F16" s="62">
        <f>IFERROR(__xludf.DUMMYFUNCTION("""COMPUTED_VALUE"""),450.0)</f>
        <v>450</v>
      </c>
      <c r="G16" s="75" t="str">
        <f>IFERROR(__xludf.DUMMYFUNCTION("""COMPUTED_VALUE"""),"Ganesh Mandap T")</f>
        <v>Ganesh Mandap T</v>
      </c>
      <c r="H16" s="75"/>
      <c r="I16" s="62"/>
      <c r="J16" s="62">
        <f>IFERROR(__xludf.DUMMYFUNCTION("""COMPUTED_VALUE"""),450.0)</f>
        <v>450</v>
      </c>
      <c r="K16" s="75">
        <f>IFERROR(__xludf.DUMMYFUNCTION("""COMPUTED_VALUE"""),1.0)</f>
        <v>1</v>
      </c>
      <c r="L16" s="75">
        <f>IFERROR(__xludf.DUMMYFUNCTION("""COMPUTED_VALUE"""),0.0)</f>
        <v>0</v>
      </c>
      <c r="M16" s="75"/>
    </row>
    <row r="17">
      <c r="A17" s="93">
        <f>IFERROR(__xludf.DUMMYFUNCTION("""COMPUTED_VALUE"""),46206.0)</f>
        <v>46206</v>
      </c>
      <c r="B17" s="75" t="str">
        <f>IFERROR(__xludf.DUMMYFUNCTION("""COMPUTED_VALUE"""),"HLC")</f>
        <v>HLC</v>
      </c>
      <c r="C17" s="75" t="str">
        <f>IFERROR(__xludf.DUMMYFUNCTION("""COMPUTED_VALUE"""),"Halad Chair")</f>
        <v>Halad Chair</v>
      </c>
      <c r="D17" s="75">
        <f>IFERROR(__xludf.DUMMYFUNCTION("""COMPUTED_VALUE"""),1.0)</f>
        <v>1</v>
      </c>
      <c r="E17" s="62">
        <f>IFERROR(__xludf.DUMMYFUNCTION("""COMPUTED_VALUE"""),300.0)</f>
        <v>300</v>
      </c>
      <c r="F17" s="62">
        <f>IFERROR(__xludf.DUMMYFUNCTION("""COMPUTED_VALUE"""),300.0)</f>
        <v>300</v>
      </c>
      <c r="G17" s="75" t="str">
        <f>IFERROR(__xludf.DUMMYFUNCTION("""COMPUTED_VALUE"""),"Ganesh Mandap T")</f>
        <v>Ganesh Mandap T</v>
      </c>
      <c r="H17" s="75"/>
      <c r="I17" s="62"/>
      <c r="J17" s="62">
        <f>IFERROR(__xludf.DUMMYFUNCTION("""COMPUTED_VALUE"""),300.0)</f>
        <v>300</v>
      </c>
      <c r="K17" s="75">
        <f>IFERROR(__xludf.DUMMYFUNCTION("""COMPUTED_VALUE"""),1.0)</f>
        <v>1</v>
      </c>
      <c r="L17" s="75">
        <f>IFERROR(__xludf.DUMMYFUNCTION("""COMPUTED_VALUE"""),0.0)</f>
        <v>0</v>
      </c>
      <c r="M17" s="75"/>
    </row>
    <row r="18">
      <c r="A18" s="93">
        <f>IFERROR(__xludf.DUMMYFUNCTION("""COMPUTED_VALUE"""),46206.0)</f>
        <v>46206</v>
      </c>
      <c r="B18" s="75"/>
      <c r="C18" s="75"/>
      <c r="D18" s="75"/>
      <c r="E18" s="62">
        <f>IFERROR(__xludf.DUMMYFUNCTION("""COMPUTED_VALUE"""),0.0)</f>
        <v>0</v>
      </c>
      <c r="F18" s="62">
        <f>IFERROR(__xludf.DUMMYFUNCTION("""COMPUTED_VALUE"""),0.0)</f>
        <v>0</v>
      </c>
      <c r="G18" s="75" t="str">
        <f>IFERROR(__xludf.DUMMYFUNCTION("""COMPUTED_VALUE"""),"Atul Salve")</f>
        <v>Atul Salve</v>
      </c>
      <c r="H18" s="75"/>
      <c r="I18" s="62">
        <f>IFERROR(__xludf.DUMMYFUNCTION("""COMPUTED_VALUE"""),1000.0)</f>
        <v>1000</v>
      </c>
      <c r="J18" s="62">
        <f>IFERROR(__xludf.DUMMYFUNCTION("""COMPUTED_VALUE"""),-1000.0)</f>
        <v>-1000</v>
      </c>
      <c r="K18" s="75"/>
      <c r="L18" s="75">
        <f>IFERROR(__xludf.DUMMYFUNCTION("""COMPUTED_VALUE"""),0.0)</f>
        <v>0</v>
      </c>
      <c r="M18" s="75"/>
    </row>
    <row r="19">
      <c r="A19" s="93">
        <f>IFERROR(__xludf.DUMMYFUNCTION("""COMPUTED_VALUE"""),46207.0)</f>
        <v>46207</v>
      </c>
      <c r="B19" s="75" t="str">
        <f>IFERROR(__xludf.DUMMYFUNCTION("""COMPUTED_VALUE"""),"SMI")</f>
        <v>SMI</v>
      </c>
      <c r="C19" s="75" t="str">
        <f>IFERROR(__xludf.DUMMYFUNCTION("""COMPUTED_VALUE"""),"Samai")</f>
        <v>Samai</v>
      </c>
      <c r="D19" s="75">
        <f>IFERROR(__xludf.DUMMYFUNCTION("""COMPUTED_VALUE"""),1.0)</f>
        <v>1</v>
      </c>
      <c r="E19" s="62">
        <f>IFERROR(__xludf.DUMMYFUNCTION("""COMPUTED_VALUE"""),300.0)</f>
        <v>300</v>
      </c>
      <c r="F19" s="62">
        <f>IFERROR(__xludf.DUMMYFUNCTION("""COMPUTED_VALUE"""),300.0)</f>
        <v>300</v>
      </c>
      <c r="G19" s="75" t="str">
        <f>IFERROR(__xludf.DUMMYFUNCTION("""COMPUTED_VALUE"""),"Vishva Mandap")</f>
        <v>Vishva Mandap</v>
      </c>
      <c r="H19" s="75"/>
      <c r="I19" s="62">
        <f>IFERROR(__xludf.DUMMYFUNCTION("""COMPUTED_VALUE"""),300.0)</f>
        <v>300</v>
      </c>
      <c r="J19" s="62"/>
      <c r="K19" s="75">
        <f>IFERROR(__xludf.DUMMYFUNCTION("""COMPUTED_VALUE"""),1.0)</f>
        <v>1</v>
      </c>
      <c r="L19" s="75">
        <f>IFERROR(__xludf.DUMMYFUNCTION("""COMPUTED_VALUE"""),0.0)</f>
        <v>0</v>
      </c>
      <c r="M19" s="75"/>
    </row>
    <row r="20">
      <c r="A20" s="93">
        <f>IFERROR(__xludf.DUMMYFUNCTION("""COMPUTED_VALUE"""),46208.0)</f>
        <v>46208</v>
      </c>
      <c r="B20" s="75" t="str">
        <f>IFERROR(__xludf.DUMMYFUNCTION("""COMPUTED_VALUE"""),"PLN")</f>
        <v>PLN</v>
      </c>
      <c r="C20" s="75" t="str">
        <f>IFERROR(__xludf.DUMMYFUNCTION("""COMPUTED_VALUE"""),"Palna")</f>
        <v>Palna</v>
      </c>
      <c r="D20" s="75">
        <f>IFERROR(__xludf.DUMMYFUNCTION("""COMPUTED_VALUE"""),1.0)</f>
        <v>1</v>
      </c>
      <c r="E20" s="62">
        <f>IFERROR(__xludf.DUMMYFUNCTION("""COMPUTED_VALUE"""),500.0)</f>
        <v>500</v>
      </c>
      <c r="F20" s="62">
        <f>IFERROR(__xludf.DUMMYFUNCTION("""COMPUTED_VALUE"""),500.0)</f>
        <v>500</v>
      </c>
      <c r="G20" s="75" t="str">
        <f>IFERROR(__xludf.DUMMYFUNCTION("""COMPUTED_VALUE"""),"Ayush Mandap")</f>
        <v>Ayush Mandap</v>
      </c>
      <c r="H20" s="75"/>
      <c r="I20" s="62">
        <f>IFERROR(__xludf.DUMMYFUNCTION("""COMPUTED_VALUE"""),0.0)</f>
        <v>0</v>
      </c>
      <c r="J20" s="62">
        <f>IFERROR(__xludf.DUMMYFUNCTION("""COMPUTED_VALUE"""),500.0)</f>
        <v>500</v>
      </c>
      <c r="K20" s="75">
        <f>IFERROR(__xludf.DUMMYFUNCTION("""COMPUTED_VALUE"""),1.0)</f>
        <v>1</v>
      </c>
      <c r="L20" s="75">
        <f>IFERROR(__xludf.DUMMYFUNCTION("""COMPUTED_VALUE"""),0.0)</f>
        <v>0</v>
      </c>
      <c r="M20" s="75"/>
    </row>
    <row r="21">
      <c r="A21" s="93">
        <f>IFERROR(__xludf.DUMMYFUNCTION("""COMPUTED_VALUE"""),46208.0)</f>
        <v>46208</v>
      </c>
      <c r="B21" s="75" t="str">
        <f>IFERROR(__xludf.DUMMYFUNCTION("""COMPUTED_VALUE"""),"MSF")</f>
        <v>MSF</v>
      </c>
      <c r="C21" s="75" t="str">
        <f>IFERROR(__xludf.DUMMYFUNCTION("""COMPUTED_VALUE"""),"Maharaja Sofa ")</f>
        <v>Maharaja Sofa </v>
      </c>
      <c r="D21" s="75">
        <f>IFERROR(__xludf.DUMMYFUNCTION("""COMPUTED_VALUE"""),1.0)</f>
        <v>1</v>
      </c>
      <c r="E21" s="62">
        <f>IFERROR(__xludf.DUMMYFUNCTION("""COMPUTED_VALUE"""),700.0)</f>
        <v>700</v>
      </c>
      <c r="F21" s="62">
        <f>IFERROR(__xludf.DUMMYFUNCTION("""COMPUTED_VALUE"""),700.0)</f>
        <v>700</v>
      </c>
      <c r="G21" s="75" t="str">
        <f>IFERROR(__xludf.DUMMYFUNCTION("""COMPUTED_VALUE"""),"Ayush Mandap")</f>
        <v>Ayush Mandap</v>
      </c>
      <c r="H21" s="75"/>
      <c r="I21" s="62">
        <f>IFERROR(__xludf.DUMMYFUNCTION("""COMPUTED_VALUE"""),700.0)</f>
        <v>700</v>
      </c>
      <c r="J21" s="62"/>
      <c r="K21" s="75">
        <f>IFERROR(__xludf.DUMMYFUNCTION("""COMPUTED_VALUE"""),1.0)</f>
        <v>1</v>
      </c>
      <c r="L21" s="75">
        <f>IFERROR(__xludf.DUMMYFUNCTION("""COMPUTED_VALUE"""),0.0)</f>
        <v>0</v>
      </c>
      <c r="M21" s="75"/>
    </row>
    <row r="22">
      <c r="A22" s="93">
        <f>IFERROR(__xludf.DUMMYFUNCTION("""COMPUTED_VALUE"""),46208.0)</f>
        <v>46208</v>
      </c>
      <c r="B22" s="75" t="str">
        <f>IFERROR(__xludf.DUMMYFUNCTION("""COMPUTED_VALUE"""),"PLN")</f>
        <v>PLN</v>
      </c>
      <c r="C22" s="75" t="str">
        <f>IFERROR(__xludf.DUMMYFUNCTION("""COMPUTED_VALUE"""),"Palna")</f>
        <v>Palna</v>
      </c>
      <c r="D22" s="75">
        <f>IFERROR(__xludf.DUMMYFUNCTION("""COMPUTED_VALUE"""),1.0)</f>
        <v>1</v>
      </c>
      <c r="E22" s="62">
        <f>IFERROR(__xludf.DUMMYFUNCTION("""COMPUTED_VALUE"""),500.0)</f>
        <v>500</v>
      </c>
      <c r="F22" s="62">
        <f>IFERROR(__xludf.DUMMYFUNCTION("""COMPUTED_VALUE"""),500.0)</f>
        <v>500</v>
      </c>
      <c r="G22" s="75" t="str">
        <f>IFERROR(__xludf.DUMMYFUNCTION("""COMPUTED_VALUE"""),"Ayush Mandap")</f>
        <v>Ayush Mandap</v>
      </c>
      <c r="H22" s="75"/>
      <c r="I22" s="62">
        <f>IFERROR(__xludf.DUMMYFUNCTION("""COMPUTED_VALUE"""),500.0)</f>
        <v>500</v>
      </c>
      <c r="J22" s="62"/>
      <c r="K22" s="75">
        <f>IFERROR(__xludf.DUMMYFUNCTION("""COMPUTED_VALUE"""),1.0)</f>
        <v>1</v>
      </c>
      <c r="L22" s="75">
        <f>IFERROR(__xludf.DUMMYFUNCTION("""COMPUTED_VALUE"""),0.0)</f>
        <v>0</v>
      </c>
      <c r="M22" s="75"/>
    </row>
    <row r="23">
      <c r="A23" s="93">
        <f>IFERROR(__xludf.DUMMYFUNCTION("""COMPUTED_VALUE"""),46208.0)</f>
        <v>46208</v>
      </c>
      <c r="B23" s="75" t="str">
        <f>IFERROR(__xludf.DUMMYFUNCTION("""COMPUTED_VALUE"""),"CTRNG")</f>
        <v>CTRNG</v>
      </c>
      <c r="C23" s="75" t="str">
        <f>IFERROR(__xludf.DUMMYFUNCTION("""COMPUTED_VALUE"""),"CTRNG")</f>
        <v>CTRNG</v>
      </c>
      <c r="D23" s="75">
        <f>IFERROR(__xludf.DUMMYFUNCTION("""COMPUTED_VALUE"""),1.0)</f>
        <v>1</v>
      </c>
      <c r="E23" s="62">
        <f>IFERROR(__xludf.DUMMYFUNCTION("""COMPUTED_VALUE"""),900.0)</f>
        <v>900</v>
      </c>
      <c r="F23" s="62">
        <f>IFERROR(__xludf.DUMMYFUNCTION("""COMPUTED_VALUE"""),900.0)</f>
        <v>900</v>
      </c>
      <c r="G23" s="75" t="str">
        <f>IFERROR(__xludf.DUMMYFUNCTION("""COMPUTED_VALUE"""),"Yogesh Caterers")</f>
        <v>Yogesh Caterers</v>
      </c>
      <c r="H23" s="75"/>
      <c r="I23" s="62"/>
      <c r="J23" s="62">
        <f>IFERROR(__xludf.DUMMYFUNCTION("""COMPUTED_VALUE"""),900.0)</f>
        <v>900</v>
      </c>
      <c r="K23" s="75">
        <f>IFERROR(__xludf.DUMMYFUNCTION("""COMPUTED_VALUE"""),1.0)</f>
        <v>1</v>
      </c>
      <c r="L23" s="75">
        <f>IFERROR(__xludf.DUMMYFUNCTION("""COMPUTED_VALUE"""),0.0)</f>
        <v>0</v>
      </c>
      <c r="M23" s="75"/>
    </row>
    <row r="24">
      <c r="A24" s="93">
        <f>IFERROR(__xludf.DUMMYFUNCTION("""COMPUTED_VALUE"""),46204.0)</f>
        <v>46204</v>
      </c>
      <c r="B24" s="75" t="str">
        <f>IFERROR(__xludf.DUMMYFUNCTION("""COMPUTED_VALUE"""),"GD SET")</f>
        <v>GD SET</v>
      </c>
      <c r="C24" s="75" t="str">
        <f>IFERROR(__xludf.DUMMYFUNCTION("""COMPUTED_VALUE"""),"Gadi Set")</f>
        <v>Gadi Set</v>
      </c>
      <c r="D24" s="75">
        <f>IFERROR(__xludf.DUMMYFUNCTION("""COMPUTED_VALUE"""),10.0)</f>
        <v>10</v>
      </c>
      <c r="E24" s="62">
        <f>IFERROR(__xludf.DUMMYFUNCTION("""COMPUTED_VALUE"""),100.0)</f>
        <v>100</v>
      </c>
      <c r="F24" s="62">
        <f>IFERROR(__xludf.DUMMYFUNCTION("""COMPUTED_VALUE"""),1000.0)</f>
        <v>1000</v>
      </c>
      <c r="G24" s="75" t="str">
        <f>IFERROR(__xludf.DUMMYFUNCTION("""COMPUTED_VALUE"""),"CASH")</f>
        <v>CASH</v>
      </c>
      <c r="H24" s="75"/>
      <c r="I24" s="62">
        <f>IFERROR(__xludf.DUMMYFUNCTION("""COMPUTED_VALUE"""),1000.0)</f>
        <v>1000</v>
      </c>
      <c r="J24" s="62"/>
      <c r="K24" s="75">
        <f>IFERROR(__xludf.DUMMYFUNCTION("""COMPUTED_VALUE"""),10.0)</f>
        <v>10</v>
      </c>
      <c r="L24" s="75">
        <f>IFERROR(__xludf.DUMMYFUNCTION("""COMPUTED_VALUE"""),0.0)</f>
        <v>0</v>
      </c>
      <c r="M24" s="75"/>
    </row>
    <row r="25">
      <c r="A25" s="93">
        <f>IFERROR(__xludf.DUMMYFUNCTION("""COMPUTED_VALUE"""),46204.0)</f>
        <v>46204</v>
      </c>
      <c r="B25" s="75" t="str">
        <f>IFERROR(__xludf.DUMMYFUNCTION("""COMPUTED_VALUE"""),"RTBL")</f>
        <v>RTBL</v>
      </c>
      <c r="C25" s="75" t="str">
        <f>IFERROR(__xludf.DUMMYFUNCTION("""COMPUTED_VALUE"""),"Round Table ")</f>
        <v>Round Table </v>
      </c>
      <c r="D25" s="75">
        <f>IFERROR(__xludf.DUMMYFUNCTION("""COMPUTED_VALUE"""),1.0)</f>
        <v>1</v>
      </c>
      <c r="E25" s="62">
        <f>IFERROR(__xludf.DUMMYFUNCTION("""COMPUTED_VALUE"""),200.0)</f>
        <v>200</v>
      </c>
      <c r="F25" s="62">
        <f>IFERROR(__xludf.DUMMYFUNCTION("""COMPUTED_VALUE"""),200.0)</f>
        <v>200</v>
      </c>
      <c r="G25" s="75" t="str">
        <f>IFERROR(__xludf.DUMMYFUNCTION("""COMPUTED_VALUE"""),"CASH")</f>
        <v>CASH</v>
      </c>
      <c r="H25" s="75"/>
      <c r="I25" s="62">
        <f>IFERROR(__xludf.DUMMYFUNCTION("""COMPUTED_VALUE"""),200.0)</f>
        <v>200</v>
      </c>
      <c r="J25" s="62"/>
      <c r="K25" s="75">
        <f>IFERROR(__xludf.DUMMYFUNCTION("""COMPUTED_VALUE"""),1.0)</f>
        <v>1</v>
      </c>
      <c r="L25" s="75">
        <f>IFERROR(__xludf.DUMMYFUNCTION("""COMPUTED_VALUE"""),0.0)</f>
        <v>0</v>
      </c>
      <c r="M25" s="75"/>
    </row>
    <row r="26">
      <c r="A26" s="93">
        <f>IFERROR(__xludf.DUMMYFUNCTION("""COMPUTED_VALUE"""),46204.0)</f>
        <v>46204</v>
      </c>
      <c r="B26" s="75" t="str">
        <f>IFERROR(__xludf.DUMMYFUNCTION("""COMPUTED_VALUE"""),"PRD")</f>
        <v>PRD</v>
      </c>
      <c r="C26" s="75" t="str">
        <f>IFERROR(__xludf.DUMMYFUNCTION("""COMPUTED_VALUE"""),"Parda")</f>
        <v>Parda</v>
      </c>
      <c r="D26" s="75">
        <f>IFERROR(__xludf.DUMMYFUNCTION("""COMPUTED_VALUE"""),1.0)</f>
        <v>1</v>
      </c>
      <c r="E26" s="62">
        <f>IFERROR(__xludf.DUMMYFUNCTION("""COMPUTED_VALUE"""),100.0)</f>
        <v>100</v>
      </c>
      <c r="F26" s="62">
        <f>IFERROR(__xludf.DUMMYFUNCTION("""COMPUTED_VALUE"""),100.0)</f>
        <v>100</v>
      </c>
      <c r="G26" s="75" t="str">
        <f>IFERROR(__xludf.DUMMYFUNCTION("""COMPUTED_VALUE"""),"CASH")</f>
        <v>CASH</v>
      </c>
      <c r="H26" s="75"/>
      <c r="I26" s="62">
        <f>IFERROR(__xludf.DUMMYFUNCTION("""COMPUTED_VALUE"""),100.0)</f>
        <v>100</v>
      </c>
      <c r="J26" s="62"/>
      <c r="K26" s="75">
        <f>IFERROR(__xludf.DUMMYFUNCTION("""COMPUTED_VALUE"""),1.0)</f>
        <v>1</v>
      </c>
      <c r="L26" s="75">
        <f>IFERROR(__xludf.DUMMYFUNCTION("""COMPUTED_VALUE"""),0.0)</f>
        <v>0</v>
      </c>
      <c r="M26" s="75"/>
    </row>
    <row r="27">
      <c r="A27" s="93">
        <f>IFERROR(__xludf.DUMMYFUNCTION("""COMPUTED_VALUE"""),46209.0)</f>
        <v>46209</v>
      </c>
      <c r="B27" s="75" t="str">
        <f>IFERROR(__xludf.DUMMYFUNCTION("""COMPUTED_VALUE"""),"CTRNG")</f>
        <v>CTRNG</v>
      </c>
      <c r="C27" s="75" t="str">
        <f>IFERROR(__xludf.DUMMYFUNCTION("""COMPUTED_VALUE"""),"CTRNG")</f>
        <v>CTRNG</v>
      </c>
      <c r="D27" s="75">
        <f>IFERROR(__xludf.DUMMYFUNCTION("""COMPUTED_VALUE"""),1.0)</f>
        <v>1</v>
      </c>
      <c r="E27" s="62">
        <f>IFERROR(__xludf.DUMMYFUNCTION("""COMPUTED_VALUE"""),100.0)</f>
        <v>100</v>
      </c>
      <c r="F27" s="62">
        <f>IFERROR(__xludf.DUMMYFUNCTION("""COMPUTED_VALUE"""),100.0)</f>
        <v>100</v>
      </c>
      <c r="G27" s="75" t="str">
        <f>IFERROR(__xludf.DUMMYFUNCTION("""COMPUTED_VALUE"""),"CASH")</f>
        <v>CASH</v>
      </c>
      <c r="H27" s="75"/>
      <c r="I27" s="62">
        <f>IFERROR(__xludf.DUMMYFUNCTION("""COMPUTED_VALUE"""),100.0)</f>
        <v>100</v>
      </c>
      <c r="J27" s="62"/>
      <c r="K27" s="75">
        <f>IFERROR(__xludf.DUMMYFUNCTION("""COMPUTED_VALUE"""),1.0)</f>
        <v>1</v>
      </c>
      <c r="L27" s="75">
        <f>IFERROR(__xludf.DUMMYFUNCTION("""COMPUTED_VALUE"""),0.0)</f>
        <v>0</v>
      </c>
      <c r="M27" s="75"/>
    </row>
    <row r="28">
      <c r="A28" s="93">
        <f>IFERROR(__xludf.DUMMYFUNCTION("""COMPUTED_VALUE"""),46210.0)</f>
        <v>46210</v>
      </c>
      <c r="B28" s="75" t="str">
        <f>IFERROR(__xludf.DUMMYFUNCTION("""COMPUTED_VALUE"""),"THRMS")</f>
        <v>THRMS</v>
      </c>
      <c r="C28" s="75" t="str">
        <f>IFERROR(__xludf.DUMMYFUNCTION("""COMPUTED_VALUE"""),"Thermos")</f>
        <v>Thermos</v>
      </c>
      <c r="D28" s="75">
        <f>IFERROR(__xludf.DUMMYFUNCTION("""COMPUTED_VALUE"""),1.0)</f>
        <v>1</v>
      </c>
      <c r="E28" s="62">
        <f>IFERROR(__xludf.DUMMYFUNCTION("""COMPUTED_VALUE"""),50.0)</f>
        <v>50</v>
      </c>
      <c r="F28" s="62">
        <f>IFERROR(__xludf.DUMMYFUNCTION("""COMPUTED_VALUE"""),50.0)</f>
        <v>50</v>
      </c>
      <c r="G28" s="75" t="str">
        <f>IFERROR(__xludf.DUMMYFUNCTION("""COMPUTED_VALUE"""),"CASH")</f>
        <v>CASH</v>
      </c>
      <c r="H28" s="75"/>
      <c r="I28" s="62"/>
      <c r="J28" s="62">
        <f>IFERROR(__xludf.DUMMYFUNCTION("""COMPUTED_VALUE"""),50.0)</f>
        <v>50</v>
      </c>
      <c r="K28" s="75">
        <f>IFERROR(__xludf.DUMMYFUNCTION("""COMPUTED_VALUE"""),1.0)</f>
        <v>1</v>
      </c>
      <c r="L28" s="75">
        <f>IFERROR(__xludf.DUMMYFUNCTION("""COMPUTED_VALUE"""),0.0)</f>
        <v>0</v>
      </c>
      <c r="M28" s="75" t="str">
        <f>IFERROR(__xludf.DUMMYFUNCTION("""COMPUTED_VALUE"""),"Bhagwat Pawar")</f>
        <v>Bhagwat Pawar</v>
      </c>
    </row>
    <row r="29">
      <c r="A29" s="93">
        <f>IFERROR(__xludf.DUMMYFUNCTION("""COMPUTED_VALUE"""),46211.0)</f>
        <v>46211</v>
      </c>
      <c r="B29" s="75" t="str">
        <f>IFERROR(__xludf.DUMMYFUNCTION("""COMPUTED_VALUE"""),"CH")</f>
        <v>CH</v>
      </c>
      <c r="C29" s="75" t="str">
        <f>IFERROR(__xludf.DUMMYFUNCTION("""COMPUTED_VALUE"""),"Chair ")</f>
        <v>Chair </v>
      </c>
      <c r="D29" s="75">
        <f>IFERROR(__xludf.DUMMYFUNCTION("""COMPUTED_VALUE"""),37.0)</f>
        <v>37</v>
      </c>
      <c r="E29" s="62">
        <f>IFERROR(__xludf.DUMMYFUNCTION("""COMPUTED_VALUE"""),10.0)</f>
        <v>10</v>
      </c>
      <c r="F29" s="62">
        <f>IFERROR(__xludf.DUMMYFUNCTION("""COMPUTED_VALUE"""),370.0)</f>
        <v>370</v>
      </c>
      <c r="G29" s="75" t="str">
        <f>IFERROR(__xludf.DUMMYFUNCTION("""COMPUTED_VALUE"""),"CASH")</f>
        <v>CASH</v>
      </c>
      <c r="H29" s="75"/>
      <c r="I29" s="62">
        <f>IFERROR(__xludf.DUMMYFUNCTION("""COMPUTED_VALUE"""),370.0)</f>
        <v>370</v>
      </c>
      <c r="J29" s="62"/>
      <c r="K29" s="75">
        <f>IFERROR(__xludf.DUMMYFUNCTION("""COMPUTED_VALUE"""),37.0)</f>
        <v>37</v>
      </c>
      <c r="L29" s="75">
        <f>IFERROR(__xludf.DUMMYFUNCTION("""COMPUTED_VALUE"""),0.0)</f>
        <v>0</v>
      </c>
      <c r="M29" s="75"/>
    </row>
    <row r="30">
      <c r="A30" s="93">
        <f>IFERROR(__xludf.DUMMYFUNCTION("""COMPUTED_VALUE"""),46211.0)</f>
        <v>46211</v>
      </c>
      <c r="B30" s="75" t="str">
        <f>IFERROR(__xludf.DUMMYFUNCTION("""COMPUTED_VALUE"""),"TBL")</f>
        <v>TBL</v>
      </c>
      <c r="C30" s="75" t="str">
        <f>IFERROR(__xludf.DUMMYFUNCTION("""COMPUTED_VALUE"""),"Table")</f>
        <v>Table</v>
      </c>
      <c r="D30" s="75">
        <f>IFERROR(__xludf.DUMMYFUNCTION("""COMPUTED_VALUE"""),9.0)</f>
        <v>9</v>
      </c>
      <c r="E30" s="62">
        <f>IFERROR(__xludf.DUMMYFUNCTION("""COMPUTED_VALUE"""),20.0)</f>
        <v>20</v>
      </c>
      <c r="F30" s="62">
        <f>IFERROR(__xludf.DUMMYFUNCTION("""COMPUTED_VALUE"""),180.0)</f>
        <v>180</v>
      </c>
      <c r="G30" s="75" t="str">
        <f>IFERROR(__xludf.DUMMYFUNCTION("""COMPUTED_VALUE"""),"CASH")</f>
        <v>CASH</v>
      </c>
      <c r="H30" s="75"/>
      <c r="I30" s="62">
        <f>IFERROR(__xludf.DUMMYFUNCTION("""COMPUTED_VALUE"""),180.0)</f>
        <v>180</v>
      </c>
      <c r="J30" s="62"/>
      <c r="K30" s="75">
        <f>IFERROR(__xludf.DUMMYFUNCTION("""COMPUTED_VALUE"""),9.0)</f>
        <v>9</v>
      </c>
      <c r="L30" s="75">
        <f>IFERROR(__xludf.DUMMYFUNCTION("""COMPUTED_VALUE"""),0.0)</f>
        <v>0</v>
      </c>
      <c r="M30" s="75"/>
    </row>
    <row r="31">
      <c r="A31" s="93">
        <f>IFERROR(__xludf.DUMMYFUNCTION("""COMPUTED_VALUE"""),46211.0)</f>
        <v>46211</v>
      </c>
      <c r="B31" s="75" t="str">
        <f>IFERROR(__xludf.DUMMYFUNCTION("""COMPUTED_VALUE"""),"FRL")</f>
        <v>FRL</v>
      </c>
      <c r="C31" s="75" t="str">
        <f>IFERROR(__xludf.DUMMYFUNCTION("""COMPUTED_VALUE"""),"Freel")</f>
        <v>Freel</v>
      </c>
      <c r="D31" s="75">
        <f>IFERROR(__xludf.DUMMYFUNCTION("""COMPUTED_VALUE"""),5.0)</f>
        <v>5</v>
      </c>
      <c r="E31" s="62">
        <f>IFERROR(__xludf.DUMMYFUNCTION("""COMPUTED_VALUE"""),30.0)</f>
        <v>30</v>
      </c>
      <c r="F31" s="62">
        <f>IFERROR(__xludf.DUMMYFUNCTION("""COMPUTED_VALUE"""),150.0)</f>
        <v>150</v>
      </c>
      <c r="G31" s="75" t="str">
        <f>IFERROR(__xludf.DUMMYFUNCTION("""COMPUTED_VALUE"""),"CASH")</f>
        <v>CASH</v>
      </c>
      <c r="H31" s="75"/>
      <c r="I31" s="62">
        <f>IFERROR(__xludf.DUMMYFUNCTION("""COMPUTED_VALUE"""),150.0)</f>
        <v>150</v>
      </c>
      <c r="J31" s="62"/>
      <c r="K31" s="75">
        <f>IFERROR(__xludf.DUMMYFUNCTION("""COMPUTED_VALUE"""),5.0)</f>
        <v>5</v>
      </c>
      <c r="L31" s="75">
        <f>IFERROR(__xludf.DUMMYFUNCTION("""COMPUTED_VALUE"""),0.0)</f>
        <v>0</v>
      </c>
      <c r="M31" s="75"/>
    </row>
    <row r="32">
      <c r="A32" s="93">
        <f>IFERROR(__xludf.DUMMYFUNCTION("""COMPUTED_VALUE"""),46212.0)</f>
        <v>46212</v>
      </c>
      <c r="B32" s="75" t="str">
        <f>IFERROR(__xludf.DUMMYFUNCTION("""COMPUTED_VALUE"""),"CTRNG")</f>
        <v>CTRNG</v>
      </c>
      <c r="C32" s="75" t="str">
        <f>IFERROR(__xludf.DUMMYFUNCTION("""COMPUTED_VALUE"""),"CTRNG")</f>
        <v>CTRNG</v>
      </c>
      <c r="D32" s="75">
        <f>IFERROR(__xludf.DUMMYFUNCTION("""COMPUTED_VALUE"""),1.0)</f>
        <v>1</v>
      </c>
      <c r="E32" s="62">
        <f>IFERROR(__xludf.DUMMYFUNCTION("""COMPUTED_VALUE"""),275.0)</f>
        <v>275</v>
      </c>
      <c r="F32" s="62">
        <f>IFERROR(__xludf.DUMMYFUNCTION("""COMPUTED_VALUE"""),275.0)</f>
        <v>275</v>
      </c>
      <c r="G32" s="75" t="str">
        <f>IFERROR(__xludf.DUMMYFUNCTION("""COMPUTED_VALUE"""),"CASH")</f>
        <v>CASH</v>
      </c>
      <c r="H32" s="75"/>
      <c r="I32" s="62">
        <f>IFERROR(__xludf.DUMMYFUNCTION("""COMPUTED_VALUE"""),275.0)</f>
        <v>275</v>
      </c>
      <c r="J32" s="62"/>
      <c r="K32" s="75">
        <f>IFERROR(__xludf.DUMMYFUNCTION("""COMPUTED_VALUE"""),1.0)</f>
        <v>1</v>
      </c>
      <c r="L32" s="75">
        <f>IFERROR(__xludf.DUMMYFUNCTION("""COMPUTED_VALUE"""),0.0)</f>
        <v>0</v>
      </c>
      <c r="M32" s="75"/>
    </row>
    <row r="33">
      <c r="A33" s="93">
        <f>IFERROR(__xludf.DUMMYFUNCTION("""COMPUTED_VALUE"""),46212.0)</f>
        <v>46212</v>
      </c>
      <c r="B33" s="75" t="str">
        <f>IFERROR(__xludf.DUMMYFUNCTION("""COMPUTED_VALUE"""),"CH")</f>
        <v>CH</v>
      </c>
      <c r="C33" s="75" t="str">
        <f>IFERROR(__xludf.DUMMYFUNCTION("""COMPUTED_VALUE"""),"Chair ")</f>
        <v>Chair </v>
      </c>
      <c r="D33" s="75">
        <f>IFERROR(__xludf.DUMMYFUNCTION("""COMPUTED_VALUE"""),4.0)</f>
        <v>4</v>
      </c>
      <c r="E33" s="62">
        <f>IFERROR(__xludf.DUMMYFUNCTION("""COMPUTED_VALUE"""),10.0)</f>
        <v>10</v>
      </c>
      <c r="F33" s="62">
        <f>IFERROR(__xludf.DUMMYFUNCTION("""COMPUTED_VALUE"""),40.0)</f>
        <v>40</v>
      </c>
      <c r="G33" s="75" t="str">
        <f>IFERROR(__xludf.DUMMYFUNCTION("""COMPUTED_VALUE"""),"CASH")</f>
        <v>CASH</v>
      </c>
      <c r="H33" s="75"/>
      <c r="I33" s="62">
        <f>IFERROR(__xludf.DUMMYFUNCTION("""COMPUTED_VALUE"""),40.0)</f>
        <v>40</v>
      </c>
      <c r="J33" s="62"/>
      <c r="K33" s="75">
        <f>IFERROR(__xludf.DUMMYFUNCTION("""COMPUTED_VALUE"""),4.0)</f>
        <v>4</v>
      </c>
      <c r="L33" s="75">
        <f>IFERROR(__xludf.DUMMYFUNCTION("""COMPUTED_VALUE"""),0.0)</f>
        <v>0</v>
      </c>
      <c r="M33" s="75"/>
    </row>
    <row r="34">
      <c r="A34" s="93">
        <f>IFERROR(__xludf.DUMMYFUNCTION("""COMPUTED_VALUE"""),46212.0)</f>
        <v>46212</v>
      </c>
      <c r="B34" s="75" t="str">
        <f>IFERROR(__xludf.DUMMYFUNCTION("""COMPUTED_VALUE"""),"ASN")</f>
        <v>ASN</v>
      </c>
      <c r="C34" s="75" t="str">
        <f>IFERROR(__xludf.DUMMYFUNCTION("""COMPUTED_VALUE"""),"Asanpatti")</f>
        <v>Asanpatti</v>
      </c>
      <c r="D34" s="75">
        <f>IFERROR(__xludf.DUMMYFUNCTION("""COMPUTED_VALUE"""),8.0)</f>
        <v>8</v>
      </c>
      <c r="E34" s="62">
        <f>IFERROR(__xludf.DUMMYFUNCTION("""COMPUTED_VALUE"""),10.0)</f>
        <v>10</v>
      </c>
      <c r="F34" s="62">
        <f>IFERROR(__xludf.DUMMYFUNCTION("""COMPUTED_VALUE"""),80.0)</f>
        <v>80</v>
      </c>
      <c r="G34" s="75" t="str">
        <f>IFERROR(__xludf.DUMMYFUNCTION("""COMPUTED_VALUE"""),"CASH")</f>
        <v>CASH</v>
      </c>
      <c r="H34" s="75"/>
      <c r="I34" s="62">
        <f>IFERROR(__xludf.DUMMYFUNCTION("""COMPUTED_VALUE"""),80.0)</f>
        <v>80</v>
      </c>
      <c r="J34" s="62"/>
      <c r="K34" s="75">
        <f>IFERROR(__xludf.DUMMYFUNCTION("""COMPUTED_VALUE"""),8.0)</f>
        <v>8</v>
      </c>
      <c r="L34" s="75">
        <f>IFERROR(__xludf.DUMMYFUNCTION("""COMPUTED_VALUE"""),0.0)</f>
        <v>0</v>
      </c>
      <c r="M34" s="75"/>
    </row>
    <row r="35">
      <c r="A35" s="93">
        <f>IFERROR(__xludf.DUMMYFUNCTION("""COMPUTED_VALUE"""),46213.0)</f>
        <v>46213</v>
      </c>
      <c r="B35" s="75" t="str">
        <f>IFERROR(__xludf.DUMMYFUNCTION("""COMPUTED_VALUE"""),"AB")</f>
        <v>AB</v>
      </c>
      <c r="C35" s="75" t="str">
        <f>IFERROR(__xludf.DUMMYFUNCTION("""COMPUTED_VALUE"""),"Ahuja Speaker")</f>
        <v>Ahuja Speaker</v>
      </c>
      <c r="D35" s="75">
        <f>IFERROR(__xludf.DUMMYFUNCTION("""COMPUTED_VALUE"""),1.0)</f>
        <v>1</v>
      </c>
      <c r="E35" s="62">
        <f>IFERROR(__xludf.DUMMYFUNCTION("""COMPUTED_VALUE"""),500.0)</f>
        <v>500</v>
      </c>
      <c r="F35" s="62">
        <f>IFERROR(__xludf.DUMMYFUNCTION("""COMPUTED_VALUE"""),500.0)</f>
        <v>500</v>
      </c>
      <c r="G35" s="75" t="str">
        <f>IFERROR(__xludf.DUMMYFUNCTION("""COMPUTED_VALUE"""),"CASH")</f>
        <v>CASH</v>
      </c>
      <c r="H35" s="75"/>
      <c r="I35" s="62"/>
      <c r="J35" s="62">
        <f>IFERROR(__xludf.DUMMYFUNCTION("""COMPUTED_VALUE"""),500.0)</f>
        <v>500</v>
      </c>
      <c r="K35" s="75">
        <f>IFERROR(__xludf.DUMMYFUNCTION("""COMPUTED_VALUE"""),1.0)</f>
        <v>1</v>
      </c>
      <c r="L35" s="75">
        <f>IFERROR(__xludf.DUMMYFUNCTION("""COMPUTED_VALUE"""),0.0)</f>
        <v>0</v>
      </c>
      <c r="M35" s="75"/>
    </row>
    <row r="36">
      <c r="A36" s="93">
        <f>IFERROR(__xludf.DUMMYFUNCTION("""COMPUTED_VALUE"""),46209.0)</f>
        <v>46209</v>
      </c>
      <c r="B36" s="75" t="str">
        <f>IFERROR(__xludf.DUMMYFUNCTION("""COMPUTED_VALUE"""),"CTRNG")</f>
        <v>CTRNG</v>
      </c>
      <c r="C36" s="75" t="str">
        <f>IFERROR(__xludf.DUMMYFUNCTION("""COMPUTED_VALUE"""),"CTRNG")</f>
        <v>CTRNG</v>
      </c>
      <c r="D36" s="75">
        <f>IFERROR(__xludf.DUMMYFUNCTION("""COMPUTED_VALUE"""),1.0)</f>
        <v>1</v>
      </c>
      <c r="E36" s="62">
        <f>IFERROR(__xludf.DUMMYFUNCTION("""COMPUTED_VALUE"""),50.0)</f>
        <v>50</v>
      </c>
      <c r="F36" s="62">
        <f>IFERROR(__xludf.DUMMYFUNCTION("""COMPUTED_VALUE"""),50.0)</f>
        <v>50</v>
      </c>
      <c r="G36" s="75" t="str">
        <f>IFERROR(__xludf.DUMMYFUNCTION("""COMPUTED_VALUE"""),"Nagve Patil Caterers")</f>
        <v>Nagve Patil Caterers</v>
      </c>
      <c r="H36" s="75"/>
      <c r="I36" s="62">
        <f>IFERROR(__xludf.DUMMYFUNCTION("""COMPUTED_VALUE"""),50.0)</f>
        <v>50</v>
      </c>
      <c r="J36" s="62"/>
      <c r="K36" s="75">
        <f>IFERROR(__xludf.DUMMYFUNCTION("""COMPUTED_VALUE"""),1.0)</f>
        <v>1</v>
      </c>
      <c r="L36" s="75">
        <f>IFERROR(__xludf.DUMMYFUNCTION("""COMPUTED_VALUE"""),0.0)</f>
        <v>0</v>
      </c>
      <c r="M36" s="75"/>
    </row>
    <row r="37">
      <c r="A37" s="93">
        <f>IFERROR(__xludf.DUMMYFUNCTION("""COMPUTED_VALUE"""),46210.0)</f>
        <v>46210</v>
      </c>
      <c r="B37" s="75" t="str">
        <f>IFERROR(__xludf.DUMMYFUNCTION("""COMPUTED_VALUE"""),"SF")</f>
        <v>SF</v>
      </c>
      <c r="C37" s="75" t="str">
        <f>IFERROR(__xludf.DUMMYFUNCTION("""COMPUTED_VALUE"""),"Sofa ")</f>
        <v>Sofa </v>
      </c>
      <c r="D37" s="75">
        <f>IFERROR(__xludf.DUMMYFUNCTION("""COMPUTED_VALUE"""),1.0)</f>
        <v>1</v>
      </c>
      <c r="E37" s="62">
        <f>IFERROR(__xludf.DUMMYFUNCTION("""COMPUTED_VALUE"""),150.0)</f>
        <v>150</v>
      </c>
      <c r="F37" s="62">
        <f>IFERROR(__xludf.DUMMYFUNCTION("""COMPUTED_VALUE"""),150.0)</f>
        <v>150</v>
      </c>
      <c r="G37" s="75" t="str">
        <f>IFERROR(__xludf.DUMMYFUNCTION("""COMPUTED_VALUE"""),"Dip Mandap")</f>
        <v>Dip Mandap</v>
      </c>
      <c r="H37" s="75"/>
      <c r="I37" s="62">
        <f>IFERROR(__xludf.DUMMYFUNCTION("""COMPUTED_VALUE"""),150.0)</f>
        <v>150</v>
      </c>
      <c r="J37" s="62"/>
      <c r="K37" s="75">
        <f>IFERROR(__xludf.DUMMYFUNCTION("""COMPUTED_VALUE"""),1.0)</f>
        <v>1</v>
      </c>
      <c r="L37" s="75">
        <f>IFERROR(__xludf.DUMMYFUNCTION("""COMPUTED_VALUE"""),0.0)</f>
        <v>0</v>
      </c>
      <c r="M37" s="75"/>
    </row>
    <row r="38">
      <c r="A38" s="93">
        <f>IFERROR(__xludf.DUMMYFUNCTION("""COMPUTED_VALUE"""),46210.0)</f>
        <v>46210</v>
      </c>
      <c r="B38" s="75" t="str">
        <f>IFERROR(__xludf.DUMMYFUNCTION("""COMPUTED_VALUE"""),"THRMS")</f>
        <v>THRMS</v>
      </c>
      <c r="C38" s="75" t="str">
        <f>IFERROR(__xludf.DUMMYFUNCTION("""COMPUTED_VALUE"""),"Thermos")</f>
        <v>Thermos</v>
      </c>
      <c r="D38" s="75">
        <f>IFERROR(__xludf.DUMMYFUNCTION("""COMPUTED_VALUE"""),1.0)</f>
        <v>1</v>
      </c>
      <c r="E38" s="62">
        <f>IFERROR(__xludf.DUMMYFUNCTION("""COMPUTED_VALUE"""),50.0)</f>
        <v>50</v>
      </c>
      <c r="F38" s="62">
        <f>IFERROR(__xludf.DUMMYFUNCTION("""COMPUTED_VALUE"""),50.0)</f>
        <v>50</v>
      </c>
      <c r="G38" s="75" t="str">
        <f>IFERROR(__xludf.DUMMYFUNCTION("""COMPUTED_VALUE"""),"Dip Mandap")</f>
        <v>Dip Mandap</v>
      </c>
      <c r="H38" s="75"/>
      <c r="I38" s="62">
        <f>IFERROR(__xludf.DUMMYFUNCTION("""COMPUTED_VALUE"""),50.0)</f>
        <v>50</v>
      </c>
      <c r="J38" s="62"/>
      <c r="K38" s="75">
        <f>IFERROR(__xludf.DUMMYFUNCTION("""COMPUTED_VALUE"""),1.0)</f>
        <v>1</v>
      </c>
      <c r="L38" s="75">
        <f>IFERROR(__xludf.DUMMYFUNCTION("""COMPUTED_VALUE"""),0.0)</f>
        <v>0</v>
      </c>
      <c r="M38" s="75"/>
    </row>
    <row r="39">
      <c r="A39" s="93">
        <f>IFERROR(__xludf.DUMMYFUNCTION("""COMPUTED_VALUE"""),46210.0)</f>
        <v>46210</v>
      </c>
      <c r="B39" s="75" t="str">
        <f>IFERROR(__xludf.DUMMYFUNCTION("""COMPUTED_VALUE"""),"TBL")</f>
        <v>TBL</v>
      </c>
      <c r="C39" s="75" t="str">
        <f>IFERROR(__xludf.DUMMYFUNCTION("""COMPUTED_VALUE"""),"Table")</f>
        <v>Table</v>
      </c>
      <c r="D39" s="75">
        <f>IFERROR(__xludf.DUMMYFUNCTION("""COMPUTED_VALUE"""),1.0)</f>
        <v>1</v>
      </c>
      <c r="E39" s="62">
        <f>IFERROR(__xludf.DUMMYFUNCTION("""COMPUTED_VALUE"""),20.0)</f>
        <v>20</v>
      </c>
      <c r="F39" s="62">
        <f>IFERROR(__xludf.DUMMYFUNCTION("""COMPUTED_VALUE"""),20.0)</f>
        <v>20</v>
      </c>
      <c r="G39" s="75" t="str">
        <f>IFERROR(__xludf.DUMMYFUNCTION("""COMPUTED_VALUE"""),"Mahalakshmi Mandap")</f>
        <v>Mahalakshmi Mandap</v>
      </c>
      <c r="H39" s="75"/>
      <c r="I39" s="62">
        <f>IFERROR(__xludf.DUMMYFUNCTION("""COMPUTED_VALUE"""),20.0)</f>
        <v>20</v>
      </c>
      <c r="J39" s="62"/>
      <c r="K39" s="75">
        <f>IFERROR(__xludf.DUMMYFUNCTION("""COMPUTED_VALUE"""),1.0)</f>
        <v>1</v>
      </c>
      <c r="L39" s="75">
        <f>IFERROR(__xludf.DUMMYFUNCTION("""COMPUTED_VALUE"""),0.0)</f>
        <v>0</v>
      </c>
      <c r="M39" s="75"/>
    </row>
    <row r="40">
      <c r="A40" s="93">
        <f>IFERROR(__xludf.DUMMYFUNCTION("""COMPUTED_VALUE"""),46211.0)</f>
        <v>46211</v>
      </c>
      <c r="B40" s="75" t="str">
        <f>IFERROR(__xludf.DUMMYFUNCTION("""COMPUTED_VALUE"""),"CTRNG")</f>
        <v>CTRNG</v>
      </c>
      <c r="C40" s="75" t="str">
        <f>IFERROR(__xludf.DUMMYFUNCTION("""COMPUTED_VALUE"""),"CTRNG")</f>
        <v>CTRNG</v>
      </c>
      <c r="D40" s="75">
        <f>IFERROR(__xludf.DUMMYFUNCTION("""COMPUTED_VALUE"""),1.0)</f>
        <v>1</v>
      </c>
      <c r="E40" s="62">
        <f>IFERROR(__xludf.DUMMYFUNCTION("""COMPUTED_VALUE"""),600.0)</f>
        <v>600</v>
      </c>
      <c r="F40" s="62">
        <f>IFERROR(__xludf.DUMMYFUNCTION("""COMPUTED_VALUE"""),600.0)</f>
        <v>600</v>
      </c>
      <c r="G40" s="75" t="str">
        <f>IFERROR(__xludf.DUMMYFUNCTION("""COMPUTED_VALUE"""),"Pruthviraj Mandap")</f>
        <v>Pruthviraj Mandap</v>
      </c>
      <c r="H40" s="75"/>
      <c r="I40" s="62">
        <f>IFERROR(__xludf.DUMMYFUNCTION("""COMPUTED_VALUE"""),600.0)</f>
        <v>600</v>
      </c>
      <c r="J40" s="62"/>
      <c r="K40" s="75">
        <f>IFERROR(__xludf.DUMMYFUNCTION("""COMPUTED_VALUE"""),1.0)</f>
        <v>1</v>
      </c>
      <c r="L40" s="75">
        <f>IFERROR(__xludf.DUMMYFUNCTION("""COMPUTED_VALUE"""),0.0)</f>
        <v>0</v>
      </c>
      <c r="M40" s="75"/>
    </row>
    <row r="41">
      <c r="A41" s="93">
        <f>IFERROR(__xludf.DUMMYFUNCTION("""COMPUTED_VALUE"""),46210.0)</f>
        <v>46210</v>
      </c>
      <c r="B41" s="75"/>
      <c r="C41" s="75"/>
      <c r="D41" s="75"/>
      <c r="E41" s="62">
        <f>IFERROR(__xludf.DUMMYFUNCTION("""COMPUTED_VALUE"""),0.0)</f>
        <v>0</v>
      </c>
      <c r="F41" s="62">
        <f>IFERROR(__xludf.DUMMYFUNCTION("""COMPUTED_VALUE"""),0.0)</f>
        <v>0</v>
      </c>
      <c r="G41" s="75"/>
      <c r="H41" s="75"/>
      <c r="I41" s="62"/>
      <c r="J41" s="62"/>
      <c r="K41" s="75"/>
      <c r="L41" s="75">
        <f>IFERROR(__xludf.DUMMYFUNCTION("""COMPUTED_VALUE"""),0.0)</f>
        <v>0</v>
      </c>
      <c r="M41" s="75"/>
    </row>
    <row r="42">
      <c r="A42" s="93">
        <f>IFERROR(__xludf.DUMMYFUNCTION("""COMPUTED_VALUE"""),46210.0)</f>
        <v>46210</v>
      </c>
      <c r="B42" s="75"/>
      <c r="C42" s="75"/>
      <c r="D42" s="75"/>
      <c r="E42" s="62">
        <f>IFERROR(__xludf.DUMMYFUNCTION("""COMPUTED_VALUE"""),0.0)</f>
        <v>0</v>
      </c>
      <c r="F42" s="62">
        <f>IFERROR(__xludf.DUMMYFUNCTION("""COMPUTED_VALUE"""),0.0)</f>
        <v>0</v>
      </c>
      <c r="G42" s="75"/>
      <c r="H42" s="75"/>
      <c r="I42" s="62"/>
      <c r="J42" s="62"/>
      <c r="K42" s="75"/>
      <c r="L42" s="75">
        <f>IFERROR(__xludf.DUMMYFUNCTION("""COMPUTED_VALUE"""),0.0)</f>
        <v>0</v>
      </c>
      <c r="M42" s="75"/>
    </row>
    <row r="43">
      <c r="A43" s="93">
        <f>IFERROR(__xludf.DUMMYFUNCTION("""COMPUTED_VALUE"""),46210.0)</f>
        <v>46210</v>
      </c>
      <c r="B43" s="75"/>
      <c r="C43" s="75"/>
      <c r="D43" s="75"/>
      <c r="E43" s="62">
        <f>IFERROR(__xludf.DUMMYFUNCTION("""COMPUTED_VALUE"""),0.0)</f>
        <v>0</v>
      </c>
      <c r="F43" s="62">
        <f>IFERROR(__xludf.DUMMYFUNCTION("""COMPUTED_VALUE"""),0.0)</f>
        <v>0</v>
      </c>
      <c r="G43" s="75"/>
      <c r="H43" s="75"/>
      <c r="I43" s="62"/>
      <c r="J43" s="62"/>
      <c r="K43" s="75"/>
      <c r="L43" s="75">
        <f>IFERROR(__xludf.DUMMYFUNCTION("""COMPUTED_VALUE"""),0.0)</f>
        <v>0</v>
      </c>
      <c r="M43" s="75"/>
    </row>
    <row r="44">
      <c r="A44" s="75"/>
      <c r="B44" s="75"/>
      <c r="C44" s="75"/>
      <c r="D44" s="75"/>
      <c r="E44" s="62"/>
      <c r="F44" s="62"/>
      <c r="G44" s="75"/>
      <c r="H44" s="75"/>
      <c r="I44" s="62"/>
      <c r="J44" s="62"/>
      <c r="K44" s="75"/>
      <c r="L44" s="75"/>
      <c r="M44" s="75"/>
    </row>
    <row r="45">
      <c r="A45" s="75"/>
      <c r="B45" s="75"/>
      <c r="C45" s="75"/>
      <c r="D45" s="75"/>
      <c r="E45" s="62"/>
      <c r="F45" s="62"/>
      <c r="G45" s="75"/>
      <c r="H45" s="75"/>
      <c r="I45" s="62"/>
      <c r="J45" s="62"/>
      <c r="K45" s="75"/>
      <c r="L45" s="75"/>
      <c r="M45" s="75"/>
    </row>
    <row r="46">
      <c r="A46" s="75"/>
      <c r="B46" s="75"/>
      <c r="C46" s="75"/>
      <c r="D46" s="75"/>
      <c r="E46" s="62"/>
      <c r="F46" s="62"/>
      <c r="G46" s="75"/>
      <c r="H46" s="75"/>
      <c r="I46" s="62"/>
      <c r="J46" s="62"/>
      <c r="K46" s="75"/>
      <c r="L46" s="75"/>
      <c r="M46" s="75"/>
    </row>
    <row r="47">
      <c r="A47" s="75"/>
      <c r="B47" s="75"/>
      <c r="C47" s="75"/>
      <c r="D47" s="75"/>
      <c r="E47" s="62"/>
      <c r="F47" s="62"/>
      <c r="G47" s="75"/>
      <c r="H47" s="75"/>
      <c r="I47" s="62"/>
      <c r="J47" s="62"/>
      <c r="K47" s="75"/>
      <c r="L47" s="75"/>
      <c r="M47" s="75"/>
    </row>
    <row r="48">
      <c r="A48" s="75"/>
      <c r="B48" s="75"/>
      <c r="C48" s="75"/>
      <c r="D48" s="75"/>
      <c r="E48" s="62"/>
      <c r="F48" s="62"/>
      <c r="G48" s="75"/>
      <c r="H48" s="75"/>
      <c r="I48" s="62"/>
      <c r="J48" s="62"/>
      <c r="K48" s="75"/>
      <c r="L48" s="75"/>
      <c r="M48" s="75"/>
    </row>
    <row r="49">
      <c r="A49" s="75"/>
      <c r="B49" s="75"/>
      <c r="C49" s="75"/>
      <c r="D49" s="75"/>
      <c r="E49" s="62"/>
      <c r="F49" s="62"/>
      <c r="G49" s="75"/>
      <c r="H49" s="75"/>
      <c r="I49" s="62"/>
      <c r="J49" s="62"/>
      <c r="K49" s="75"/>
      <c r="L49" s="75"/>
      <c r="M49" s="75"/>
    </row>
    <row r="50">
      <c r="A50" s="75"/>
      <c r="B50" s="75"/>
      <c r="C50" s="75"/>
      <c r="D50" s="75"/>
      <c r="E50" s="62"/>
      <c r="F50" s="62"/>
      <c r="G50" s="75"/>
      <c r="H50" s="75"/>
      <c r="I50" s="62"/>
      <c r="J50" s="62"/>
      <c r="K50" s="75"/>
      <c r="L50" s="75"/>
      <c r="M50" s="75"/>
    </row>
    <row r="51">
      <c r="A51" s="75"/>
      <c r="B51" s="75"/>
      <c r="C51" s="75"/>
      <c r="D51" s="75"/>
      <c r="E51" s="62"/>
      <c r="F51" s="62"/>
      <c r="G51" s="75"/>
      <c r="H51" s="75"/>
      <c r="I51" s="62"/>
      <c r="J51" s="62"/>
      <c r="K51" s="75"/>
      <c r="L51" s="75"/>
      <c r="M51" s="75"/>
    </row>
    <row r="52">
      <c r="A52" s="75"/>
      <c r="B52" s="75"/>
      <c r="C52" s="75"/>
      <c r="D52" s="75"/>
      <c r="E52" s="62"/>
      <c r="F52" s="62"/>
      <c r="G52" s="75"/>
      <c r="H52" s="75"/>
      <c r="I52" s="62"/>
      <c r="J52" s="62"/>
      <c r="K52" s="75"/>
      <c r="L52" s="75"/>
      <c r="M52" s="75"/>
    </row>
    <row r="53">
      <c r="A53" s="75"/>
      <c r="B53" s="75"/>
      <c r="C53" s="75"/>
      <c r="D53" s="75"/>
      <c r="E53" s="62"/>
      <c r="F53" s="62"/>
      <c r="G53" s="75"/>
      <c r="H53" s="75"/>
      <c r="I53" s="62"/>
      <c r="J53" s="62"/>
      <c r="K53" s="75"/>
      <c r="L53" s="75"/>
      <c r="M53" s="75"/>
    </row>
    <row r="54">
      <c r="A54" s="75"/>
      <c r="B54" s="75"/>
      <c r="C54" s="75"/>
      <c r="D54" s="75"/>
      <c r="E54" s="62"/>
      <c r="F54" s="62"/>
      <c r="G54" s="75"/>
      <c r="H54" s="75"/>
      <c r="I54" s="62"/>
      <c r="J54" s="62"/>
      <c r="K54" s="75"/>
      <c r="L54" s="75"/>
      <c r="M54" s="75"/>
    </row>
    <row r="55">
      <c r="A55" s="75"/>
      <c r="B55" s="75"/>
      <c r="C55" s="75"/>
      <c r="D55" s="75"/>
      <c r="E55" s="62"/>
      <c r="F55" s="62"/>
      <c r="G55" s="75"/>
      <c r="H55" s="75"/>
      <c r="I55" s="62"/>
      <c r="J55" s="62"/>
      <c r="K55" s="75"/>
      <c r="L55" s="75"/>
      <c r="M55" s="75"/>
    </row>
    <row r="56">
      <c r="A56" s="75"/>
      <c r="B56" s="75"/>
      <c r="C56" s="75"/>
      <c r="D56" s="75"/>
      <c r="E56" s="62"/>
      <c r="F56" s="62"/>
      <c r="G56" s="75"/>
      <c r="H56" s="75"/>
      <c r="I56" s="62"/>
      <c r="J56" s="62"/>
      <c r="K56" s="75"/>
      <c r="L56" s="75"/>
      <c r="M56" s="75"/>
    </row>
    <row r="57">
      <c r="A57" s="75"/>
      <c r="B57" s="75"/>
      <c r="C57" s="75"/>
      <c r="D57" s="75"/>
      <c r="E57" s="62"/>
      <c r="F57" s="62"/>
      <c r="G57" s="75"/>
      <c r="H57" s="75"/>
      <c r="I57" s="62"/>
      <c r="J57" s="62"/>
      <c r="K57" s="75"/>
      <c r="L57" s="75"/>
      <c r="M57" s="75"/>
    </row>
    <row r="58">
      <c r="A58" s="75"/>
      <c r="B58" s="75"/>
      <c r="C58" s="75"/>
      <c r="D58" s="75"/>
      <c r="E58" s="62"/>
      <c r="F58" s="62"/>
      <c r="G58" s="75"/>
      <c r="H58" s="75"/>
      <c r="I58" s="62"/>
      <c r="J58" s="62"/>
      <c r="K58" s="75"/>
      <c r="L58" s="75"/>
      <c r="M58" s="75"/>
    </row>
    <row r="59">
      <c r="A59" s="75"/>
      <c r="B59" s="75"/>
      <c r="C59" s="75"/>
      <c r="D59" s="75"/>
      <c r="E59" s="62"/>
      <c r="F59" s="62"/>
      <c r="G59" s="75"/>
      <c r="H59" s="75"/>
      <c r="I59" s="62"/>
      <c r="J59" s="62"/>
      <c r="K59" s="75"/>
      <c r="L59" s="75"/>
      <c r="M59" s="75"/>
    </row>
    <row r="60">
      <c r="A60" s="75"/>
      <c r="B60" s="75"/>
      <c r="C60" s="75"/>
      <c r="D60" s="75"/>
      <c r="E60" s="62"/>
      <c r="F60" s="62"/>
      <c r="G60" s="75"/>
      <c r="H60" s="75"/>
      <c r="I60" s="62"/>
      <c r="J60" s="62"/>
      <c r="K60" s="75"/>
      <c r="L60" s="75"/>
      <c r="M60" s="75"/>
    </row>
    <row r="61">
      <c r="A61" s="75"/>
      <c r="B61" s="75"/>
      <c r="C61" s="75"/>
      <c r="D61" s="75"/>
      <c r="E61" s="62"/>
      <c r="F61" s="62"/>
      <c r="G61" s="75"/>
      <c r="H61" s="75"/>
      <c r="I61" s="62"/>
      <c r="J61" s="62"/>
      <c r="K61" s="75"/>
      <c r="L61" s="75"/>
      <c r="M61" s="75"/>
    </row>
    <row r="62">
      <c r="A62" s="75"/>
      <c r="B62" s="75"/>
      <c r="C62" s="75"/>
      <c r="D62" s="75"/>
      <c r="E62" s="62"/>
      <c r="F62" s="62"/>
      <c r="G62" s="75"/>
      <c r="H62" s="75"/>
      <c r="I62" s="62"/>
      <c r="J62" s="62"/>
      <c r="K62" s="75"/>
      <c r="L62" s="75"/>
      <c r="M62" s="75"/>
    </row>
    <row r="63">
      <c r="A63" s="75"/>
      <c r="B63" s="75"/>
      <c r="C63" s="75"/>
      <c r="D63" s="75"/>
      <c r="E63" s="62"/>
      <c r="F63" s="62"/>
      <c r="G63" s="75"/>
      <c r="H63" s="75"/>
      <c r="I63" s="62"/>
      <c r="J63" s="62"/>
      <c r="K63" s="75"/>
      <c r="L63" s="75"/>
      <c r="M63" s="75"/>
    </row>
    <row r="64">
      <c r="A64" s="75"/>
      <c r="B64" s="75"/>
      <c r="C64" s="75"/>
      <c r="D64" s="75"/>
      <c r="E64" s="62"/>
      <c r="F64" s="62"/>
      <c r="G64" s="75"/>
      <c r="H64" s="75"/>
      <c r="I64" s="62"/>
      <c r="J64" s="62"/>
      <c r="K64" s="75"/>
      <c r="L64" s="75"/>
      <c r="M64" s="75"/>
    </row>
    <row r="65">
      <c r="A65" s="75"/>
      <c r="B65" s="75"/>
      <c r="C65" s="75"/>
      <c r="D65" s="75"/>
      <c r="E65" s="62"/>
      <c r="F65" s="62"/>
      <c r="G65" s="75"/>
      <c r="H65" s="75"/>
      <c r="I65" s="62"/>
      <c r="J65" s="62"/>
      <c r="K65" s="75"/>
      <c r="L65" s="75"/>
      <c r="M65" s="75"/>
    </row>
    <row r="66">
      <c r="A66" s="75"/>
      <c r="B66" s="75"/>
      <c r="C66" s="75"/>
      <c r="D66" s="75"/>
      <c r="E66" s="62"/>
      <c r="F66" s="62"/>
      <c r="G66" s="75"/>
      <c r="H66" s="75"/>
      <c r="I66" s="62"/>
      <c r="J66" s="62"/>
      <c r="K66" s="75"/>
      <c r="L66" s="75"/>
      <c r="M66" s="75"/>
    </row>
    <row r="67">
      <c r="A67" s="75"/>
      <c r="B67" s="75"/>
      <c r="C67" s="75"/>
      <c r="D67" s="75"/>
      <c r="E67" s="62"/>
      <c r="F67" s="62"/>
      <c r="G67" s="75"/>
      <c r="H67" s="75"/>
      <c r="I67" s="62"/>
      <c r="J67" s="62"/>
      <c r="K67" s="75"/>
      <c r="L67" s="75"/>
      <c r="M67" s="75"/>
    </row>
    <row r="68">
      <c r="A68" s="75"/>
      <c r="B68" s="75"/>
      <c r="C68" s="75"/>
      <c r="D68" s="75"/>
      <c r="E68" s="62"/>
      <c r="F68" s="62"/>
      <c r="G68" s="75"/>
      <c r="H68" s="75"/>
      <c r="I68" s="62"/>
      <c r="J68" s="62"/>
      <c r="K68" s="75"/>
      <c r="L68" s="75"/>
      <c r="M68" s="75"/>
    </row>
    <row r="69">
      <c r="A69" s="75"/>
      <c r="B69" s="75"/>
      <c r="C69" s="75"/>
      <c r="D69" s="75"/>
      <c r="E69" s="62"/>
      <c r="F69" s="62"/>
      <c r="G69" s="75"/>
      <c r="H69" s="75"/>
      <c r="I69" s="62"/>
      <c r="J69" s="62"/>
      <c r="K69" s="75"/>
      <c r="L69" s="75"/>
      <c r="M69" s="75"/>
    </row>
    <row r="70">
      <c r="A70" s="75"/>
      <c r="B70" s="75"/>
      <c r="C70" s="75"/>
      <c r="D70" s="75"/>
      <c r="E70" s="62"/>
      <c r="F70" s="62"/>
      <c r="G70" s="75"/>
      <c r="H70" s="75"/>
      <c r="I70" s="62"/>
      <c r="J70" s="62"/>
      <c r="K70" s="75"/>
      <c r="L70" s="75"/>
      <c r="M70" s="75"/>
    </row>
    <row r="71">
      <c r="A71" s="75"/>
      <c r="B71" s="75"/>
      <c r="C71" s="75"/>
      <c r="D71" s="75"/>
      <c r="E71" s="62"/>
      <c r="F71" s="62"/>
      <c r="G71" s="75"/>
      <c r="H71" s="75"/>
      <c r="I71" s="62"/>
      <c r="J71" s="62"/>
      <c r="K71" s="75"/>
      <c r="L71" s="75"/>
      <c r="M71" s="75"/>
    </row>
    <row r="72">
      <c r="A72" s="75"/>
      <c r="B72" s="75"/>
      <c r="C72" s="75"/>
      <c r="D72" s="75"/>
      <c r="E72" s="62"/>
      <c r="F72" s="62"/>
      <c r="G72" s="75"/>
      <c r="H72" s="75"/>
      <c r="I72" s="62"/>
      <c r="J72" s="62"/>
      <c r="K72" s="75"/>
      <c r="L72" s="75"/>
      <c r="M72" s="75"/>
    </row>
    <row r="73">
      <c r="A73" s="75"/>
      <c r="B73" s="75"/>
      <c r="C73" s="75"/>
      <c r="D73" s="75"/>
      <c r="E73" s="62"/>
      <c r="F73" s="62"/>
      <c r="G73" s="75"/>
      <c r="H73" s="75"/>
      <c r="I73" s="62"/>
      <c r="J73" s="62"/>
      <c r="K73" s="75"/>
      <c r="L73" s="75"/>
      <c r="M73" s="75"/>
    </row>
    <row r="74">
      <c r="A74" s="75"/>
      <c r="B74" s="75"/>
      <c r="C74" s="75"/>
      <c r="D74" s="75"/>
      <c r="E74" s="62"/>
      <c r="F74" s="62"/>
      <c r="G74" s="75"/>
      <c r="H74" s="75"/>
      <c r="I74" s="62"/>
      <c r="J74" s="62"/>
      <c r="K74" s="75"/>
      <c r="L74" s="75"/>
      <c r="M74" s="75"/>
    </row>
    <row r="75">
      <c r="A75" s="75"/>
      <c r="B75" s="75"/>
      <c r="C75" s="75"/>
      <c r="D75" s="75"/>
      <c r="E75" s="62"/>
      <c r="F75" s="62"/>
      <c r="G75" s="75"/>
      <c r="H75" s="75"/>
      <c r="I75" s="62"/>
      <c r="J75" s="62"/>
      <c r="K75" s="75"/>
      <c r="L75" s="75"/>
      <c r="M75" s="75"/>
    </row>
    <row r="76">
      <c r="A76" s="75"/>
      <c r="B76" s="75"/>
      <c r="C76" s="75"/>
      <c r="D76" s="75"/>
      <c r="E76" s="62"/>
      <c r="F76" s="62"/>
      <c r="G76" s="75"/>
      <c r="H76" s="75"/>
      <c r="I76" s="62"/>
      <c r="J76" s="62"/>
      <c r="K76" s="75"/>
      <c r="L76" s="75"/>
      <c r="M76" s="75"/>
    </row>
    <row r="77">
      <c r="A77" s="75"/>
      <c r="B77" s="75"/>
      <c r="C77" s="75"/>
      <c r="D77" s="75"/>
      <c r="E77" s="62"/>
      <c r="F77" s="62"/>
      <c r="G77" s="75"/>
      <c r="H77" s="75"/>
      <c r="I77" s="62"/>
      <c r="J77" s="62"/>
      <c r="K77" s="75"/>
      <c r="L77" s="75"/>
      <c r="M77" s="75"/>
    </row>
    <row r="78">
      <c r="A78" s="75"/>
      <c r="B78" s="75"/>
      <c r="C78" s="75"/>
      <c r="D78" s="75"/>
      <c r="E78" s="62"/>
      <c r="F78" s="62"/>
      <c r="G78" s="75"/>
      <c r="H78" s="75"/>
      <c r="I78" s="62"/>
      <c r="J78" s="62"/>
      <c r="K78" s="75"/>
      <c r="L78" s="75"/>
      <c r="M78" s="75"/>
    </row>
    <row r="79">
      <c r="A79" s="75"/>
      <c r="B79" s="75"/>
      <c r="C79" s="75"/>
      <c r="D79" s="75"/>
      <c r="E79" s="62"/>
      <c r="F79" s="62"/>
      <c r="G79" s="75"/>
      <c r="H79" s="75"/>
      <c r="I79" s="62"/>
      <c r="J79" s="62"/>
      <c r="K79" s="75"/>
      <c r="L79" s="75"/>
      <c r="M79" s="75"/>
    </row>
    <row r="80">
      <c r="A80" s="75"/>
      <c r="B80" s="75"/>
      <c r="C80" s="75"/>
      <c r="D80" s="75"/>
      <c r="E80" s="62"/>
      <c r="F80" s="62"/>
      <c r="G80" s="75"/>
      <c r="H80" s="75"/>
      <c r="I80" s="62"/>
      <c r="J80" s="62"/>
      <c r="K80" s="75"/>
      <c r="L80" s="75"/>
      <c r="M80" s="75"/>
    </row>
    <row r="81">
      <c r="A81" s="75"/>
      <c r="B81" s="75"/>
      <c r="C81" s="75"/>
      <c r="D81" s="75"/>
      <c r="E81" s="62"/>
      <c r="F81" s="62"/>
      <c r="G81" s="75"/>
      <c r="H81" s="75"/>
      <c r="I81" s="62"/>
      <c r="J81" s="62"/>
      <c r="K81" s="75"/>
      <c r="L81" s="75"/>
      <c r="M81" s="75"/>
    </row>
    <row r="82">
      <c r="A82" s="75"/>
      <c r="B82" s="75"/>
      <c r="C82" s="75"/>
      <c r="D82" s="75"/>
      <c r="E82" s="62"/>
      <c r="F82" s="62"/>
      <c r="G82" s="75"/>
      <c r="H82" s="75"/>
      <c r="I82" s="62"/>
      <c r="J82" s="62"/>
      <c r="K82" s="75"/>
      <c r="L82" s="75"/>
      <c r="M82" s="75"/>
    </row>
    <row r="83">
      <c r="A83" s="75"/>
      <c r="B83" s="75"/>
      <c r="C83" s="75"/>
      <c r="D83" s="75"/>
      <c r="E83" s="62"/>
      <c r="F83" s="62"/>
      <c r="G83" s="75"/>
      <c r="H83" s="75"/>
      <c r="I83" s="62"/>
      <c r="J83" s="62"/>
      <c r="K83" s="75"/>
      <c r="L83" s="75"/>
      <c r="M83" s="75"/>
    </row>
    <row r="84">
      <c r="A84" s="75"/>
      <c r="B84" s="75"/>
      <c r="C84" s="75"/>
      <c r="D84" s="75"/>
      <c r="E84" s="62"/>
      <c r="F84" s="62"/>
      <c r="G84" s="75"/>
      <c r="H84" s="75"/>
      <c r="I84" s="62"/>
      <c r="J84" s="62"/>
      <c r="K84" s="75"/>
      <c r="L84" s="75"/>
      <c r="M84" s="75"/>
    </row>
    <row r="85">
      <c r="A85" s="75"/>
      <c r="B85" s="75"/>
      <c r="C85" s="75"/>
      <c r="D85" s="75"/>
      <c r="E85" s="62"/>
      <c r="F85" s="62"/>
      <c r="G85" s="75"/>
      <c r="H85" s="75"/>
      <c r="I85" s="62"/>
      <c r="J85" s="62"/>
      <c r="K85" s="75"/>
      <c r="L85" s="75"/>
      <c r="M85" s="75"/>
    </row>
    <row r="86">
      <c r="A86" s="75"/>
      <c r="B86" s="75"/>
      <c r="C86" s="75"/>
      <c r="D86" s="75"/>
      <c r="E86" s="62"/>
      <c r="F86" s="62"/>
      <c r="G86" s="75"/>
      <c r="H86" s="75"/>
      <c r="I86" s="62"/>
      <c r="J86" s="62"/>
      <c r="K86" s="75"/>
      <c r="L86" s="75"/>
      <c r="M86" s="75"/>
    </row>
    <row r="87">
      <c r="A87" s="75"/>
      <c r="B87" s="75"/>
      <c r="C87" s="75"/>
      <c r="D87" s="75"/>
      <c r="E87" s="62"/>
      <c r="F87" s="62"/>
      <c r="G87" s="75"/>
      <c r="H87" s="75"/>
      <c r="I87" s="62"/>
      <c r="J87" s="62"/>
      <c r="K87" s="75"/>
      <c r="L87" s="75"/>
      <c r="M87" s="75"/>
    </row>
    <row r="88">
      <c r="A88" s="75"/>
      <c r="B88" s="75"/>
      <c r="C88" s="75"/>
      <c r="D88" s="75"/>
      <c r="E88" s="62"/>
      <c r="F88" s="62"/>
      <c r="G88" s="75"/>
      <c r="H88" s="75"/>
      <c r="I88" s="62"/>
      <c r="J88" s="62"/>
      <c r="K88" s="75"/>
      <c r="L88" s="75"/>
      <c r="M88" s="75"/>
    </row>
    <row r="89">
      <c r="A89" s="75"/>
      <c r="B89" s="75"/>
      <c r="C89" s="75"/>
      <c r="D89" s="75"/>
      <c r="E89" s="62"/>
      <c r="F89" s="62"/>
      <c r="G89" s="75"/>
      <c r="H89" s="75"/>
      <c r="I89" s="62"/>
      <c r="J89" s="62"/>
      <c r="K89" s="75"/>
      <c r="L89" s="75"/>
      <c r="M89" s="75"/>
    </row>
    <row r="90">
      <c r="A90" s="75"/>
      <c r="B90" s="75"/>
      <c r="C90" s="75"/>
      <c r="D90" s="75"/>
      <c r="E90" s="62"/>
      <c r="F90" s="62"/>
      <c r="G90" s="75"/>
      <c r="H90" s="75"/>
      <c r="I90" s="62"/>
      <c r="J90" s="62"/>
      <c r="K90" s="75"/>
      <c r="L90" s="75"/>
      <c r="M90" s="75"/>
    </row>
    <row r="91">
      <c r="A91" s="75"/>
      <c r="B91" s="75"/>
      <c r="C91" s="75"/>
      <c r="D91" s="75"/>
      <c r="E91" s="62"/>
      <c r="F91" s="62"/>
      <c r="G91" s="75"/>
      <c r="H91" s="75"/>
      <c r="I91" s="62"/>
      <c r="J91" s="62"/>
      <c r="K91" s="75"/>
      <c r="L91" s="75"/>
      <c r="M91" s="75"/>
    </row>
    <row r="92">
      <c r="A92" s="75"/>
      <c r="B92" s="75"/>
      <c r="C92" s="75"/>
      <c r="D92" s="75"/>
      <c r="E92" s="62"/>
      <c r="F92" s="62"/>
      <c r="G92" s="75"/>
      <c r="H92" s="75"/>
      <c r="I92" s="62"/>
      <c r="J92" s="62"/>
      <c r="K92" s="75"/>
      <c r="L92" s="75"/>
      <c r="M92" s="75"/>
    </row>
    <row r="93">
      <c r="A93" s="75"/>
      <c r="B93" s="75"/>
      <c r="C93" s="75"/>
      <c r="D93" s="75"/>
      <c r="E93" s="62"/>
      <c r="F93" s="62"/>
      <c r="G93" s="75"/>
      <c r="H93" s="75"/>
      <c r="I93" s="62"/>
      <c r="J93" s="62"/>
      <c r="K93" s="75"/>
      <c r="L93" s="75"/>
      <c r="M93" s="75"/>
    </row>
    <row r="94">
      <c r="A94" s="75"/>
      <c r="B94" s="75"/>
      <c r="C94" s="75"/>
      <c r="D94" s="75"/>
      <c r="E94" s="62"/>
      <c r="F94" s="62"/>
      <c r="G94" s="75"/>
      <c r="H94" s="75"/>
      <c r="I94" s="62"/>
      <c r="J94" s="62"/>
      <c r="K94" s="75"/>
      <c r="L94" s="75"/>
      <c r="M94" s="75"/>
    </row>
    <row r="95">
      <c r="A95" s="75"/>
      <c r="B95" s="75"/>
      <c r="C95" s="75"/>
      <c r="D95" s="75"/>
      <c r="E95" s="62"/>
      <c r="F95" s="62"/>
      <c r="G95" s="75"/>
      <c r="H95" s="75"/>
      <c r="I95" s="62"/>
      <c r="J95" s="62"/>
      <c r="K95" s="75"/>
      <c r="L95" s="75"/>
      <c r="M95" s="75"/>
    </row>
    <row r="96">
      <c r="A96" s="75"/>
      <c r="B96" s="75"/>
      <c r="C96" s="75"/>
      <c r="D96" s="75"/>
      <c r="E96" s="62"/>
      <c r="F96" s="62"/>
      <c r="G96" s="75"/>
      <c r="H96" s="75"/>
      <c r="I96" s="62"/>
      <c r="J96" s="62"/>
      <c r="K96" s="75"/>
      <c r="L96" s="75"/>
      <c r="M96" s="75"/>
    </row>
    <row r="97">
      <c r="A97" s="75"/>
      <c r="B97" s="75"/>
      <c r="C97" s="75"/>
      <c r="D97" s="75"/>
      <c r="E97" s="62"/>
      <c r="F97" s="62"/>
      <c r="G97" s="75"/>
      <c r="H97" s="75"/>
      <c r="I97" s="62"/>
      <c r="J97" s="62"/>
      <c r="K97" s="75"/>
      <c r="L97" s="75"/>
      <c r="M97" s="75"/>
    </row>
    <row r="98">
      <c r="A98" s="75"/>
      <c r="B98" s="75"/>
      <c r="C98" s="75"/>
      <c r="D98" s="75"/>
      <c r="E98" s="62"/>
      <c r="F98" s="62"/>
      <c r="G98" s="75"/>
      <c r="H98" s="75"/>
      <c r="I98" s="62"/>
      <c r="J98" s="62"/>
      <c r="K98" s="75"/>
      <c r="L98" s="75"/>
      <c r="M98" s="75"/>
    </row>
    <row r="99">
      <c r="A99" s="75"/>
      <c r="B99" s="75"/>
      <c r="C99" s="75"/>
      <c r="D99" s="75"/>
      <c r="E99" s="62"/>
      <c r="F99" s="62"/>
      <c r="G99" s="75"/>
      <c r="H99" s="75"/>
      <c r="I99" s="62"/>
      <c r="J99" s="62"/>
      <c r="K99" s="75"/>
      <c r="L99" s="75"/>
      <c r="M99" s="75"/>
    </row>
    <row r="100">
      <c r="A100" s="75"/>
      <c r="B100" s="75"/>
      <c r="C100" s="75"/>
      <c r="D100" s="75"/>
      <c r="E100" s="62"/>
      <c r="F100" s="62"/>
      <c r="G100" s="75"/>
      <c r="H100" s="75"/>
      <c r="I100" s="62"/>
      <c r="J100" s="62"/>
      <c r="K100" s="75"/>
      <c r="L100" s="75"/>
      <c r="M100" s="75"/>
    </row>
    <row r="101">
      <c r="E101" s="2"/>
      <c r="F101" s="2"/>
      <c r="I101" s="2"/>
      <c r="J101" s="2"/>
    </row>
    <row r="102">
      <c r="E102" s="2"/>
      <c r="F102" s="2"/>
      <c r="I102" s="2"/>
      <c r="J102" s="2"/>
    </row>
    <row r="103">
      <c r="E103" s="2"/>
      <c r="F103" s="2"/>
      <c r="I103" s="2"/>
      <c r="J103" s="2"/>
    </row>
    <row r="104">
      <c r="E104" s="2"/>
      <c r="F104" s="2"/>
      <c r="I104" s="2"/>
      <c r="J104" s="2"/>
    </row>
    <row r="105">
      <c r="E105" s="2"/>
      <c r="F105" s="2"/>
      <c r="I105" s="2"/>
      <c r="J105" s="2"/>
    </row>
    <row r="106">
      <c r="E106" s="2"/>
      <c r="F106" s="2"/>
      <c r="I106" s="2"/>
      <c r="J106" s="2"/>
    </row>
    <row r="107">
      <c r="E107" s="2"/>
      <c r="F107" s="2"/>
      <c r="I107" s="2"/>
      <c r="J107" s="2"/>
    </row>
    <row r="108">
      <c r="E108" s="2"/>
      <c r="F108" s="2"/>
      <c r="I108" s="2"/>
      <c r="J108" s="2"/>
    </row>
    <row r="109">
      <c r="E109" s="2"/>
      <c r="F109" s="2"/>
      <c r="I109" s="2"/>
      <c r="J109" s="2"/>
    </row>
    <row r="110">
      <c r="E110" s="2"/>
      <c r="F110" s="2"/>
      <c r="I110" s="2"/>
      <c r="J110" s="2"/>
    </row>
    <row r="111">
      <c r="E111" s="2"/>
      <c r="F111" s="2"/>
      <c r="I111" s="2"/>
      <c r="J111" s="2"/>
    </row>
    <row r="112">
      <c r="E112" s="2"/>
      <c r="F112" s="2"/>
      <c r="I112" s="2"/>
      <c r="J112" s="2"/>
    </row>
    <row r="113">
      <c r="E113" s="2"/>
      <c r="F113" s="2"/>
      <c r="I113" s="2"/>
      <c r="J113" s="2"/>
    </row>
    <row r="114">
      <c r="E114" s="2"/>
      <c r="F114" s="2"/>
      <c r="I114" s="2"/>
      <c r="J114" s="2"/>
    </row>
    <row r="115">
      <c r="E115" s="2"/>
      <c r="F115" s="2"/>
      <c r="I115" s="2"/>
      <c r="J115" s="2"/>
    </row>
    <row r="116">
      <c r="E116" s="2"/>
      <c r="F116" s="2"/>
      <c r="I116" s="2"/>
      <c r="J116" s="2"/>
    </row>
    <row r="117">
      <c r="E117" s="2"/>
      <c r="F117" s="2"/>
      <c r="I117" s="2"/>
      <c r="J117" s="2"/>
    </row>
    <row r="118">
      <c r="E118" s="2"/>
      <c r="F118" s="2"/>
      <c r="I118" s="2"/>
      <c r="J118" s="2"/>
    </row>
    <row r="119">
      <c r="E119" s="2"/>
      <c r="F119" s="2"/>
      <c r="I119" s="2"/>
      <c r="J119" s="2"/>
    </row>
    <row r="120">
      <c r="E120" s="2"/>
      <c r="F120" s="2"/>
      <c r="I120" s="2"/>
      <c r="J120" s="2"/>
    </row>
    <row r="121">
      <c r="E121" s="2"/>
      <c r="F121" s="2"/>
      <c r="I121" s="2"/>
      <c r="J121" s="2"/>
    </row>
    <row r="122">
      <c r="E122" s="2"/>
      <c r="F122" s="2"/>
      <c r="I122" s="2"/>
      <c r="J122" s="2"/>
    </row>
    <row r="123">
      <c r="E123" s="2"/>
      <c r="F123" s="2"/>
      <c r="I123" s="2"/>
      <c r="J123" s="2"/>
    </row>
    <row r="124">
      <c r="E124" s="2"/>
      <c r="F124" s="2"/>
      <c r="I124" s="2"/>
      <c r="J124" s="2"/>
    </row>
    <row r="125">
      <c r="E125" s="2"/>
      <c r="F125" s="2"/>
      <c r="I125" s="2"/>
      <c r="J125" s="2"/>
    </row>
    <row r="126">
      <c r="E126" s="2"/>
      <c r="F126" s="2"/>
      <c r="I126" s="2"/>
      <c r="J126" s="2"/>
    </row>
    <row r="127">
      <c r="E127" s="2"/>
      <c r="F127" s="2"/>
      <c r="I127" s="2"/>
      <c r="J127" s="2"/>
    </row>
    <row r="128">
      <c r="E128" s="2"/>
      <c r="F128" s="2"/>
      <c r="I128" s="2"/>
      <c r="J128" s="2"/>
    </row>
    <row r="129">
      <c r="E129" s="2"/>
      <c r="F129" s="2"/>
      <c r="I129" s="2"/>
      <c r="J129" s="2"/>
    </row>
    <row r="130">
      <c r="E130" s="2"/>
      <c r="F130" s="2"/>
      <c r="I130" s="2"/>
      <c r="J130" s="2"/>
    </row>
    <row r="131">
      <c r="E131" s="2"/>
      <c r="F131" s="2"/>
      <c r="I131" s="2"/>
      <c r="J131" s="2"/>
    </row>
    <row r="132">
      <c r="E132" s="2"/>
      <c r="F132" s="2"/>
      <c r="I132" s="2"/>
      <c r="J132" s="2"/>
    </row>
    <row r="133">
      <c r="E133" s="2"/>
      <c r="F133" s="2"/>
      <c r="I133" s="2"/>
      <c r="J133" s="2"/>
    </row>
    <row r="134">
      <c r="E134" s="2"/>
      <c r="F134" s="2"/>
      <c r="I134" s="2"/>
      <c r="J134" s="2"/>
    </row>
    <row r="135">
      <c r="E135" s="2"/>
      <c r="F135" s="2"/>
      <c r="I135" s="2"/>
      <c r="J135" s="2"/>
    </row>
    <row r="136">
      <c r="E136" s="2"/>
      <c r="F136" s="2"/>
      <c r="I136" s="2"/>
      <c r="J136" s="2"/>
    </row>
    <row r="137">
      <c r="E137" s="2"/>
      <c r="F137" s="2"/>
      <c r="I137" s="2"/>
      <c r="J137" s="2"/>
    </row>
    <row r="138">
      <c r="E138" s="2"/>
      <c r="F138" s="2"/>
      <c r="I138" s="2"/>
      <c r="J138" s="2"/>
    </row>
    <row r="139">
      <c r="E139" s="2"/>
      <c r="F139" s="2"/>
      <c r="I139" s="2"/>
      <c r="J139" s="2"/>
    </row>
    <row r="140">
      <c r="E140" s="2"/>
      <c r="F140" s="2"/>
      <c r="I140" s="2"/>
      <c r="J140" s="2"/>
    </row>
    <row r="141">
      <c r="E141" s="2"/>
      <c r="F141" s="2"/>
      <c r="I141" s="2"/>
      <c r="J141" s="2"/>
    </row>
    <row r="142">
      <c r="E142" s="2"/>
      <c r="F142" s="2"/>
      <c r="I142" s="2"/>
      <c r="J142" s="2"/>
    </row>
    <row r="143">
      <c r="E143" s="2"/>
      <c r="F143" s="2"/>
      <c r="I143" s="2"/>
      <c r="J143" s="2"/>
    </row>
    <row r="144">
      <c r="E144" s="2"/>
      <c r="F144" s="2"/>
      <c r="I144" s="2"/>
      <c r="J144" s="2"/>
    </row>
    <row r="145">
      <c r="E145" s="2"/>
      <c r="F145" s="2"/>
      <c r="I145" s="2"/>
      <c r="J145" s="2"/>
    </row>
    <row r="146">
      <c r="E146" s="2"/>
      <c r="F146" s="2"/>
      <c r="I146" s="2"/>
      <c r="J146" s="2"/>
    </row>
    <row r="147">
      <c r="E147" s="2"/>
      <c r="F147" s="2"/>
      <c r="I147" s="2"/>
      <c r="J147" s="2"/>
    </row>
    <row r="148">
      <c r="E148" s="2"/>
      <c r="F148" s="2"/>
      <c r="I148" s="2"/>
      <c r="J148" s="2"/>
    </row>
    <row r="149">
      <c r="E149" s="2"/>
      <c r="F149" s="2"/>
      <c r="I149" s="2"/>
      <c r="J149" s="2"/>
    </row>
    <row r="150">
      <c r="E150" s="2"/>
      <c r="F150" s="2"/>
      <c r="I150" s="2"/>
      <c r="J150" s="2"/>
    </row>
    <row r="151">
      <c r="E151" s="2"/>
      <c r="F151" s="2"/>
      <c r="I151" s="2"/>
      <c r="J151" s="2"/>
    </row>
    <row r="152">
      <c r="E152" s="2"/>
      <c r="F152" s="2"/>
      <c r="I152" s="2"/>
      <c r="J152" s="2"/>
    </row>
    <row r="153">
      <c r="E153" s="2"/>
      <c r="F153" s="2"/>
      <c r="I153" s="2"/>
      <c r="J153" s="2"/>
    </row>
    <row r="154">
      <c r="E154" s="2"/>
      <c r="F154" s="2"/>
      <c r="I154" s="2"/>
      <c r="J154" s="2"/>
    </row>
    <row r="155">
      <c r="E155" s="2"/>
      <c r="F155" s="2"/>
      <c r="I155" s="2"/>
      <c r="J155" s="2"/>
    </row>
    <row r="156">
      <c r="E156" s="2"/>
      <c r="F156" s="2"/>
      <c r="I156" s="2"/>
      <c r="J156" s="2"/>
    </row>
    <row r="157">
      <c r="E157" s="2"/>
      <c r="F157" s="2"/>
      <c r="I157" s="2"/>
      <c r="J157" s="2"/>
    </row>
    <row r="158">
      <c r="E158" s="2"/>
      <c r="F158" s="2"/>
      <c r="I158" s="2"/>
      <c r="J158" s="2"/>
    </row>
    <row r="159">
      <c r="E159" s="2"/>
      <c r="F159" s="2"/>
      <c r="I159" s="2"/>
      <c r="J159" s="2"/>
    </row>
    <row r="160">
      <c r="E160" s="2"/>
      <c r="F160" s="2"/>
      <c r="I160" s="2"/>
      <c r="J160" s="2"/>
    </row>
    <row r="161">
      <c r="E161" s="2"/>
      <c r="F161" s="2"/>
      <c r="I161" s="2"/>
      <c r="J161" s="2"/>
    </row>
    <row r="162">
      <c r="E162" s="2"/>
      <c r="F162" s="2"/>
      <c r="I162" s="2"/>
      <c r="J162" s="2"/>
    </row>
    <row r="163">
      <c r="E163" s="2"/>
      <c r="F163" s="2"/>
      <c r="I163" s="2"/>
      <c r="J163" s="2"/>
    </row>
    <row r="164">
      <c r="E164" s="2"/>
      <c r="F164" s="2"/>
      <c r="I164" s="2"/>
      <c r="J164" s="2"/>
    </row>
    <row r="165">
      <c r="E165" s="2"/>
      <c r="F165" s="2"/>
      <c r="I165" s="2"/>
      <c r="J165" s="2"/>
    </row>
    <row r="166">
      <c r="E166" s="2"/>
      <c r="F166" s="2"/>
      <c r="I166" s="2"/>
      <c r="J166" s="2"/>
    </row>
    <row r="167">
      <c r="E167" s="2"/>
      <c r="F167" s="2"/>
      <c r="I167" s="2"/>
      <c r="J167" s="2"/>
    </row>
    <row r="168">
      <c r="E168" s="2"/>
      <c r="F168" s="2"/>
      <c r="I168" s="2"/>
      <c r="J168" s="2"/>
    </row>
    <row r="169">
      <c r="E169" s="2"/>
      <c r="F169" s="2"/>
      <c r="I169" s="2"/>
      <c r="J169" s="2"/>
    </row>
    <row r="170">
      <c r="E170" s="2"/>
      <c r="F170" s="2"/>
      <c r="I170" s="2"/>
      <c r="J170" s="2"/>
    </row>
    <row r="171">
      <c r="E171" s="2"/>
      <c r="F171" s="2"/>
      <c r="I171" s="2"/>
      <c r="J171" s="2"/>
    </row>
    <row r="172">
      <c r="E172" s="2"/>
      <c r="F172" s="2"/>
      <c r="I172" s="2"/>
      <c r="J172" s="2"/>
    </row>
    <row r="173">
      <c r="E173" s="2"/>
      <c r="F173" s="2"/>
      <c r="I173" s="2"/>
      <c r="J173" s="2"/>
    </row>
    <row r="174">
      <c r="E174" s="2"/>
      <c r="F174" s="2"/>
      <c r="I174" s="2"/>
      <c r="J174" s="2"/>
    </row>
    <row r="175">
      <c r="E175" s="2"/>
      <c r="F175" s="2"/>
      <c r="I175" s="2"/>
      <c r="J175" s="2"/>
    </row>
    <row r="176">
      <c r="E176" s="2"/>
      <c r="F176" s="2"/>
      <c r="I176" s="2"/>
      <c r="J176" s="2"/>
    </row>
    <row r="177">
      <c r="E177" s="2"/>
      <c r="F177" s="2"/>
      <c r="I177" s="2"/>
      <c r="J177" s="2"/>
    </row>
    <row r="178">
      <c r="E178" s="2"/>
      <c r="F178" s="2"/>
      <c r="I178" s="2"/>
      <c r="J178" s="2"/>
    </row>
    <row r="179">
      <c r="E179" s="2"/>
      <c r="F179" s="2"/>
      <c r="I179" s="2"/>
      <c r="J179" s="2"/>
    </row>
    <row r="180">
      <c r="E180" s="2"/>
      <c r="F180" s="2"/>
      <c r="I180" s="2"/>
      <c r="J180" s="2"/>
    </row>
    <row r="181">
      <c r="E181" s="2"/>
      <c r="F181" s="2"/>
      <c r="I181" s="2"/>
      <c r="J181" s="2"/>
    </row>
    <row r="182">
      <c r="E182" s="2"/>
      <c r="F182" s="2"/>
      <c r="I182" s="2"/>
      <c r="J182" s="2"/>
    </row>
    <row r="183">
      <c r="E183" s="2"/>
      <c r="F183" s="2"/>
      <c r="I183" s="2"/>
      <c r="J183" s="2"/>
    </row>
    <row r="184">
      <c r="E184" s="2"/>
      <c r="F184" s="2"/>
      <c r="I184" s="2"/>
      <c r="J184" s="2"/>
    </row>
    <row r="185">
      <c r="E185" s="2"/>
      <c r="F185" s="2"/>
      <c r="I185" s="2"/>
      <c r="J185" s="2"/>
    </row>
    <row r="186">
      <c r="E186" s="2"/>
      <c r="F186" s="2"/>
      <c r="I186" s="2"/>
      <c r="J186" s="2"/>
    </row>
    <row r="187">
      <c r="E187" s="2"/>
      <c r="F187" s="2"/>
      <c r="I187" s="2"/>
      <c r="J187" s="2"/>
    </row>
    <row r="188">
      <c r="E188" s="2"/>
      <c r="F188" s="2"/>
      <c r="I188" s="2"/>
      <c r="J188" s="2"/>
    </row>
    <row r="189">
      <c r="E189" s="2"/>
      <c r="F189" s="2"/>
      <c r="I189" s="2"/>
      <c r="J189" s="2"/>
    </row>
    <row r="190">
      <c r="E190" s="2"/>
      <c r="F190" s="2"/>
      <c r="I190" s="2"/>
      <c r="J190" s="2"/>
    </row>
    <row r="191">
      <c r="E191" s="2"/>
      <c r="F191" s="2"/>
      <c r="I191" s="2"/>
      <c r="J191" s="2"/>
    </row>
    <row r="192">
      <c r="E192" s="2"/>
      <c r="F192" s="2"/>
      <c r="I192" s="2"/>
      <c r="J192" s="2"/>
    </row>
    <row r="193">
      <c r="E193" s="2"/>
      <c r="F193" s="2"/>
      <c r="I193" s="2"/>
      <c r="J193" s="2"/>
    </row>
    <row r="194">
      <c r="E194" s="2"/>
      <c r="F194" s="2"/>
      <c r="I194" s="2"/>
      <c r="J194" s="2"/>
    </row>
    <row r="195">
      <c r="E195" s="2"/>
      <c r="F195" s="2"/>
      <c r="I195" s="2"/>
      <c r="J195" s="2"/>
    </row>
    <row r="196">
      <c r="E196" s="2"/>
      <c r="F196" s="2"/>
      <c r="I196" s="2"/>
      <c r="J196" s="2"/>
    </row>
    <row r="197">
      <c r="E197" s="2"/>
      <c r="F197" s="2"/>
      <c r="I197" s="2"/>
      <c r="J197" s="2"/>
    </row>
    <row r="198">
      <c r="E198" s="2"/>
      <c r="F198" s="2"/>
      <c r="I198" s="2"/>
      <c r="J198" s="2"/>
    </row>
    <row r="199">
      <c r="E199" s="2"/>
      <c r="F199" s="2"/>
      <c r="I199" s="2"/>
      <c r="J199" s="2"/>
    </row>
    <row r="200">
      <c r="E200" s="2"/>
      <c r="F200" s="2"/>
      <c r="I200" s="2"/>
      <c r="J200" s="2"/>
    </row>
    <row r="201">
      <c r="E201" s="2"/>
      <c r="F201" s="2"/>
      <c r="I201" s="2"/>
      <c r="J201" s="2"/>
    </row>
    <row r="202">
      <c r="E202" s="2"/>
      <c r="F202" s="2"/>
      <c r="I202" s="2"/>
      <c r="J202" s="2"/>
    </row>
    <row r="203">
      <c r="E203" s="2"/>
      <c r="F203" s="2"/>
      <c r="I203" s="2"/>
      <c r="J203" s="2"/>
    </row>
    <row r="204">
      <c r="E204" s="2"/>
      <c r="F204" s="2"/>
      <c r="I204" s="2"/>
      <c r="J204" s="2"/>
    </row>
    <row r="205">
      <c r="E205" s="2"/>
      <c r="F205" s="2"/>
      <c r="I205" s="2"/>
      <c r="J205" s="2"/>
    </row>
    <row r="206">
      <c r="E206" s="2"/>
      <c r="F206" s="2"/>
      <c r="I206" s="2"/>
      <c r="J206" s="2"/>
    </row>
    <row r="207">
      <c r="E207" s="2"/>
      <c r="F207" s="2"/>
      <c r="I207" s="2"/>
      <c r="J207" s="2"/>
    </row>
    <row r="208">
      <c r="E208" s="2"/>
      <c r="F208" s="2"/>
      <c r="I208" s="2"/>
      <c r="J208" s="2"/>
    </row>
    <row r="209">
      <c r="E209" s="2"/>
      <c r="F209" s="2"/>
      <c r="I209" s="2"/>
      <c r="J209" s="2"/>
    </row>
    <row r="210">
      <c r="E210" s="2"/>
      <c r="F210" s="2"/>
      <c r="I210" s="2"/>
      <c r="J210" s="2"/>
    </row>
    <row r="211">
      <c r="E211" s="2"/>
      <c r="F211" s="2"/>
      <c r="I211" s="2"/>
      <c r="J211" s="2"/>
    </row>
    <row r="212">
      <c r="E212" s="2"/>
      <c r="F212" s="2"/>
      <c r="I212" s="2"/>
      <c r="J212" s="2"/>
    </row>
    <row r="213">
      <c r="E213" s="2"/>
      <c r="F213" s="2"/>
      <c r="I213" s="2"/>
      <c r="J213" s="2"/>
    </row>
    <row r="214">
      <c r="E214" s="2"/>
      <c r="F214" s="2"/>
      <c r="I214" s="2"/>
      <c r="J214" s="2"/>
    </row>
    <row r="215">
      <c r="E215" s="2"/>
      <c r="F215" s="2"/>
      <c r="I215" s="2"/>
      <c r="J215" s="2"/>
    </row>
    <row r="216">
      <c r="E216" s="2"/>
      <c r="F216" s="2"/>
      <c r="I216" s="2"/>
      <c r="J216" s="2"/>
    </row>
    <row r="217">
      <c r="E217" s="2"/>
      <c r="F217" s="2"/>
      <c r="I217" s="2"/>
      <c r="J217" s="2"/>
    </row>
    <row r="218">
      <c r="E218" s="2"/>
      <c r="F218" s="2"/>
      <c r="I218" s="2"/>
      <c r="J218" s="2"/>
    </row>
    <row r="219">
      <c r="E219" s="2"/>
      <c r="F219" s="2"/>
      <c r="I219" s="2"/>
      <c r="J219" s="2"/>
    </row>
    <row r="220">
      <c r="E220" s="2"/>
      <c r="F220" s="2"/>
      <c r="I220" s="2"/>
      <c r="J220" s="2"/>
    </row>
    <row r="221">
      <c r="E221" s="2"/>
      <c r="F221" s="2"/>
      <c r="I221" s="2"/>
      <c r="J221" s="2"/>
    </row>
    <row r="222">
      <c r="E222" s="2"/>
      <c r="F222" s="2"/>
      <c r="I222" s="2"/>
      <c r="J222" s="2"/>
    </row>
    <row r="223">
      <c r="E223" s="2"/>
      <c r="F223" s="2"/>
      <c r="I223" s="2"/>
      <c r="J223" s="2"/>
    </row>
    <row r="224">
      <c r="E224" s="2"/>
      <c r="F224" s="2"/>
      <c r="I224" s="2"/>
      <c r="J224" s="2"/>
    </row>
    <row r="225">
      <c r="E225" s="2"/>
      <c r="F225" s="2"/>
      <c r="I225" s="2"/>
      <c r="J225" s="2"/>
    </row>
    <row r="226">
      <c r="E226" s="2"/>
      <c r="F226" s="2"/>
      <c r="I226" s="2"/>
      <c r="J226" s="2"/>
    </row>
    <row r="227">
      <c r="E227" s="2"/>
      <c r="F227" s="2"/>
      <c r="I227" s="2"/>
      <c r="J227" s="2"/>
    </row>
    <row r="228">
      <c r="E228" s="2"/>
      <c r="F228" s="2"/>
      <c r="I228" s="2"/>
      <c r="J228" s="2"/>
    </row>
    <row r="229">
      <c r="E229" s="2"/>
      <c r="F229" s="2"/>
      <c r="I229" s="2"/>
      <c r="J229" s="2"/>
    </row>
    <row r="230">
      <c r="E230" s="2"/>
      <c r="F230" s="2"/>
      <c r="I230" s="2"/>
      <c r="J230" s="2"/>
    </row>
    <row r="231">
      <c r="E231" s="2"/>
      <c r="F231" s="2"/>
      <c r="I231" s="2"/>
      <c r="J231" s="2"/>
    </row>
    <row r="232">
      <c r="E232" s="2"/>
      <c r="F232" s="2"/>
      <c r="I232" s="2"/>
      <c r="J232" s="2"/>
    </row>
    <row r="233">
      <c r="E233" s="2"/>
      <c r="F233" s="2"/>
      <c r="I233" s="2"/>
      <c r="J233" s="2"/>
    </row>
    <row r="234">
      <c r="E234" s="2"/>
      <c r="F234" s="2"/>
      <c r="I234" s="2"/>
      <c r="J234" s="2"/>
    </row>
    <row r="235">
      <c r="E235" s="2"/>
      <c r="F235" s="2"/>
      <c r="I235" s="2"/>
      <c r="J235" s="2"/>
    </row>
    <row r="236">
      <c r="E236" s="2"/>
      <c r="F236" s="2"/>
      <c r="I236" s="2"/>
      <c r="J236" s="2"/>
    </row>
    <row r="237">
      <c r="E237" s="2"/>
      <c r="F237" s="2"/>
      <c r="I237" s="2"/>
      <c r="J237" s="2"/>
    </row>
    <row r="238">
      <c r="E238" s="2"/>
      <c r="F238" s="2"/>
      <c r="I238" s="2"/>
      <c r="J238" s="2"/>
    </row>
    <row r="239">
      <c r="E239" s="2"/>
      <c r="F239" s="2"/>
      <c r="I239" s="2"/>
      <c r="J239" s="2"/>
    </row>
    <row r="240">
      <c r="E240" s="2"/>
      <c r="F240" s="2"/>
      <c r="I240" s="2"/>
      <c r="J240" s="2"/>
    </row>
    <row r="241">
      <c r="E241" s="2"/>
      <c r="F241" s="2"/>
      <c r="I241" s="2"/>
      <c r="J241" s="2"/>
    </row>
    <row r="242">
      <c r="E242" s="2"/>
      <c r="F242" s="2"/>
      <c r="I242" s="2"/>
      <c r="J242" s="2"/>
    </row>
    <row r="243">
      <c r="E243" s="2"/>
      <c r="F243" s="2"/>
      <c r="I243" s="2"/>
      <c r="J243" s="2"/>
    </row>
    <row r="244">
      <c r="E244" s="2"/>
      <c r="F244" s="2"/>
      <c r="I244" s="2"/>
      <c r="J244" s="2"/>
    </row>
    <row r="245">
      <c r="E245" s="2"/>
      <c r="F245" s="2"/>
      <c r="I245" s="2"/>
      <c r="J245" s="2"/>
    </row>
    <row r="246">
      <c r="E246" s="2"/>
      <c r="F246" s="2"/>
      <c r="I246" s="2"/>
      <c r="J246" s="2"/>
    </row>
    <row r="247">
      <c r="E247" s="2"/>
      <c r="F247" s="2"/>
      <c r="I247" s="2"/>
      <c r="J247" s="2"/>
    </row>
    <row r="248">
      <c r="E248" s="2"/>
      <c r="F248" s="2"/>
      <c r="I248" s="2"/>
      <c r="J248" s="2"/>
    </row>
    <row r="249">
      <c r="E249" s="2"/>
      <c r="F249" s="2"/>
      <c r="I249" s="2"/>
      <c r="J249" s="2"/>
    </row>
    <row r="250">
      <c r="E250" s="2"/>
      <c r="F250" s="2"/>
      <c r="I250" s="2"/>
      <c r="J250" s="2"/>
    </row>
    <row r="251">
      <c r="E251" s="2"/>
      <c r="F251" s="2"/>
      <c r="I251" s="2"/>
      <c r="J251" s="2"/>
    </row>
    <row r="252">
      <c r="E252" s="2"/>
      <c r="F252" s="2"/>
      <c r="I252" s="2"/>
      <c r="J252" s="2"/>
    </row>
    <row r="253">
      <c r="E253" s="2"/>
      <c r="F253" s="2"/>
      <c r="I253" s="2"/>
      <c r="J253" s="2"/>
    </row>
    <row r="254">
      <c r="E254" s="2"/>
      <c r="F254" s="2"/>
      <c r="I254" s="2"/>
      <c r="J254" s="2"/>
    </row>
    <row r="255">
      <c r="E255" s="2"/>
      <c r="F255" s="2"/>
      <c r="I255" s="2"/>
      <c r="J255" s="2"/>
    </row>
    <row r="256">
      <c r="E256" s="2"/>
      <c r="F256" s="2"/>
      <c r="I256" s="2"/>
      <c r="J256" s="2"/>
    </row>
    <row r="257">
      <c r="E257" s="2"/>
      <c r="F257" s="2"/>
      <c r="I257" s="2"/>
      <c r="J257" s="2"/>
    </row>
    <row r="258">
      <c r="E258" s="2"/>
      <c r="F258" s="2"/>
      <c r="I258" s="2"/>
      <c r="J258" s="2"/>
    </row>
    <row r="259">
      <c r="E259" s="2"/>
      <c r="F259" s="2"/>
      <c r="I259" s="2"/>
      <c r="J259" s="2"/>
    </row>
    <row r="260">
      <c r="E260" s="2"/>
      <c r="F260" s="2"/>
      <c r="I260" s="2"/>
      <c r="J260" s="2"/>
    </row>
    <row r="261">
      <c r="E261" s="2"/>
      <c r="F261" s="2"/>
      <c r="I261" s="2"/>
      <c r="J261" s="2"/>
    </row>
    <row r="262">
      <c r="E262" s="2"/>
      <c r="F262" s="2"/>
      <c r="I262" s="2"/>
      <c r="J262" s="2"/>
    </row>
    <row r="263">
      <c r="E263" s="2"/>
      <c r="F263" s="2"/>
      <c r="I263" s="2"/>
      <c r="J263" s="2"/>
    </row>
    <row r="264">
      <c r="E264" s="2"/>
      <c r="F264" s="2"/>
      <c r="I264" s="2"/>
      <c r="J264" s="2"/>
    </row>
    <row r="265">
      <c r="E265" s="2"/>
      <c r="F265" s="2"/>
      <c r="I265" s="2"/>
      <c r="J265" s="2"/>
    </row>
    <row r="266">
      <c r="E266" s="2"/>
      <c r="F266" s="2"/>
      <c r="I266" s="2"/>
      <c r="J266" s="2"/>
    </row>
    <row r="267">
      <c r="E267" s="2"/>
      <c r="F267" s="2"/>
      <c r="I267" s="2"/>
      <c r="J267" s="2"/>
    </row>
    <row r="268">
      <c r="E268" s="2"/>
      <c r="F268" s="2"/>
      <c r="I268" s="2"/>
      <c r="J268" s="2"/>
    </row>
    <row r="269">
      <c r="E269" s="2"/>
      <c r="F269" s="2"/>
      <c r="I269" s="2"/>
      <c r="J269" s="2"/>
    </row>
    <row r="270">
      <c r="E270" s="2"/>
      <c r="F270" s="2"/>
      <c r="I270" s="2"/>
      <c r="J270" s="2"/>
    </row>
    <row r="271">
      <c r="E271" s="2"/>
      <c r="F271" s="2"/>
      <c r="I271" s="2"/>
      <c r="J271" s="2"/>
    </row>
    <row r="272">
      <c r="E272" s="2"/>
      <c r="F272" s="2"/>
      <c r="I272" s="2"/>
      <c r="J272" s="2"/>
    </row>
    <row r="273">
      <c r="E273" s="2"/>
      <c r="F273" s="2"/>
      <c r="I273" s="2"/>
      <c r="J273" s="2"/>
    </row>
    <row r="274">
      <c r="E274" s="2"/>
      <c r="F274" s="2"/>
      <c r="I274" s="2"/>
      <c r="J274" s="2"/>
    </row>
    <row r="275">
      <c r="E275" s="2"/>
      <c r="F275" s="2"/>
      <c r="I275" s="2"/>
      <c r="J275" s="2"/>
    </row>
    <row r="276">
      <c r="E276" s="2"/>
      <c r="F276" s="2"/>
      <c r="I276" s="2"/>
      <c r="J276" s="2"/>
    </row>
    <row r="277">
      <c r="E277" s="2"/>
      <c r="F277" s="2"/>
      <c r="I277" s="2"/>
      <c r="J277" s="2"/>
    </row>
    <row r="278">
      <c r="E278" s="2"/>
      <c r="F278" s="2"/>
      <c r="I278" s="2"/>
      <c r="J278" s="2"/>
    </row>
    <row r="279">
      <c r="E279" s="2"/>
      <c r="F279" s="2"/>
      <c r="I279" s="2"/>
      <c r="J279" s="2"/>
    </row>
    <row r="280">
      <c r="E280" s="2"/>
      <c r="F280" s="2"/>
      <c r="I280" s="2"/>
      <c r="J280" s="2"/>
    </row>
    <row r="281">
      <c r="E281" s="2"/>
      <c r="F281" s="2"/>
      <c r="I281" s="2"/>
      <c r="J281" s="2"/>
    </row>
    <row r="282">
      <c r="E282" s="2"/>
      <c r="F282" s="2"/>
      <c r="I282" s="2"/>
      <c r="J282" s="2"/>
    </row>
    <row r="283">
      <c r="E283" s="2"/>
      <c r="F283" s="2"/>
      <c r="I283" s="2"/>
      <c r="J283" s="2"/>
    </row>
    <row r="284">
      <c r="E284" s="2"/>
      <c r="F284" s="2"/>
      <c r="I284" s="2"/>
      <c r="J284" s="2"/>
    </row>
    <row r="285">
      <c r="E285" s="2"/>
      <c r="F285" s="2"/>
      <c r="I285" s="2"/>
      <c r="J285" s="2"/>
    </row>
    <row r="286">
      <c r="E286" s="2"/>
      <c r="F286" s="2"/>
      <c r="I286" s="2"/>
      <c r="J286" s="2"/>
    </row>
    <row r="287">
      <c r="E287" s="2"/>
      <c r="F287" s="2"/>
      <c r="I287" s="2"/>
      <c r="J287" s="2"/>
    </row>
    <row r="288">
      <c r="E288" s="2"/>
      <c r="F288" s="2"/>
      <c r="I288" s="2"/>
      <c r="J288" s="2"/>
    </row>
    <row r="289">
      <c r="E289" s="2"/>
      <c r="F289" s="2"/>
      <c r="I289" s="2"/>
      <c r="J289" s="2"/>
    </row>
    <row r="290">
      <c r="E290" s="2"/>
      <c r="F290" s="2"/>
      <c r="I290" s="2"/>
      <c r="J290" s="2"/>
    </row>
    <row r="291">
      <c r="E291" s="2"/>
      <c r="F291" s="2"/>
      <c r="I291" s="2"/>
      <c r="J291" s="2"/>
    </row>
    <row r="292">
      <c r="E292" s="2"/>
      <c r="F292" s="2"/>
      <c r="I292" s="2"/>
      <c r="J292" s="2"/>
    </row>
    <row r="293">
      <c r="E293" s="2"/>
      <c r="F293" s="2"/>
      <c r="I293" s="2"/>
      <c r="J293" s="2"/>
    </row>
    <row r="294">
      <c r="E294" s="2"/>
      <c r="F294" s="2"/>
      <c r="I294" s="2"/>
      <c r="J294" s="2"/>
    </row>
    <row r="295">
      <c r="E295" s="2"/>
      <c r="F295" s="2"/>
      <c r="I295" s="2"/>
      <c r="J295" s="2"/>
    </row>
    <row r="296">
      <c r="E296" s="2"/>
      <c r="F296" s="2"/>
      <c r="I296" s="2"/>
      <c r="J296" s="2"/>
    </row>
    <row r="297">
      <c r="E297" s="2"/>
      <c r="F297" s="2"/>
      <c r="I297" s="2"/>
      <c r="J297" s="2"/>
    </row>
    <row r="298">
      <c r="E298" s="2"/>
      <c r="F298" s="2"/>
      <c r="I298" s="2"/>
      <c r="J298" s="2"/>
    </row>
    <row r="299">
      <c r="E299" s="2"/>
      <c r="F299" s="2"/>
      <c r="I299" s="2"/>
      <c r="J299" s="2"/>
    </row>
    <row r="300">
      <c r="E300" s="2"/>
      <c r="F300" s="2"/>
      <c r="I300" s="2"/>
      <c r="J300" s="2"/>
    </row>
    <row r="301">
      <c r="E301" s="2"/>
      <c r="F301" s="2"/>
      <c r="I301" s="2"/>
      <c r="J301" s="2"/>
    </row>
    <row r="302">
      <c r="E302" s="2"/>
      <c r="F302" s="2"/>
      <c r="I302" s="2"/>
      <c r="J302" s="2"/>
    </row>
    <row r="303">
      <c r="E303" s="2"/>
      <c r="F303" s="2"/>
      <c r="I303" s="2"/>
      <c r="J303" s="2"/>
    </row>
    <row r="304">
      <c r="E304" s="2"/>
      <c r="F304" s="2"/>
      <c r="I304" s="2"/>
      <c r="J304" s="2"/>
    </row>
    <row r="305">
      <c r="E305" s="2"/>
      <c r="F305" s="2"/>
      <c r="I305" s="2"/>
      <c r="J305" s="2"/>
    </row>
    <row r="306">
      <c r="E306" s="2"/>
      <c r="F306" s="2"/>
      <c r="I306" s="2"/>
      <c r="J306" s="2"/>
    </row>
    <row r="307">
      <c r="E307" s="2"/>
      <c r="F307" s="2"/>
      <c r="I307" s="2"/>
      <c r="J307" s="2"/>
    </row>
    <row r="308">
      <c r="E308" s="2"/>
      <c r="F308" s="2"/>
      <c r="I308" s="2"/>
      <c r="J308" s="2"/>
    </row>
    <row r="309">
      <c r="E309" s="2"/>
      <c r="F309" s="2"/>
      <c r="I309" s="2"/>
      <c r="J309" s="2"/>
    </row>
    <row r="310">
      <c r="E310" s="2"/>
      <c r="F310" s="2"/>
      <c r="I310" s="2"/>
      <c r="J310" s="2"/>
    </row>
    <row r="311">
      <c r="E311" s="2"/>
      <c r="F311" s="2"/>
      <c r="I311" s="2"/>
      <c r="J311" s="2"/>
    </row>
    <row r="312">
      <c r="E312" s="2"/>
      <c r="F312" s="2"/>
      <c r="I312" s="2"/>
      <c r="J312" s="2"/>
    </row>
    <row r="313">
      <c r="E313" s="2"/>
      <c r="F313" s="2"/>
      <c r="I313" s="2"/>
      <c r="J313" s="2"/>
    </row>
    <row r="314">
      <c r="E314" s="2"/>
      <c r="F314" s="2"/>
      <c r="I314" s="2"/>
      <c r="J314" s="2"/>
    </row>
    <row r="315">
      <c r="E315" s="2"/>
      <c r="F315" s="2"/>
      <c r="I315" s="2"/>
      <c r="J315" s="2"/>
    </row>
    <row r="316">
      <c r="E316" s="2"/>
      <c r="F316" s="2"/>
      <c r="I316" s="2"/>
      <c r="J316" s="2"/>
    </row>
    <row r="317">
      <c r="E317" s="2"/>
      <c r="F317" s="2"/>
      <c r="I317" s="2"/>
      <c r="J317" s="2"/>
    </row>
    <row r="318">
      <c r="E318" s="2"/>
      <c r="F318" s="2"/>
      <c r="I318" s="2"/>
      <c r="J318" s="2"/>
    </row>
    <row r="319">
      <c r="E319" s="2"/>
      <c r="F319" s="2"/>
      <c r="I319" s="2"/>
      <c r="J319" s="2"/>
    </row>
    <row r="320">
      <c r="E320" s="2"/>
      <c r="F320" s="2"/>
      <c r="I320" s="2"/>
      <c r="J320" s="2"/>
    </row>
    <row r="321">
      <c r="E321" s="2"/>
      <c r="F321" s="2"/>
      <c r="I321" s="2"/>
      <c r="J321" s="2"/>
    </row>
    <row r="322">
      <c r="E322" s="2"/>
      <c r="F322" s="2"/>
      <c r="I322" s="2"/>
      <c r="J322" s="2"/>
    </row>
    <row r="323">
      <c r="E323" s="2"/>
      <c r="F323" s="2"/>
      <c r="I323" s="2"/>
      <c r="J323" s="2"/>
    </row>
    <row r="324">
      <c r="E324" s="2"/>
      <c r="F324" s="2"/>
      <c r="I324" s="2"/>
      <c r="J324" s="2"/>
    </row>
    <row r="325">
      <c r="E325" s="2"/>
      <c r="F325" s="2"/>
      <c r="I325" s="2"/>
      <c r="J325" s="2"/>
    </row>
    <row r="326">
      <c r="E326" s="2"/>
      <c r="F326" s="2"/>
      <c r="I326" s="2"/>
      <c r="J326" s="2"/>
    </row>
    <row r="327">
      <c r="E327" s="2"/>
      <c r="F327" s="2"/>
      <c r="I327" s="2"/>
      <c r="J327" s="2"/>
    </row>
    <row r="328">
      <c r="E328" s="2"/>
      <c r="F328" s="2"/>
      <c r="I328" s="2"/>
      <c r="J328" s="2"/>
    </row>
    <row r="329">
      <c r="E329" s="2"/>
      <c r="F329" s="2"/>
      <c r="I329" s="2"/>
      <c r="J329" s="2"/>
    </row>
    <row r="330">
      <c r="E330" s="2"/>
      <c r="F330" s="2"/>
      <c r="I330" s="2"/>
      <c r="J330" s="2"/>
    </row>
    <row r="331">
      <c r="E331" s="2"/>
      <c r="F331" s="2"/>
      <c r="I331" s="2"/>
      <c r="J331" s="2"/>
    </row>
    <row r="332">
      <c r="E332" s="2"/>
      <c r="F332" s="2"/>
      <c r="I332" s="2"/>
      <c r="J332" s="2"/>
    </row>
    <row r="333">
      <c r="E333" s="2"/>
      <c r="F333" s="2"/>
      <c r="I333" s="2"/>
      <c r="J333" s="2"/>
    </row>
    <row r="334">
      <c r="E334" s="2"/>
      <c r="F334" s="2"/>
      <c r="I334" s="2"/>
      <c r="J334" s="2"/>
    </row>
    <row r="335">
      <c r="E335" s="2"/>
      <c r="F335" s="2"/>
      <c r="I335" s="2"/>
      <c r="J335" s="2"/>
    </row>
    <row r="336">
      <c r="E336" s="2"/>
      <c r="F336" s="2"/>
      <c r="I336" s="2"/>
      <c r="J336" s="2"/>
    </row>
    <row r="337">
      <c r="E337" s="2"/>
      <c r="F337" s="2"/>
      <c r="I337" s="2"/>
      <c r="J337" s="2"/>
    </row>
    <row r="338">
      <c r="E338" s="2"/>
      <c r="F338" s="2"/>
      <c r="I338" s="2"/>
      <c r="J338" s="2"/>
    </row>
    <row r="339">
      <c r="E339" s="2"/>
      <c r="F339" s="2"/>
      <c r="I339" s="2"/>
      <c r="J339" s="2"/>
    </row>
    <row r="340">
      <c r="E340" s="2"/>
      <c r="F340" s="2"/>
      <c r="I340" s="2"/>
      <c r="J340" s="2"/>
    </row>
    <row r="341">
      <c r="E341" s="2"/>
      <c r="F341" s="2"/>
      <c r="I341" s="2"/>
      <c r="J341" s="2"/>
    </row>
    <row r="342">
      <c r="E342" s="2"/>
      <c r="F342" s="2"/>
      <c r="I342" s="2"/>
      <c r="J342" s="2"/>
    </row>
    <row r="343">
      <c r="E343" s="2"/>
      <c r="F343" s="2"/>
      <c r="I343" s="2"/>
      <c r="J343" s="2"/>
    </row>
    <row r="344">
      <c r="E344" s="2"/>
      <c r="F344" s="2"/>
      <c r="I344" s="2"/>
      <c r="J344" s="2"/>
    </row>
    <row r="345">
      <c r="E345" s="2"/>
      <c r="F345" s="2"/>
      <c r="I345" s="2"/>
      <c r="J345" s="2"/>
    </row>
    <row r="346">
      <c r="E346" s="2"/>
      <c r="F346" s="2"/>
      <c r="I346" s="2"/>
      <c r="J346" s="2"/>
    </row>
    <row r="347">
      <c r="E347" s="2"/>
      <c r="F347" s="2"/>
      <c r="I347" s="2"/>
      <c r="J347" s="2"/>
    </row>
    <row r="348">
      <c r="E348" s="2"/>
      <c r="F348" s="2"/>
      <c r="I348" s="2"/>
      <c r="J348" s="2"/>
    </row>
    <row r="349">
      <c r="E349" s="2"/>
      <c r="F349" s="2"/>
      <c r="I349" s="2"/>
      <c r="J349" s="2"/>
    </row>
    <row r="350">
      <c r="E350" s="2"/>
      <c r="F350" s="2"/>
      <c r="I350" s="2"/>
      <c r="J350" s="2"/>
    </row>
    <row r="351">
      <c r="E351" s="2"/>
      <c r="F351" s="2"/>
      <c r="I351" s="2"/>
      <c r="J351" s="2"/>
    </row>
    <row r="352">
      <c r="E352" s="2"/>
      <c r="F352" s="2"/>
      <c r="I352" s="2"/>
      <c r="J352" s="2"/>
    </row>
    <row r="353">
      <c r="E353" s="2"/>
      <c r="F353" s="2"/>
      <c r="I353" s="2"/>
      <c r="J353" s="2"/>
    </row>
    <row r="354">
      <c r="E354" s="2"/>
      <c r="F354" s="2"/>
      <c r="I354" s="2"/>
      <c r="J354" s="2"/>
    </row>
    <row r="355">
      <c r="E355" s="2"/>
      <c r="F355" s="2"/>
      <c r="I355" s="2"/>
      <c r="J355" s="2"/>
    </row>
    <row r="356">
      <c r="E356" s="2"/>
      <c r="F356" s="2"/>
      <c r="I356" s="2"/>
      <c r="J356" s="2"/>
    </row>
    <row r="357">
      <c r="E357" s="2"/>
      <c r="F357" s="2"/>
      <c r="I357" s="2"/>
      <c r="J357" s="2"/>
    </row>
    <row r="358">
      <c r="E358" s="2"/>
      <c r="F358" s="2"/>
      <c r="I358" s="2"/>
      <c r="J358" s="2"/>
    </row>
    <row r="359">
      <c r="E359" s="2"/>
      <c r="F359" s="2"/>
      <c r="I359" s="2"/>
      <c r="J359" s="2"/>
    </row>
    <row r="360">
      <c r="E360" s="2"/>
      <c r="F360" s="2"/>
      <c r="I360" s="2"/>
      <c r="J360" s="2"/>
    </row>
    <row r="361">
      <c r="E361" s="2"/>
      <c r="F361" s="2"/>
      <c r="I361" s="2"/>
      <c r="J361" s="2"/>
    </row>
    <row r="362">
      <c r="E362" s="2"/>
      <c r="F362" s="2"/>
      <c r="I362" s="2"/>
      <c r="J362" s="2"/>
    </row>
    <row r="363">
      <c r="E363" s="2"/>
      <c r="F363" s="2"/>
      <c r="I363" s="2"/>
      <c r="J363" s="2"/>
    </row>
    <row r="364">
      <c r="E364" s="2"/>
      <c r="F364" s="2"/>
      <c r="I364" s="2"/>
      <c r="J364" s="2"/>
    </row>
    <row r="365">
      <c r="E365" s="2"/>
      <c r="F365" s="2"/>
      <c r="I365" s="2"/>
      <c r="J365" s="2"/>
    </row>
    <row r="366">
      <c r="E366" s="2"/>
      <c r="F366" s="2"/>
      <c r="I366" s="2"/>
      <c r="J366" s="2"/>
    </row>
    <row r="367">
      <c r="E367" s="2"/>
      <c r="F367" s="2"/>
      <c r="I367" s="2"/>
      <c r="J367" s="2"/>
    </row>
    <row r="368">
      <c r="E368" s="2"/>
      <c r="F368" s="2"/>
      <c r="I368" s="2"/>
      <c r="J368" s="2"/>
    </row>
    <row r="369">
      <c r="E369" s="2"/>
      <c r="F369" s="2"/>
      <c r="I369" s="2"/>
      <c r="J369" s="2"/>
    </row>
    <row r="370">
      <c r="E370" s="2"/>
      <c r="F370" s="2"/>
      <c r="I370" s="2"/>
      <c r="J370" s="2"/>
    </row>
    <row r="371">
      <c r="E371" s="2"/>
      <c r="F371" s="2"/>
      <c r="I371" s="2"/>
      <c r="J371" s="2"/>
    </row>
    <row r="372">
      <c r="E372" s="2"/>
      <c r="F372" s="2"/>
      <c r="I372" s="2"/>
      <c r="J372" s="2"/>
    </row>
    <row r="373">
      <c r="E373" s="2"/>
      <c r="F373" s="2"/>
      <c r="I373" s="2"/>
      <c r="J373" s="2"/>
    </row>
    <row r="374">
      <c r="E374" s="2"/>
      <c r="F374" s="2"/>
      <c r="I374" s="2"/>
      <c r="J374" s="2"/>
    </row>
    <row r="375">
      <c r="E375" s="2"/>
      <c r="F375" s="2"/>
      <c r="I375" s="2"/>
      <c r="J375" s="2"/>
    </row>
    <row r="376">
      <c r="E376" s="2"/>
      <c r="F376" s="2"/>
      <c r="I376" s="2"/>
      <c r="J376" s="2"/>
    </row>
    <row r="377">
      <c r="E377" s="2"/>
      <c r="F377" s="2"/>
      <c r="I377" s="2"/>
      <c r="J377" s="2"/>
    </row>
    <row r="378">
      <c r="E378" s="2"/>
      <c r="F378" s="2"/>
      <c r="I378" s="2"/>
      <c r="J378" s="2"/>
    </row>
    <row r="379">
      <c r="E379" s="2"/>
      <c r="F379" s="2"/>
      <c r="I379" s="2"/>
      <c r="J379" s="2"/>
    </row>
    <row r="380">
      <c r="E380" s="2"/>
      <c r="F380" s="2"/>
      <c r="I380" s="2"/>
      <c r="J380" s="2"/>
    </row>
    <row r="381">
      <c r="E381" s="2"/>
      <c r="F381" s="2"/>
      <c r="I381" s="2"/>
      <c r="J381" s="2"/>
    </row>
    <row r="382">
      <c r="E382" s="2"/>
      <c r="F382" s="2"/>
      <c r="I382" s="2"/>
      <c r="J382" s="2"/>
    </row>
    <row r="383">
      <c r="E383" s="2"/>
      <c r="F383" s="2"/>
      <c r="I383" s="2"/>
      <c r="J383" s="2"/>
    </row>
    <row r="384">
      <c r="E384" s="2"/>
      <c r="F384" s="2"/>
      <c r="I384" s="2"/>
      <c r="J384" s="2"/>
    </row>
    <row r="385">
      <c r="E385" s="2"/>
      <c r="F385" s="2"/>
      <c r="I385" s="2"/>
      <c r="J385" s="2"/>
    </row>
    <row r="386">
      <c r="E386" s="2"/>
      <c r="F386" s="2"/>
      <c r="I386" s="2"/>
      <c r="J386" s="2"/>
    </row>
    <row r="387">
      <c r="E387" s="2"/>
      <c r="F387" s="2"/>
      <c r="I387" s="2"/>
      <c r="J387" s="2"/>
    </row>
    <row r="388">
      <c r="E388" s="2"/>
      <c r="F388" s="2"/>
      <c r="I388" s="2"/>
      <c r="J388" s="2"/>
    </row>
    <row r="389">
      <c r="E389" s="2"/>
      <c r="F389" s="2"/>
      <c r="I389" s="2"/>
      <c r="J389" s="2"/>
    </row>
    <row r="390">
      <c r="E390" s="2"/>
      <c r="F390" s="2"/>
      <c r="I390" s="2"/>
      <c r="J390" s="2"/>
    </row>
    <row r="391">
      <c r="E391" s="2"/>
      <c r="F391" s="2"/>
      <c r="I391" s="2"/>
      <c r="J391" s="2"/>
    </row>
    <row r="392">
      <c r="E392" s="2"/>
      <c r="F392" s="2"/>
      <c r="I392" s="2"/>
      <c r="J392" s="2"/>
    </row>
    <row r="393">
      <c r="E393" s="2"/>
      <c r="F393" s="2"/>
      <c r="I393" s="2"/>
      <c r="J393" s="2"/>
    </row>
    <row r="394">
      <c r="E394" s="2"/>
      <c r="F394" s="2"/>
      <c r="I394" s="2"/>
      <c r="J394" s="2"/>
    </row>
    <row r="395">
      <c r="E395" s="2"/>
      <c r="F395" s="2"/>
      <c r="I395" s="2"/>
      <c r="J395" s="2"/>
    </row>
    <row r="396">
      <c r="E396" s="2"/>
      <c r="F396" s="2"/>
      <c r="I396" s="2"/>
      <c r="J396" s="2"/>
    </row>
    <row r="397">
      <c r="E397" s="2"/>
      <c r="F397" s="2"/>
      <c r="I397" s="2"/>
      <c r="J397" s="2"/>
    </row>
    <row r="398">
      <c r="E398" s="2"/>
      <c r="F398" s="2"/>
      <c r="I398" s="2"/>
      <c r="J398" s="2"/>
    </row>
    <row r="399">
      <c r="E399" s="2"/>
      <c r="F399" s="2"/>
      <c r="I399" s="2"/>
      <c r="J399" s="2"/>
    </row>
    <row r="400">
      <c r="E400" s="2"/>
      <c r="F400" s="2"/>
      <c r="I400" s="2"/>
      <c r="J400" s="2"/>
    </row>
    <row r="401">
      <c r="E401" s="2"/>
      <c r="F401" s="2"/>
      <c r="I401" s="2"/>
      <c r="J401" s="2"/>
    </row>
    <row r="402">
      <c r="E402" s="2"/>
      <c r="F402" s="2"/>
      <c r="I402" s="2"/>
      <c r="J402" s="2"/>
    </row>
    <row r="403">
      <c r="E403" s="2"/>
      <c r="F403" s="2"/>
      <c r="I403" s="2"/>
      <c r="J403" s="2"/>
    </row>
    <row r="404">
      <c r="E404" s="2"/>
      <c r="F404" s="2"/>
      <c r="I404" s="2"/>
      <c r="J404" s="2"/>
    </row>
    <row r="405">
      <c r="E405" s="2"/>
      <c r="F405" s="2"/>
      <c r="I405" s="2"/>
      <c r="J405" s="2"/>
    </row>
    <row r="406">
      <c r="E406" s="2"/>
      <c r="F406" s="2"/>
      <c r="I406" s="2"/>
      <c r="J406" s="2"/>
    </row>
    <row r="407">
      <c r="E407" s="2"/>
      <c r="F407" s="2"/>
      <c r="I407" s="2"/>
      <c r="J407" s="2"/>
    </row>
    <row r="408">
      <c r="E408" s="2"/>
      <c r="F408" s="2"/>
      <c r="I408" s="2"/>
      <c r="J408" s="2"/>
    </row>
    <row r="409">
      <c r="E409" s="2"/>
      <c r="F409" s="2"/>
      <c r="I409" s="2"/>
      <c r="J409" s="2"/>
    </row>
    <row r="410">
      <c r="E410" s="2"/>
      <c r="F410" s="2"/>
      <c r="I410" s="2"/>
      <c r="J410" s="2"/>
    </row>
    <row r="411">
      <c r="E411" s="2"/>
      <c r="F411" s="2"/>
      <c r="I411" s="2"/>
      <c r="J411" s="2"/>
    </row>
    <row r="412">
      <c r="E412" s="2"/>
      <c r="F412" s="2"/>
      <c r="I412" s="2"/>
      <c r="J412" s="2"/>
    </row>
    <row r="413">
      <c r="E413" s="2"/>
      <c r="F413" s="2"/>
      <c r="I413" s="2"/>
      <c r="J413" s="2"/>
    </row>
    <row r="414">
      <c r="E414" s="2"/>
      <c r="F414" s="2"/>
      <c r="I414" s="2"/>
      <c r="J414" s="2"/>
    </row>
    <row r="415">
      <c r="E415" s="2"/>
      <c r="F415" s="2"/>
      <c r="I415" s="2"/>
      <c r="J415" s="2"/>
    </row>
    <row r="416">
      <c r="E416" s="2"/>
      <c r="F416" s="2"/>
      <c r="I416" s="2"/>
      <c r="J416" s="2"/>
    </row>
    <row r="417">
      <c r="E417" s="2"/>
      <c r="F417" s="2"/>
      <c r="I417" s="2"/>
      <c r="J417" s="2"/>
    </row>
    <row r="418">
      <c r="E418" s="2"/>
      <c r="F418" s="2"/>
      <c r="I418" s="2"/>
      <c r="J418" s="2"/>
    </row>
    <row r="419">
      <c r="E419" s="2"/>
      <c r="F419" s="2"/>
      <c r="I419" s="2"/>
      <c r="J419" s="2"/>
    </row>
    <row r="420">
      <c r="E420" s="2"/>
      <c r="F420" s="2"/>
      <c r="I420" s="2"/>
      <c r="J420" s="2"/>
    </row>
    <row r="421">
      <c r="E421" s="2"/>
      <c r="F421" s="2"/>
      <c r="I421" s="2"/>
      <c r="J421" s="2"/>
    </row>
    <row r="422">
      <c r="E422" s="2"/>
      <c r="F422" s="2"/>
      <c r="I422" s="2"/>
      <c r="J422" s="2"/>
    </row>
    <row r="423">
      <c r="E423" s="2"/>
      <c r="F423" s="2"/>
      <c r="I423" s="2"/>
      <c r="J423" s="2"/>
    </row>
    <row r="424">
      <c r="E424" s="2"/>
      <c r="F424" s="2"/>
      <c r="I424" s="2"/>
      <c r="J424" s="2"/>
    </row>
    <row r="425">
      <c r="E425" s="2"/>
      <c r="F425" s="2"/>
      <c r="I425" s="2"/>
      <c r="J425" s="2"/>
    </row>
    <row r="426">
      <c r="E426" s="2"/>
      <c r="F426" s="2"/>
      <c r="I426" s="2"/>
      <c r="J426" s="2"/>
    </row>
    <row r="427">
      <c r="E427" s="2"/>
      <c r="F427" s="2"/>
      <c r="I427" s="2"/>
      <c r="J427" s="2"/>
    </row>
    <row r="428">
      <c r="E428" s="2"/>
      <c r="F428" s="2"/>
      <c r="I428" s="2"/>
      <c r="J428" s="2"/>
    </row>
    <row r="429">
      <c r="E429" s="2"/>
      <c r="F429" s="2"/>
      <c r="I429" s="2"/>
      <c r="J429" s="2"/>
    </row>
    <row r="430">
      <c r="E430" s="2"/>
      <c r="F430" s="2"/>
      <c r="I430" s="2"/>
      <c r="J430" s="2"/>
    </row>
    <row r="431">
      <c r="E431" s="2"/>
      <c r="F431" s="2"/>
      <c r="I431" s="2"/>
      <c r="J431" s="2"/>
    </row>
    <row r="432">
      <c r="E432" s="2"/>
      <c r="F432" s="2"/>
      <c r="I432" s="2"/>
      <c r="J432" s="2"/>
    </row>
    <row r="433">
      <c r="E433" s="2"/>
      <c r="F433" s="2"/>
      <c r="I433" s="2"/>
      <c r="J433" s="2"/>
    </row>
    <row r="434">
      <c r="E434" s="2"/>
      <c r="F434" s="2"/>
      <c r="I434" s="2"/>
      <c r="J434" s="2"/>
    </row>
    <row r="435">
      <c r="E435" s="2"/>
      <c r="F435" s="2"/>
      <c r="I435" s="2"/>
      <c r="J435" s="2"/>
    </row>
    <row r="436">
      <c r="E436" s="2"/>
      <c r="F436" s="2"/>
      <c r="I436" s="2"/>
      <c r="J436" s="2"/>
    </row>
    <row r="437">
      <c r="E437" s="2"/>
      <c r="F437" s="2"/>
      <c r="I437" s="2"/>
      <c r="J437" s="2"/>
    </row>
    <row r="438">
      <c r="E438" s="2"/>
      <c r="F438" s="2"/>
      <c r="I438" s="2"/>
      <c r="J438" s="2"/>
    </row>
    <row r="439">
      <c r="E439" s="2"/>
      <c r="F439" s="2"/>
      <c r="I439" s="2"/>
      <c r="J439" s="2"/>
    </row>
    <row r="440">
      <c r="E440" s="2"/>
      <c r="F440" s="2"/>
      <c r="I440" s="2"/>
      <c r="J440" s="2"/>
    </row>
    <row r="441">
      <c r="E441" s="2"/>
      <c r="F441" s="2"/>
      <c r="I441" s="2"/>
      <c r="J441" s="2"/>
    </row>
    <row r="442">
      <c r="E442" s="2"/>
      <c r="F442" s="2"/>
      <c r="I442" s="2"/>
      <c r="J442" s="2"/>
    </row>
    <row r="443">
      <c r="E443" s="2"/>
      <c r="F443" s="2"/>
      <c r="I443" s="2"/>
      <c r="J443" s="2"/>
    </row>
    <row r="444">
      <c r="E444" s="2"/>
      <c r="F444" s="2"/>
      <c r="I444" s="2"/>
      <c r="J444" s="2"/>
    </row>
    <row r="445">
      <c r="E445" s="2"/>
      <c r="F445" s="2"/>
      <c r="I445" s="2"/>
      <c r="J445" s="2"/>
    </row>
    <row r="446">
      <c r="E446" s="2"/>
      <c r="F446" s="2"/>
      <c r="I446" s="2"/>
      <c r="J446" s="2"/>
    </row>
    <row r="447">
      <c r="E447" s="2"/>
      <c r="F447" s="2"/>
      <c r="I447" s="2"/>
      <c r="J447" s="2"/>
    </row>
    <row r="448">
      <c r="E448" s="2"/>
      <c r="F448" s="2"/>
      <c r="I448" s="2"/>
      <c r="J448" s="2"/>
    </row>
    <row r="449">
      <c r="E449" s="2"/>
      <c r="F449" s="2"/>
      <c r="I449" s="2"/>
      <c r="J449" s="2"/>
    </row>
    <row r="450">
      <c r="E450" s="2"/>
      <c r="F450" s="2"/>
      <c r="I450" s="2"/>
      <c r="J450" s="2"/>
    </row>
    <row r="451">
      <c r="E451" s="2"/>
      <c r="F451" s="2"/>
      <c r="I451" s="2"/>
      <c r="J451" s="2"/>
    </row>
    <row r="452">
      <c r="E452" s="2"/>
      <c r="F452" s="2"/>
      <c r="I452" s="2"/>
      <c r="J452" s="2"/>
    </row>
    <row r="453">
      <c r="E453" s="2"/>
      <c r="F453" s="2"/>
      <c r="I453" s="2"/>
      <c r="J453" s="2"/>
    </row>
    <row r="454">
      <c r="E454" s="2"/>
      <c r="F454" s="2"/>
      <c r="I454" s="2"/>
      <c r="J454" s="2"/>
    </row>
    <row r="455">
      <c r="E455" s="2"/>
      <c r="F455" s="2"/>
      <c r="I455" s="2"/>
      <c r="J455" s="2"/>
    </row>
    <row r="456">
      <c r="E456" s="2"/>
      <c r="F456" s="2"/>
      <c r="I456" s="2"/>
      <c r="J456" s="2"/>
    </row>
    <row r="457">
      <c r="E457" s="2"/>
      <c r="F457" s="2"/>
      <c r="I457" s="2"/>
      <c r="J457" s="2"/>
    </row>
    <row r="458">
      <c r="E458" s="2"/>
      <c r="F458" s="2"/>
      <c r="I458" s="2"/>
      <c r="J458" s="2"/>
    </row>
    <row r="459">
      <c r="E459" s="2"/>
      <c r="F459" s="2"/>
      <c r="I459" s="2"/>
      <c r="J459" s="2"/>
    </row>
    <row r="460">
      <c r="E460" s="2"/>
      <c r="F460" s="2"/>
      <c r="I460" s="2"/>
      <c r="J460" s="2"/>
    </row>
    <row r="461">
      <c r="E461" s="2"/>
      <c r="F461" s="2"/>
      <c r="I461" s="2"/>
      <c r="J461" s="2"/>
    </row>
    <row r="462">
      <c r="E462" s="2"/>
      <c r="F462" s="2"/>
      <c r="I462" s="2"/>
      <c r="J462" s="2"/>
    </row>
    <row r="463">
      <c r="E463" s="2"/>
      <c r="F463" s="2"/>
      <c r="I463" s="2"/>
      <c r="J463" s="2"/>
    </row>
    <row r="464">
      <c r="E464" s="2"/>
      <c r="F464" s="2"/>
      <c r="I464" s="2"/>
      <c r="J464" s="2"/>
    </row>
    <row r="465">
      <c r="E465" s="2"/>
      <c r="F465" s="2"/>
      <c r="I465" s="2"/>
      <c r="J465" s="2"/>
    </row>
    <row r="466">
      <c r="E466" s="2"/>
      <c r="F466" s="2"/>
      <c r="I466" s="2"/>
      <c r="J466" s="2"/>
    </row>
    <row r="467">
      <c r="E467" s="2"/>
      <c r="F467" s="2"/>
      <c r="I467" s="2"/>
      <c r="J467" s="2"/>
    </row>
    <row r="468">
      <c r="E468" s="2"/>
      <c r="F468" s="2"/>
      <c r="I468" s="2"/>
      <c r="J468" s="2"/>
    </row>
    <row r="469">
      <c r="E469" s="2"/>
      <c r="F469" s="2"/>
      <c r="I469" s="2"/>
      <c r="J469" s="2"/>
    </row>
    <row r="470">
      <c r="E470" s="2"/>
      <c r="F470" s="2"/>
      <c r="I470" s="2"/>
      <c r="J470" s="2"/>
    </row>
    <row r="471">
      <c r="E471" s="2"/>
      <c r="F471" s="2"/>
      <c r="I471" s="2"/>
      <c r="J471" s="2"/>
    </row>
    <row r="472">
      <c r="E472" s="2"/>
      <c r="F472" s="2"/>
      <c r="I472" s="2"/>
      <c r="J472" s="2"/>
    </row>
    <row r="473">
      <c r="E473" s="2"/>
      <c r="F473" s="2"/>
      <c r="I473" s="2"/>
      <c r="J473" s="2"/>
    </row>
    <row r="474">
      <c r="E474" s="2"/>
      <c r="F474" s="2"/>
      <c r="I474" s="2"/>
      <c r="J474" s="2"/>
    </row>
    <row r="475">
      <c r="E475" s="2"/>
      <c r="F475" s="2"/>
      <c r="I475" s="2"/>
      <c r="J475" s="2"/>
    </row>
    <row r="476">
      <c r="E476" s="2"/>
      <c r="F476" s="2"/>
      <c r="I476" s="2"/>
      <c r="J476" s="2"/>
    </row>
    <row r="477">
      <c r="E477" s="2"/>
      <c r="F477" s="2"/>
      <c r="I477" s="2"/>
      <c r="J477" s="2"/>
    </row>
    <row r="478">
      <c r="E478" s="2"/>
      <c r="F478" s="2"/>
      <c r="I478" s="2"/>
      <c r="J478" s="2"/>
    </row>
    <row r="479">
      <c r="E479" s="2"/>
      <c r="F479" s="2"/>
      <c r="I479" s="2"/>
      <c r="J479" s="2"/>
    </row>
    <row r="480">
      <c r="E480" s="2"/>
      <c r="F480" s="2"/>
      <c r="I480" s="2"/>
      <c r="J480" s="2"/>
    </row>
    <row r="481">
      <c r="E481" s="2"/>
      <c r="F481" s="2"/>
      <c r="I481" s="2"/>
      <c r="J481" s="2"/>
    </row>
    <row r="482">
      <c r="E482" s="2"/>
      <c r="F482" s="2"/>
      <c r="I482" s="2"/>
      <c r="J482" s="2"/>
    </row>
    <row r="483">
      <c r="E483" s="2"/>
      <c r="F483" s="2"/>
      <c r="I483" s="2"/>
      <c r="J483" s="2"/>
    </row>
    <row r="484">
      <c r="E484" s="2"/>
      <c r="F484" s="2"/>
      <c r="I484" s="2"/>
      <c r="J484" s="2"/>
    </row>
    <row r="485">
      <c r="E485" s="2"/>
      <c r="F485" s="2"/>
      <c r="I485" s="2"/>
      <c r="J485" s="2"/>
    </row>
    <row r="486">
      <c r="E486" s="2"/>
      <c r="F486" s="2"/>
      <c r="I486" s="2"/>
      <c r="J486" s="2"/>
    </row>
    <row r="487">
      <c r="E487" s="2"/>
      <c r="F487" s="2"/>
      <c r="I487" s="2"/>
      <c r="J487" s="2"/>
    </row>
    <row r="488">
      <c r="E488" s="2"/>
      <c r="F488" s="2"/>
      <c r="I488" s="2"/>
      <c r="J488" s="2"/>
    </row>
    <row r="489">
      <c r="E489" s="2"/>
      <c r="F489" s="2"/>
      <c r="I489" s="2"/>
      <c r="J489" s="2"/>
    </row>
    <row r="490">
      <c r="E490" s="2"/>
      <c r="F490" s="2"/>
      <c r="I490" s="2"/>
      <c r="J490" s="2"/>
    </row>
    <row r="491">
      <c r="E491" s="2"/>
      <c r="F491" s="2"/>
      <c r="I491" s="2"/>
      <c r="J491" s="2"/>
    </row>
    <row r="492">
      <c r="E492" s="2"/>
      <c r="F492" s="2"/>
      <c r="I492" s="2"/>
      <c r="J492" s="2"/>
    </row>
    <row r="493">
      <c r="E493" s="2"/>
      <c r="F493" s="2"/>
      <c r="I493" s="2"/>
      <c r="J493" s="2"/>
    </row>
    <row r="494">
      <c r="E494" s="2"/>
      <c r="F494" s="2"/>
      <c r="I494" s="2"/>
      <c r="J494" s="2"/>
    </row>
    <row r="495">
      <c r="E495" s="2"/>
      <c r="F495" s="2"/>
      <c r="I495" s="2"/>
      <c r="J495" s="2"/>
    </row>
    <row r="496">
      <c r="E496" s="2"/>
      <c r="F496" s="2"/>
      <c r="I496" s="2"/>
      <c r="J496" s="2"/>
    </row>
    <row r="497">
      <c r="E497" s="2"/>
      <c r="F497" s="2"/>
      <c r="I497" s="2"/>
      <c r="J497" s="2"/>
    </row>
    <row r="498">
      <c r="E498" s="2"/>
      <c r="F498" s="2"/>
      <c r="I498" s="2"/>
      <c r="J498" s="2"/>
    </row>
    <row r="499">
      <c r="E499" s="2"/>
      <c r="F499" s="2"/>
      <c r="I499" s="2"/>
      <c r="J499" s="2"/>
    </row>
    <row r="500">
      <c r="E500" s="2"/>
      <c r="F500" s="2"/>
      <c r="I500" s="2"/>
      <c r="J500" s="2"/>
    </row>
    <row r="501">
      <c r="E501" s="2"/>
      <c r="F501" s="2"/>
      <c r="I501" s="2"/>
      <c r="J501" s="2"/>
    </row>
    <row r="502">
      <c r="E502" s="2"/>
      <c r="F502" s="2"/>
      <c r="I502" s="2"/>
      <c r="J502" s="2"/>
    </row>
    <row r="503">
      <c r="E503" s="2"/>
      <c r="F503" s="2"/>
      <c r="I503" s="2"/>
      <c r="J503" s="2"/>
    </row>
    <row r="504">
      <c r="E504" s="2"/>
      <c r="F504" s="2"/>
      <c r="I504" s="2"/>
      <c r="J504" s="2"/>
    </row>
    <row r="505">
      <c r="E505" s="2"/>
      <c r="F505" s="2"/>
      <c r="I505" s="2"/>
      <c r="J505" s="2"/>
    </row>
    <row r="506">
      <c r="E506" s="2"/>
      <c r="F506" s="2"/>
      <c r="I506" s="2"/>
      <c r="J506" s="2"/>
    </row>
    <row r="507">
      <c r="E507" s="2"/>
      <c r="F507" s="2"/>
      <c r="I507" s="2"/>
      <c r="J507" s="2"/>
    </row>
    <row r="508">
      <c r="E508" s="2"/>
      <c r="F508" s="2"/>
      <c r="I508" s="2"/>
      <c r="J508" s="2"/>
    </row>
    <row r="509">
      <c r="E509" s="2"/>
      <c r="F509" s="2"/>
      <c r="I509" s="2"/>
      <c r="J509" s="2"/>
    </row>
    <row r="510">
      <c r="E510" s="2"/>
      <c r="F510" s="2"/>
      <c r="I510" s="2"/>
      <c r="J510" s="2"/>
    </row>
    <row r="511">
      <c r="E511" s="2"/>
      <c r="F511" s="2"/>
      <c r="I511" s="2"/>
      <c r="J511" s="2"/>
    </row>
    <row r="512">
      <c r="E512" s="2"/>
      <c r="F512" s="2"/>
      <c r="I512" s="2"/>
      <c r="J512" s="2"/>
    </row>
    <row r="513">
      <c r="E513" s="2"/>
      <c r="F513" s="2"/>
      <c r="I513" s="2"/>
      <c r="J513" s="2"/>
    </row>
    <row r="514">
      <c r="E514" s="2"/>
      <c r="F514" s="2"/>
      <c r="I514" s="2"/>
      <c r="J514" s="2"/>
    </row>
    <row r="515">
      <c r="E515" s="2"/>
      <c r="F515" s="2"/>
      <c r="I515" s="2"/>
      <c r="J515" s="2"/>
    </row>
    <row r="516">
      <c r="E516" s="2"/>
      <c r="F516" s="2"/>
      <c r="I516" s="2"/>
      <c r="J516" s="2"/>
    </row>
    <row r="517">
      <c r="E517" s="2"/>
      <c r="F517" s="2"/>
      <c r="I517" s="2"/>
      <c r="J517" s="2"/>
    </row>
    <row r="518">
      <c r="E518" s="2"/>
      <c r="F518" s="2"/>
      <c r="I518" s="2"/>
      <c r="J518" s="2"/>
    </row>
    <row r="519">
      <c r="E519" s="2"/>
      <c r="F519" s="2"/>
      <c r="I519" s="2"/>
      <c r="J519" s="2"/>
    </row>
    <row r="520">
      <c r="E520" s="2"/>
      <c r="F520" s="2"/>
      <c r="I520" s="2"/>
      <c r="J520" s="2"/>
    </row>
    <row r="521">
      <c r="E521" s="2"/>
      <c r="F521" s="2"/>
      <c r="I521" s="2"/>
      <c r="J521" s="2"/>
    </row>
    <row r="522">
      <c r="E522" s="2"/>
      <c r="F522" s="2"/>
      <c r="I522" s="2"/>
      <c r="J522" s="2"/>
    </row>
    <row r="523">
      <c r="E523" s="2"/>
      <c r="F523" s="2"/>
      <c r="I523" s="2"/>
      <c r="J523" s="2"/>
    </row>
    <row r="524">
      <c r="E524" s="2"/>
      <c r="F524" s="2"/>
      <c r="I524" s="2"/>
      <c r="J524" s="2"/>
    </row>
    <row r="525">
      <c r="E525" s="2"/>
      <c r="F525" s="2"/>
      <c r="I525" s="2"/>
      <c r="J525" s="2"/>
    </row>
    <row r="526">
      <c r="E526" s="2"/>
      <c r="F526" s="2"/>
      <c r="I526" s="2"/>
      <c r="J526" s="2"/>
    </row>
    <row r="527">
      <c r="E527" s="2"/>
      <c r="F527" s="2"/>
      <c r="I527" s="2"/>
      <c r="J527" s="2"/>
    </row>
    <row r="528">
      <c r="E528" s="2"/>
      <c r="F528" s="2"/>
      <c r="I528" s="2"/>
      <c r="J528" s="2"/>
    </row>
    <row r="529">
      <c r="E529" s="2"/>
      <c r="F529" s="2"/>
      <c r="I529" s="2"/>
      <c r="J529" s="2"/>
    </row>
    <row r="530">
      <c r="E530" s="2"/>
      <c r="F530" s="2"/>
      <c r="I530" s="2"/>
      <c r="J530" s="2"/>
    </row>
    <row r="531">
      <c r="E531" s="2"/>
      <c r="F531" s="2"/>
      <c r="I531" s="2"/>
      <c r="J531" s="2"/>
    </row>
    <row r="532">
      <c r="E532" s="2"/>
      <c r="F532" s="2"/>
      <c r="I532" s="2"/>
      <c r="J532" s="2"/>
    </row>
    <row r="533">
      <c r="E533" s="2"/>
      <c r="F533" s="2"/>
      <c r="I533" s="2"/>
      <c r="J533" s="2"/>
    </row>
    <row r="534">
      <c r="E534" s="2"/>
      <c r="F534" s="2"/>
      <c r="I534" s="2"/>
      <c r="J534" s="2"/>
    </row>
    <row r="535">
      <c r="E535" s="2"/>
      <c r="F535" s="2"/>
      <c r="I535" s="2"/>
      <c r="J535" s="2"/>
    </row>
    <row r="536">
      <c r="E536" s="2"/>
      <c r="F536" s="2"/>
      <c r="I536" s="2"/>
      <c r="J536" s="2"/>
    </row>
    <row r="537">
      <c r="E537" s="2"/>
      <c r="F537" s="2"/>
      <c r="I537" s="2"/>
      <c r="J537" s="2"/>
    </row>
    <row r="538">
      <c r="E538" s="2"/>
      <c r="F538" s="2"/>
      <c r="I538" s="2"/>
      <c r="J538" s="2"/>
    </row>
    <row r="539">
      <c r="E539" s="2"/>
      <c r="F539" s="2"/>
      <c r="I539" s="2"/>
      <c r="J539" s="2"/>
    </row>
    <row r="540">
      <c r="E540" s="2"/>
      <c r="F540" s="2"/>
      <c r="I540" s="2"/>
      <c r="J540" s="2"/>
    </row>
    <row r="541">
      <c r="E541" s="2"/>
      <c r="F541" s="2"/>
      <c r="I541" s="2"/>
      <c r="J541" s="2"/>
    </row>
    <row r="542">
      <c r="E542" s="2"/>
      <c r="F542" s="2"/>
      <c r="I542" s="2"/>
      <c r="J542" s="2"/>
    </row>
    <row r="543">
      <c r="E543" s="2"/>
      <c r="F543" s="2"/>
      <c r="I543" s="2"/>
      <c r="J543" s="2"/>
    </row>
    <row r="544">
      <c r="E544" s="2"/>
      <c r="F544" s="2"/>
      <c r="I544" s="2"/>
      <c r="J544" s="2"/>
    </row>
    <row r="545">
      <c r="E545" s="2"/>
      <c r="F545" s="2"/>
      <c r="I545" s="2"/>
      <c r="J545" s="2"/>
    </row>
    <row r="546">
      <c r="E546" s="2"/>
      <c r="F546" s="2"/>
      <c r="I546" s="2"/>
      <c r="J546" s="2"/>
    </row>
    <row r="547">
      <c r="E547" s="2"/>
      <c r="F547" s="2"/>
      <c r="I547" s="2"/>
      <c r="J547" s="2"/>
    </row>
    <row r="548">
      <c r="E548" s="2"/>
      <c r="F548" s="2"/>
      <c r="I548" s="2"/>
      <c r="J548" s="2"/>
    </row>
    <row r="549">
      <c r="E549" s="2"/>
      <c r="F549" s="2"/>
      <c r="I549" s="2"/>
      <c r="J549" s="2"/>
    </row>
    <row r="550">
      <c r="E550" s="2"/>
      <c r="F550" s="2"/>
      <c r="I550" s="2"/>
      <c r="J550" s="2"/>
    </row>
    <row r="551">
      <c r="E551" s="2"/>
      <c r="F551" s="2"/>
      <c r="I551" s="2"/>
      <c r="J551" s="2"/>
    </row>
    <row r="552">
      <c r="E552" s="2"/>
      <c r="F552" s="2"/>
      <c r="I552" s="2"/>
      <c r="J552" s="2"/>
    </row>
    <row r="553">
      <c r="E553" s="2"/>
      <c r="F553" s="2"/>
      <c r="I553" s="2"/>
      <c r="J553" s="2"/>
    </row>
    <row r="554">
      <c r="E554" s="2"/>
      <c r="F554" s="2"/>
      <c r="I554" s="2"/>
      <c r="J554" s="2"/>
    </row>
    <row r="555">
      <c r="E555" s="2"/>
      <c r="F555" s="2"/>
      <c r="I555" s="2"/>
      <c r="J555" s="2"/>
    </row>
    <row r="556">
      <c r="E556" s="2"/>
      <c r="F556" s="2"/>
      <c r="I556" s="2"/>
      <c r="J556" s="2"/>
    </row>
    <row r="557">
      <c r="E557" s="2"/>
      <c r="F557" s="2"/>
      <c r="I557" s="2"/>
      <c r="J557" s="2"/>
    </row>
    <row r="558">
      <c r="E558" s="2"/>
      <c r="F558" s="2"/>
      <c r="I558" s="2"/>
      <c r="J558" s="2"/>
    </row>
    <row r="559">
      <c r="E559" s="2"/>
      <c r="F559" s="2"/>
      <c r="I559" s="2"/>
      <c r="J559" s="2"/>
    </row>
    <row r="560">
      <c r="E560" s="2"/>
      <c r="F560" s="2"/>
      <c r="I560" s="2"/>
      <c r="J560" s="2"/>
    </row>
    <row r="561">
      <c r="E561" s="2"/>
      <c r="F561" s="2"/>
      <c r="I561" s="2"/>
      <c r="J561" s="2"/>
    </row>
    <row r="562">
      <c r="E562" s="2"/>
      <c r="F562" s="2"/>
      <c r="I562" s="2"/>
      <c r="J562" s="2"/>
    </row>
    <row r="563">
      <c r="E563" s="2"/>
      <c r="F563" s="2"/>
      <c r="I563" s="2"/>
      <c r="J563" s="2"/>
    </row>
    <row r="564">
      <c r="E564" s="2"/>
      <c r="F564" s="2"/>
      <c r="I564" s="2"/>
      <c r="J564" s="2"/>
    </row>
    <row r="565">
      <c r="E565" s="2"/>
      <c r="F565" s="2"/>
      <c r="I565" s="2"/>
      <c r="J565" s="2"/>
    </row>
    <row r="566">
      <c r="E566" s="2"/>
      <c r="F566" s="2"/>
      <c r="I566" s="2"/>
      <c r="J566" s="2"/>
    </row>
    <row r="567">
      <c r="E567" s="2"/>
      <c r="F567" s="2"/>
      <c r="I567" s="2"/>
      <c r="J567" s="2"/>
    </row>
    <row r="568">
      <c r="E568" s="2"/>
      <c r="F568" s="2"/>
      <c r="I568" s="2"/>
      <c r="J568" s="2"/>
    </row>
    <row r="569">
      <c r="E569" s="2"/>
      <c r="F569" s="2"/>
      <c r="I569" s="2"/>
      <c r="J569" s="2"/>
    </row>
    <row r="570">
      <c r="E570" s="2"/>
      <c r="F570" s="2"/>
      <c r="I570" s="2"/>
      <c r="J570" s="2"/>
    </row>
    <row r="571">
      <c r="E571" s="2"/>
      <c r="F571" s="2"/>
      <c r="I571" s="2"/>
      <c r="J571" s="2"/>
    </row>
    <row r="572">
      <c r="E572" s="2"/>
      <c r="F572" s="2"/>
      <c r="I572" s="2"/>
      <c r="J572" s="2"/>
    </row>
    <row r="573">
      <c r="E573" s="2"/>
      <c r="F573" s="2"/>
      <c r="I573" s="2"/>
      <c r="J573" s="2"/>
    </row>
    <row r="574">
      <c r="E574" s="2"/>
      <c r="F574" s="2"/>
      <c r="I574" s="2"/>
      <c r="J574" s="2"/>
    </row>
    <row r="575">
      <c r="E575" s="2"/>
      <c r="F575" s="2"/>
      <c r="I575" s="2"/>
      <c r="J575" s="2"/>
    </row>
    <row r="576">
      <c r="E576" s="2"/>
      <c r="F576" s="2"/>
      <c r="I576" s="2"/>
      <c r="J576" s="2"/>
    </row>
    <row r="577">
      <c r="E577" s="2"/>
      <c r="F577" s="2"/>
      <c r="I577" s="2"/>
      <c r="J577" s="2"/>
    </row>
    <row r="578">
      <c r="E578" s="2"/>
      <c r="F578" s="2"/>
      <c r="I578" s="2"/>
      <c r="J578" s="2"/>
    </row>
    <row r="579">
      <c r="E579" s="2"/>
      <c r="F579" s="2"/>
      <c r="I579" s="2"/>
      <c r="J579" s="2"/>
    </row>
    <row r="580">
      <c r="E580" s="2"/>
      <c r="F580" s="2"/>
      <c r="I580" s="2"/>
      <c r="J580" s="2"/>
    </row>
    <row r="581">
      <c r="E581" s="2"/>
      <c r="F581" s="2"/>
      <c r="I581" s="2"/>
      <c r="J581" s="2"/>
    </row>
    <row r="582">
      <c r="E582" s="2"/>
      <c r="F582" s="2"/>
      <c r="I582" s="2"/>
      <c r="J582" s="2"/>
    </row>
    <row r="583">
      <c r="E583" s="2"/>
      <c r="F583" s="2"/>
      <c r="I583" s="2"/>
      <c r="J583" s="2"/>
    </row>
    <row r="584">
      <c r="E584" s="2"/>
      <c r="F584" s="2"/>
      <c r="I584" s="2"/>
      <c r="J584" s="2"/>
    </row>
    <row r="585">
      <c r="E585" s="2"/>
      <c r="F585" s="2"/>
      <c r="I585" s="2"/>
      <c r="J585" s="2"/>
    </row>
    <row r="586">
      <c r="E586" s="2"/>
      <c r="F586" s="2"/>
      <c r="I586" s="2"/>
      <c r="J586" s="2"/>
    </row>
    <row r="587">
      <c r="E587" s="2"/>
      <c r="F587" s="2"/>
      <c r="I587" s="2"/>
      <c r="J587" s="2"/>
    </row>
    <row r="588">
      <c r="E588" s="2"/>
      <c r="F588" s="2"/>
      <c r="I588" s="2"/>
      <c r="J588" s="2"/>
    </row>
    <row r="589">
      <c r="E589" s="2"/>
      <c r="F589" s="2"/>
      <c r="I589" s="2"/>
      <c r="J589" s="2"/>
    </row>
    <row r="590">
      <c r="E590" s="2"/>
      <c r="F590" s="2"/>
      <c r="I590" s="2"/>
      <c r="J590" s="2"/>
    </row>
    <row r="591">
      <c r="E591" s="2"/>
      <c r="F591" s="2"/>
      <c r="I591" s="2"/>
      <c r="J591" s="2"/>
    </row>
    <row r="592">
      <c r="E592" s="2"/>
      <c r="F592" s="2"/>
      <c r="I592" s="2"/>
      <c r="J592" s="2"/>
    </row>
    <row r="593">
      <c r="E593" s="2"/>
      <c r="F593" s="2"/>
      <c r="I593" s="2"/>
      <c r="J593" s="2"/>
    </row>
    <row r="594">
      <c r="E594" s="2"/>
      <c r="F594" s="2"/>
      <c r="I594" s="2"/>
      <c r="J594" s="2"/>
    </row>
    <row r="595">
      <c r="E595" s="2"/>
      <c r="F595" s="2"/>
      <c r="I595" s="2"/>
      <c r="J595" s="2"/>
    </row>
    <row r="596">
      <c r="E596" s="2"/>
      <c r="F596" s="2"/>
      <c r="I596" s="2"/>
      <c r="J596" s="2"/>
    </row>
    <row r="597">
      <c r="E597" s="2"/>
      <c r="F597" s="2"/>
      <c r="I597" s="2"/>
      <c r="J597" s="2"/>
    </row>
    <row r="598">
      <c r="E598" s="2"/>
      <c r="F598" s="2"/>
      <c r="I598" s="2"/>
      <c r="J598" s="2"/>
    </row>
    <row r="599">
      <c r="E599" s="2"/>
      <c r="F599" s="2"/>
      <c r="I599" s="2"/>
      <c r="J599" s="2"/>
    </row>
    <row r="600">
      <c r="E600" s="2"/>
      <c r="F600" s="2"/>
      <c r="I600" s="2"/>
      <c r="J600" s="2"/>
    </row>
    <row r="601">
      <c r="E601" s="2"/>
      <c r="F601" s="2"/>
      <c r="I601" s="2"/>
      <c r="J601" s="2"/>
    </row>
    <row r="602">
      <c r="E602" s="2"/>
      <c r="F602" s="2"/>
      <c r="I602" s="2"/>
      <c r="J602" s="2"/>
    </row>
    <row r="603">
      <c r="E603" s="2"/>
      <c r="F603" s="2"/>
      <c r="I603" s="2"/>
      <c r="J603" s="2"/>
    </row>
    <row r="604">
      <c r="E604" s="2"/>
      <c r="F604" s="2"/>
      <c r="I604" s="2"/>
      <c r="J604" s="2"/>
    </row>
    <row r="605">
      <c r="E605" s="2"/>
      <c r="F605" s="2"/>
      <c r="I605" s="2"/>
      <c r="J605" s="2"/>
    </row>
    <row r="606">
      <c r="E606" s="2"/>
      <c r="F606" s="2"/>
      <c r="I606" s="2"/>
      <c r="J606" s="2"/>
    </row>
    <row r="607">
      <c r="E607" s="2"/>
      <c r="F607" s="2"/>
      <c r="I607" s="2"/>
      <c r="J607" s="2"/>
    </row>
    <row r="608">
      <c r="E608" s="2"/>
      <c r="F608" s="2"/>
      <c r="I608" s="2"/>
      <c r="J608" s="2"/>
    </row>
    <row r="609">
      <c r="E609" s="2"/>
      <c r="F609" s="2"/>
      <c r="I609" s="2"/>
      <c r="J609" s="2"/>
    </row>
    <row r="610">
      <c r="E610" s="2"/>
      <c r="F610" s="2"/>
      <c r="I610" s="2"/>
      <c r="J610" s="2"/>
    </row>
    <row r="611">
      <c r="E611" s="2"/>
      <c r="F611" s="2"/>
      <c r="I611" s="2"/>
      <c r="J611" s="2"/>
    </row>
    <row r="612">
      <c r="E612" s="2"/>
      <c r="F612" s="2"/>
      <c r="I612" s="2"/>
      <c r="J612" s="2"/>
    </row>
    <row r="613">
      <c r="E613" s="2"/>
      <c r="F613" s="2"/>
      <c r="I613" s="2"/>
      <c r="J613" s="2"/>
    </row>
    <row r="614">
      <c r="E614" s="2"/>
      <c r="F614" s="2"/>
      <c r="I614" s="2"/>
      <c r="J614" s="2"/>
    </row>
    <row r="615">
      <c r="E615" s="2"/>
      <c r="F615" s="2"/>
      <c r="I615" s="2"/>
      <c r="J615" s="2"/>
    </row>
    <row r="616">
      <c r="E616" s="2"/>
      <c r="F616" s="2"/>
      <c r="I616" s="2"/>
      <c r="J616" s="2"/>
    </row>
    <row r="617">
      <c r="E617" s="2"/>
      <c r="F617" s="2"/>
      <c r="I617" s="2"/>
      <c r="J617" s="2"/>
    </row>
    <row r="618">
      <c r="E618" s="2"/>
      <c r="F618" s="2"/>
      <c r="I618" s="2"/>
      <c r="J618" s="2"/>
    </row>
    <row r="619">
      <c r="E619" s="2"/>
      <c r="F619" s="2"/>
      <c r="I619" s="2"/>
      <c r="J619" s="2"/>
    </row>
    <row r="620">
      <c r="E620" s="2"/>
      <c r="F620" s="2"/>
      <c r="I620" s="2"/>
      <c r="J620" s="2"/>
    </row>
    <row r="621">
      <c r="E621" s="2"/>
      <c r="F621" s="2"/>
      <c r="I621" s="2"/>
      <c r="J621" s="2"/>
    </row>
    <row r="622">
      <c r="E622" s="2"/>
      <c r="F622" s="2"/>
      <c r="I622" s="2"/>
      <c r="J622" s="2"/>
    </row>
    <row r="623">
      <c r="E623" s="2"/>
      <c r="F623" s="2"/>
      <c r="I623" s="2"/>
      <c r="J623" s="2"/>
    </row>
    <row r="624">
      <c r="E624" s="2"/>
      <c r="F624" s="2"/>
      <c r="I624" s="2"/>
      <c r="J624" s="2"/>
    </row>
    <row r="625">
      <c r="E625" s="2"/>
      <c r="F625" s="2"/>
      <c r="I625" s="2"/>
      <c r="J625" s="2"/>
    </row>
    <row r="626">
      <c r="E626" s="2"/>
      <c r="F626" s="2"/>
      <c r="I626" s="2"/>
      <c r="J626" s="2"/>
    </row>
    <row r="627">
      <c r="E627" s="2"/>
      <c r="F627" s="2"/>
      <c r="I627" s="2"/>
      <c r="J627" s="2"/>
    </row>
    <row r="628">
      <c r="E628" s="2"/>
      <c r="F628" s="2"/>
      <c r="I628" s="2"/>
      <c r="J628" s="2"/>
    </row>
    <row r="629">
      <c r="E629" s="2"/>
      <c r="F629" s="2"/>
      <c r="I629" s="2"/>
      <c r="J629" s="2"/>
    </row>
    <row r="630">
      <c r="E630" s="2"/>
      <c r="F630" s="2"/>
      <c r="I630" s="2"/>
      <c r="J630" s="2"/>
    </row>
    <row r="631">
      <c r="E631" s="2"/>
      <c r="F631" s="2"/>
      <c r="I631" s="2"/>
      <c r="J631" s="2"/>
    </row>
    <row r="632">
      <c r="E632" s="2"/>
      <c r="F632" s="2"/>
      <c r="I632" s="2"/>
      <c r="J632" s="2"/>
    </row>
    <row r="633">
      <c r="E633" s="2"/>
      <c r="F633" s="2"/>
      <c r="I633" s="2"/>
      <c r="J633" s="2"/>
    </row>
    <row r="634">
      <c r="E634" s="2"/>
      <c r="F634" s="2"/>
      <c r="I634" s="2"/>
      <c r="J634" s="2"/>
    </row>
    <row r="635">
      <c r="E635" s="2"/>
      <c r="F635" s="2"/>
      <c r="I635" s="2"/>
      <c r="J635" s="2"/>
    </row>
    <row r="636">
      <c r="E636" s="2"/>
      <c r="F636" s="2"/>
      <c r="I636" s="2"/>
      <c r="J636" s="2"/>
    </row>
    <row r="637">
      <c r="E637" s="2"/>
      <c r="F637" s="2"/>
      <c r="I637" s="2"/>
      <c r="J637" s="2"/>
    </row>
    <row r="638">
      <c r="E638" s="2"/>
      <c r="F638" s="2"/>
      <c r="I638" s="2"/>
      <c r="J638" s="2"/>
    </row>
    <row r="639">
      <c r="E639" s="2"/>
      <c r="F639" s="2"/>
      <c r="I639" s="2"/>
      <c r="J639" s="2"/>
    </row>
    <row r="640">
      <c r="E640" s="2"/>
      <c r="F640" s="2"/>
      <c r="I640" s="2"/>
      <c r="J640" s="2"/>
    </row>
    <row r="641">
      <c r="E641" s="2"/>
      <c r="F641" s="2"/>
      <c r="I641" s="2"/>
      <c r="J641" s="2"/>
    </row>
    <row r="642">
      <c r="E642" s="2"/>
      <c r="F642" s="2"/>
      <c r="I642" s="2"/>
      <c r="J642" s="2"/>
    </row>
    <row r="643">
      <c r="E643" s="2"/>
      <c r="F643" s="2"/>
      <c r="I643" s="2"/>
      <c r="J643" s="2"/>
    </row>
    <row r="644">
      <c r="E644" s="2"/>
      <c r="F644" s="2"/>
      <c r="I644" s="2"/>
      <c r="J644" s="2"/>
    </row>
    <row r="645">
      <c r="E645" s="2"/>
      <c r="F645" s="2"/>
      <c r="I645" s="2"/>
      <c r="J645" s="2"/>
    </row>
    <row r="646">
      <c r="E646" s="2"/>
      <c r="F646" s="2"/>
      <c r="I646" s="2"/>
      <c r="J646" s="2"/>
    </row>
    <row r="647">
      <c r="E647" s="2"/>
      <c r="F647" s="2"/>
      <c r="I647" s="2"/>
      <c r="J647" s="2"/>
    </row>
    <row r="648">
      <c r="E648" s="2"/>
      <c r="F648" s="2"/>
      <c r="I648" s="2"/>
      <c r="J648" s="2"/>
    </row>
    <row r="649">
      <c r="E649" s="2"/>
      <c r="F649" s="2"/>
      <c r="I649" s="2"/>
      <c r="J649" s="2"/>
    </row>
    <row r="650">
      <c r="E650" s="2"/>
      <c r="F650" s="2"/>
      <c r="I650" s="2"/>
      <c r="J650" s="2"/>
    </row>
    <row r="651">
      <c r="E651" s="2"/>
      <c r="F651" s="2"/>
      <c r="I651" s="2"/>
      <c r="J651" s="2"/>
    </row>
    <row r="652">
      <c r="E652" s="2"/>
      <c r="F652" s="2"/>
      <c r="I652" s="2"/>
      <c r="J652" s="2"/>
    </row>
    <row r="653">
      <c r="E653" s="2"/>
      <c r="F653" s="2"/>
      <c r="I653" s="2"/>
      <c r="J653" s="2"/>
    </row>
    <row r="654">
      <c r="E654" s="2"/>
      <c r="F654" s="2"/>
      <c r="I654" s="2"/>
      <c r="J654" s="2"/>
    </row>
    <row r="655">
      <c r="E655" s="2"/>
      <c r="F655" s="2"/>
      <c r="I655" s="2"/>
      <c r="J655" s="2"/>
    </row>
    <row r="656">
      <c r="E656" s="2"/>
      <c r="F656" s="2"/>
      <c r="I656" s="2"/>
      <c r="J656" s="2"/>
    </row>
    <row r="657">
      <c r="E657" s="2"/>
      <c r="F657" s="2"/>
      <c r="I657" s="2"/>
      <c r="J657" s="2"/>
    </row>
    <row r="658">
      <c r="E658" s="2"/>
      <c r="F658" s="2"/>
      <c r="I658" s="2"/>
      <c r="J658" s="2"/>
    </row>
    <row r="659">
      <c r="E659" s="2"/>
      <c r="F659" s="2"/>
      <c r="I659" s="2"/>
      <c r="J659" s="2"/>
    </row>
    <row r="660">
      <c r="E660" s="2"/>
      <c r="F660" s="2"/>
      <c r="I660" s="2"/>
      <c r="J660" s="2"/>
    </row>
    <row r="661">
      <c r="E661" s="2"/>
      <c r="F661" s="2"/>
      <c r="I661" s="2"/>
      <c r="J661" s="2"/>
    </row>
    <row r="662">
      <c r="E662" s="2"/>
      <c r="F662" s="2"/>
      <c r="I662" s="2"/>
      <c r="J662" s="2"/>
    </row>
    <row r="663">
      <c r="E663" s="2"/>
      <c r="F663" s="2"/>
      <c r="I663" s="2"/>
      <c r="J663" s="2"/>
    </row>
    <row r="664">
      <c r="E664" s="2"/>
      <c r="F664" s="2"/>
      <c r="I664" s="2"/>
      <c r="J664" s="2"/>
    </row>
    <row r="665">
      <c r="E665" s="2"/>
      <c r="F665" s="2"/>
      <c r="I665" s="2"/>
      <c r="J665" s="2"/>
    </row>
    <row r="666">
      <c r="E666" s="2"/>
      <c r="F666" s="2"/>
      <c r="I666" s="2"/>
      <c r="J666" s="2"/>
    </row>
    <row r="667">
      <c r="E667" s="2"/>
      <c r="F667" s="2"/>
      <c r="I667" s="2"/>
      <c r="J667" s="2"/>
    </row>
    <row r="668">
      <c r="E668" s="2"/>
      <c r="F668" s="2"/>
      <c r="I668" s="2"/>
      <c r="J668" s="2"/>
    </row>
    <row r="669">
      <c r="E669" s="2"/>
      <c r="F669" s="2"/>
      <c r="I669" s="2"/>
      <c r="J669" s="2"/>
    </row>
    <row r="670">
      <c r="E670" s="2"/>
      <c r="F670" s="2"/>
      <c r="I670" s="2"/>
      <c r="J670" s="2"/>
    </row>
    <row r="671">
      <c r="E671" s="2"/>
      <c r="F671" s="2"/>
      <c r="I671" s="2"/>
      <c r="J671" s="2"/>
    </row>
    <row r="672">
      <c r="E672" s="2"/>
      <c r="F672" s="2"/>
      <c r="I672" s="2"/>
      <c r="J672" s="2"/>
    </row>
    <row r="673">
      <c r="E673" s="2"/>
      <c r="F673" s="2"/>
      <c r="I673" s="2"/>
      <c r="J673" s="2"/>
    </row>
    <row r="674">
      <c r="E674" s="2"/>
      <c r="F674" s="2"/>
      <c r="I674" s="2"/>
      <c r="J674" s="2"/>
    </row>
    <row r="675">
      <c r="E675" s="2"/>
      <c r="F675" s="2"/>
      <c r="I675" s="2"/>
      <c r="J675" s="2"/>
    </row>
    <row r="676">
      <c r="E676" s="2"/>
      <c r="F676" s="2"/>
      <c r="I676" s="2"/>
      <c r="J676" s="2"/>
    </row>
    <row r="677">
      <c r="E677" s="2"/>
      <c r="F677" s="2"/>
      <c r="I677" s="2"/>
      <c r="J677" s="2"/>
    </row>
    <row r="678">
      <c r="E678" s="2"/>
      <c r="F678" s="2"/>
      <c r="I678" s="2"/>
      <c r="J678" s="2"/>
    </row>
    <row r="679">
      <c r="E679" s="2"/>
      <c r="F679" s="2"/>
      <c r="I679" s="2"/>
      <c r="J679" s="2"/>
    </row>
    <row r="680">
      <c r="E680" s="2"/>
      <c r="F680" s="2"/>
      <c r="I680" s="2"/>
      <c r="J680" s="2"/>
    </row>
    <row r="681">
      <c r="E681" s="2"/>
      <c r="F681" s="2"/>
      <c r="I681" s="2"/>
      <c r="J681" s="2"/>
    </row>
    <row r="682">
      <c r="E682" s="2"/>
      <c r="F682" s="2"/>
      <c r="I682" s="2"/>
      <c r="J682" s="2"/>
    </row>
    <row r="683">
      <c r="E683" s="2"/>
      <c r="F683" s="2"/>
      <c r="I683" s="2"/>
      <c r="J683" s="2"/>
    </row>
    <row r="684">
      <c r="E684" s="2"/>
      <c r="F684" s="2"/>
      <c r="I684" s="2"/>
      <c r="J684" s="2"/>
    </row>
    <row r="685">
      <c r="E685" s="2"/>
      <c r="F685" s="2"/>
      <c r="I685" s="2"/>
      <c r="J685" s="2"/>
    </row>
    <row r="686">
      <c r="E686" s="2"/>
      <c r="F686" s="2"/>
      <c r="I686" s="2"/>
      <c r="J686" s="2"/>
    </row>
    <row r="687">
      <c r="E687" s="2"/>
      <c r="F687" s="2"/>
      <c r="I687" s="2"/>
      <c r="J687" s="2"/>
    </row>
    <row r="688">
      <c r="E688" s="2"/>
      <c r="F688" s="2"/>
      <c r="I688" s="2"/>
      <c r="J688" s="2"/>
    </row>
    <row r="689">
      <c r="E689" s="2"/>
      <c r="F689" s="2"/>
      <c r="I689" s="2"/>
      <c r="J689" s="2"/>
    </row>
    <row r="690">
      <c r="E690" s="2"/>
      <c r="F690" s="2"/>
      <c r="I690" s="2"/>
      <c r="J690" s="2"/>
    </row>
    <row r="691">
      <c r="E691" s="2"/>
      <c r="F691" s="2"/>
      <c r="I691" s="2"/>
      <c r="J691" s="2"/>
    </row>
    <row r="692">
      <c r="E692" s="2"/>
      <c r="F692" s="2"/>
      <c r="I692" s="2"/>
      <c r="J692" s="2"/>
    </row>
    <row r="693">
      <c r="E693" s="2"/>
      <c r="F693" s="2"/>
      <c r="I693" s="2"/>
      <c r="J693" s="2"/>
    </row>
    <row r="694">
      <c r="E694" s="2"/>
      <c r="F694" s="2"/>
      <c r="I694" s="2"/>
      <c r="J694" s="2"/>
    </row>
    <row r="695">
      <c r="E695" s="2"/>
      <c r="F695" s="2"/>
      <c r="I695" s="2"/>
      <c r="J695" s="2"/>
    </row>
    <row r="696">
      <c r="E696" s="2"/>
      <c r="F696" s="2"/>
      <c r="I696" s="2"/>
      <c r="J696" s="2"/>
    </row>
    <row r="697">
      <c r="E697" s="2"/>
      <c r="F697" s="2"/>
      <c r="I697" s="2"/>
      <c r="J697" s="2"/>
    </row>
    <row r="698">
      <c r="E698" s="2"/>
      <c r="F698" s="2"/>
      <c r="I698" s="2"/>
      <c r="J698" s="2"/>
    </row>
    <row r="699">
      <c r="E699" s="2"/>
      <c r="F699" s="2"/>
      <c r="I699" s="2"/>
      <c r="J699" s="2"/>
    </row>
    <row r="700">
      <c r="E700" s="2"/>
      <c r="F700" s="2"/>
      <c r="I700" s="2"/>
      <c r="J700" s="2"/>
    </row>
    <row r="701">
      <c r="E701" s="2"/>
      <c r="F701" s="2"/>
      <c r="I701" s="2"/>
      <c r="J701" s="2"/>
    </row>
    <row r="702">
      <c r="E702" s="2"/>
      <c r="F702" s="2"/>
      <c r="I702" s="2"/>
      <c r="J702" s="2"/>
    </row>
    <row r="703">
      <c r="E703" s="2"/>
      <c r="F703" s="2"/>
      <c r="I703" s="2"/>
      <c r="J703" s="2"/>
    </row>
    <row r="704">
      <c r="E704" s="2"/>
      <c r="F704" s="2"/>
      <c r="I704" s="2"/>
      <c r="J704" s="2"/>
    </row>
    <row r="705">
      <c r="E705" s="2"/>
      <c r="F705" s="2"/>
      <c r="I705" s="2"/>
      <c r="J705" s="2"/>
    </row>
    <row r="706">
      <c r="E706" s="2"/>
      <c r="F706" s="2"/>
      <c r="I706" s="2"/>
      <c r="J706" s="2"/>
    </row>
    <row r="707">
      <c r="E707" s="2"/>
      <c r="F707" s="2"/>
      <c r="I707" s="2"/>
      <c r="J707" s="2"/>
    </row>
    <row r="708">
      <c r="E708" s="2"/>
      <c r="F708" s="2"/>
      <c r="I708" s="2"/>
      <c r="J708" s="2"/>
    </row>
    <row r="709">
      <c r="E709" s="2"/>
      <c r="F709" s="2"/>
      <c r="I709" s="2"/>
      <c r="J709" s="2"/>
    </row>
    <row r="710">
      <c r="E710" s="2"/>
      <c r="F710" s="2"/>
      <c r="I710" s="2"/>
      <c r="J710" s="2"/>
    </row>
    <row r="711">
      <c r="E711" s="2"/>
      <c r="F711" s="2"/>
      <c r="I711" s="2"/>
      <c r="J711" s="2"/>
    </row>
    <row r="712">
      <c r="E712" s="2"/>
      <c r="F712" s="2"/>
      <c r="I712" s="2"/>
      <c r="J712" s="2"/>
    </row>
    <row r="713">
      <c r="E713" s="2"/>
      <c r="F713" s="2"/>
      <c r="I713" s="2"/>
      <c r="J713" s="2"/>
    </row>
    <row r="714">
      <c r="E714" s="2"/>
      <c r="F714" s="2"/>
      <c r="I714" s="2"/>
      <c r="J714" s="2"/>
    </row>
    <row r="715">
      <c r="E715" s="2"/>
      <c r="F715" s="2"/>
      <c r="I715" s="2"/>
      <c r="J715" s="2"/>
    </row>
    <row r="716">
      <c r="E716" s="2"/>
      <c r="F716" s="2"/>
      <c r="I716" s="2"/>
      <c r="J716" s="2"/>
    </row>
    <row r="717">
      <c r="E717" s="2"/>
      <c r="F717" s="2"/>
      <c r="I717" s="2"/>
      <c r="J717" s="2"/>
    </row>
    <row r="718">
      <c r="E718" s="2"/>
      <c r="F718" s="2"/>
      <c r="I718" s="2"/>
      <c r="J718" s="2"/>
    </row>
    <row r="719">
      <c r="E719" s="2"/>
      <c r="F719" s="2"/>
      <c r="I719" s="2"/>
      <c r="J719" s="2"/>
    </row>
    <row r="720">
      <c r="E720" s="2"/>
      <c r="F720" s="2"/>
      <c r="I720" s="2"/>
      <c r="J720" s="2"/>
    </row>
    <row r="721">
      <c r="E721" s="2"/>
      <c r="F721" s="2"/>
      <c r="I721" s="2"/>
      <c r="J721" s="2"/>
    </row>
    <row r="722">
      <c r="E722" s="2"/>
      <c r="F722" s="2"/>
      <c r="I722" s="2"/>
      <c r="J722" s="2"/>
    </row>
    <row r="723">
      <c r="E723" s="2"/>
      <c r="F723" s="2"/>
      <c r="I723" s="2"/>
      <c r="J723" s="2"/>
    </row>
    <row r="724">
      <c r="E724" s="2"/>
      <c r="F724" s="2"/>
      <c r="I724" s="2"/>
      <c r="J724" s="2"/>
    </row>
    <row r="725">
      <c r="E725" s="2"/>
      <c r="F725" s="2"/>
      <c r="I725" s="2"/>
      <c r="J725" s="2"/>
    </row>
    <row r="726">
      <c r="E726" s="2"/>
      <c r="F726" s="2"/>
      <c r="I726" s="2"/>
      <c r="J726" s="2"/>
    </row>
    <row r="727">
      <c r="E727" s="2"/>
      <c r="F727" s="2"/>
      <c r="I727" s="2"/>
      <c r="J727" s="2"/>
    </row>
    <row r="728">
      <c r="E728" s="2"/>
      <c r="F728" s="2"/>
      <c r="I728" s="2"/>
      <c r="J728" s="2"/>
    </row>
    <row r="729">
      <c r="E729" s="2"/>
      <c r="F729" s="2"/>
      <c r="I729" s="2"/>
      <c r="J729" s="2"/>
    </row>
    <row r="730">
      <c r="E730" s="2"/>
      <c r="F730" s="2"/>
      <c r="I730" s="2"/>
      <c r="J730" s="2"/>
    </row>
    <row r="731">
      <c r="E731" s="2"/>
      <c r="F731" s="2"/>
      <c r="I731" s="2"/>
      <c r="J731" s="2"/>
    </row>
    <row r="732">
      <c r="E732" s="2"/>
      <c r="F732" s="2"/>
      <c r="I732" s="2"/>
      <c r="J732" s="2"/>
    </row>
    <row r="733">
      <c r="E733" s="2"/>
      <c r="F733" s="2"/>
      <c r="I733" s="2"/>
      <c r="J733" s="2"/>
    </row>
    <row r="734">
      <c r="E734" s="2"/>
      <c r="F734" s="2"/>
      <c r="I734" s="2"/>
      <c r="J734" s="2"/>
    </row>
    <row r="735">
      <c r="E735" s="2"/>
      <c r="F735" s="2"/>
      <c r="I735" s="2"/>
      <c r="J735" s="2"/>
    </row>
    <row r="736">
      <c r="E736" s="2"/>
      <c r="F736" s="2"/>
      <c r="I736" s="2"/>
      <c r="J736" s="2"/>
    </row>
    <row r="737">
      <c r="E737" s="2"/>
      <c r="F737" s="2"/>
      <c r="I737" s="2"/>
      <c r="J737" s="2"/>
    </row>
    <row r="738">
      <c r="E738" s="2"/>
      <c r="F738" s="2"/>
      <c r="I738" s="2"/>
      <c r="J738" s="2"/>
    </row>
    <row r="739">
      <c r="E739" s="2"/>
      <c r="F739" s="2"/>
      <c r="I739" s="2"/>
      <c r="J739" s="2"/>
    </row>
    <row r="740">
      <c r="E740" s="2"/>
      <c r="F740" s="2"/>
      <c r="I740" s="2"/>
      <c r="J740" s="2"/>
    </row>
    <row r="741">
      <c r="E741" s="2"/>
      <c r="F741" s="2"/>
      <c r="I741" s="2"/>
      <c r="J741" s="2"/>
    </row>
    <row r="742">
      <c r="E742" s="2"/>
      <c r="F742" s="2"/>
      <c r="I742" s="2"/>
      <c r="J742" s="2"/>
    </row>
    <row r="743">
      <c r="E743" s="2"/>
      <c r="F743" s="2"/>
      <c r="I743" s="2"/>
      <c r="J743" s="2"/>
    </row>
    <row r="744">
      <c r="E744" s="2"/>
      <c r="F744" s="2"/>
      <c r="I744" s="2"/>
      <c r="J744" s="2"/>
    </row>
    <row r="745">
      <c r="E745" s="2"/>
      <c r="F745" s="2"/>
      <c r="I745" s="2"/>
      <c r="J745" s="2"/>
    </row>
    <row r="746">
      <c r="E746" s="2"/>
      <c r="F746" s="2"/>
      <c r="I746" s="2"/>
      <c r="J746" s="2"/>
    </row>
    <row r="747">
      <c r="E747" s="2"/>
      <c r="F747" s="2"/>
      <c r="I747" s="2"/>
      <c r="J747" s="2"/>
    </row>
    <row r="748">
      <c r="E748" s="2"/>
      <c r="F748" s="2"/>
      <c r="I748" s="2"/>
      <c r="J748" s="2"/>
    </row>
    <row r="749">
      <c r="E749" s="2"/>
      <c r="F749" s="2"/>
      <c r="I749" s="2"/>
      <c r="J749" s="2"/>
    </row>
    <row r="750">
      <c r="E750" s="2"/>
      <c r="F750" s="2"/>
      <c r="I750" s="2"/>
      <c r="J750" s="2"/>
    </row>
    <row r="751">
      <c r="E751" s="2"/>
      <c r="F751" s="2"/>
      <c r="I751" s="2"/>
      <c r="J751" s="2"/>
    </row>
    <row r="752">
      <c r="E752" s="2"/>
      <c r="F752" s="2"/>
      <c r="I752" s="2"/>
      <c r="J752" s="2"/>
    </row>
    <row r="753">
      <c r="E753" s="2"/>
      <c r="F753" s="2"/>
      <c r="I753" s="2"/>
      <c r="J753" s="2"/>
    </row>
    <row r="754">
      <c r="E754" s="2"/>
      <c r="F754" s="2"/>
      <c r="I754" s="2"/>
      <c r="J754" s="2"/>
    </row>
    <row r="755">
      <c r="E755" s="2"/>
      <c r="F755" s="2"/>
      <c r="I755" s="2"/>
      <c r="J755" s="2"/>
    </row>
    <row r="756">
      <c r="E756" s="2"/>
      <c r="F756" s="2"/>
      <c r="I756" s="2"/>
      <c r="J756" s="2"/>
    </row>
    <row r="757">
      <c r="E757" s="2"/>
      <c r="F757" s="2"/>
      <c r="I757" s="2"/>
      <c r="J757" s="2"/>
    </row>
    <row r="758">
      <c r="E758" s="2"/>
      <c r="F758" s="2"/>
      <c r="I758" s="2"/>
      <c r="J758" s="2"/>
    </row>
    <row r="759">
      <c r="E759" s="2"/>
      <c r="F759" s="2"/>
      <c r="I759" s="2"/>
      <c r="J759" s="2"/>
    </row>
    <row r="760">
      <c r="E760" s="2"/>
      <c r="F760" s="2"/>
      <c r="I760" s="2"/>
      <c r="J760" s="2"/>
    </row>
    <row r="761">
      <c r="E761" s="2"/>
      <c r="F761" s="2"/>
      <c r="I761" s="2"/>
      <c r="J761" s="2"/>
    </row>
    <row r="762">
      <c r="E762" s="2"/>
      <c r="F762" s="2"/>
      <c r="I762" s="2"/>
      <c r="J762" s="2"/>
    </row>
    <row r="763">
      <c r="E763" s="2"/>
      <c r="F763" s="2"/>
      <c r="I763" s="2"/>
      <c r="J763" s="2"/>
    </row>
    <row r="764">
      <c r="E764" s="2"/>
      <c r="F764" s="2"/>
      <c r="I764" s="2"/>
      <c r="J764" s="2"/>
    </row>
    <row r="765">
      <c r="E765" s="2"/>
      <c r="F765" s="2"/>
      <c r="I765" s="2"/>
      <c r="J765" s="2"/>
    </row>
    <row r="766">
      <c r="E766" s="2"/>
      <c r="F766" s="2"/>
      <c r="I766" s="2"/>
      <c r="J766" s="2"/>
    </row>
    <row r="767">
      <c r="E767" s="2"/>
      <c r="F767" s="2"/>
      <c r="I767" s="2"/>
      <c r="J767" s="2"/>
    </row>
    <row r="768">
      <c r="E768" s="2"/>
      <c r="F768" s="2"/>
      <c r="I768" s="2"/>
      <c r="J768" s="2"/>
    </row>
    <row r="769">
      <c r="E769" s="2"/>
      <c r="F769" s="2"/>
      <c r="I769" s="2"/>
      <c r="J769" s="2"/>
    </row>
    <row r="770">
      <c r="E770" s="2"/>
      <c r="F770" s="2"/>
      <c r="I770" s="2"/>
      <c r="J770" s="2"/>
    </row>
    <row r="771">
      <c r="E771" s="2"/>
      <c r="F771" s="2"/>
      <c r="I771" s="2"/>
      <c r="J771" s="2"/>
    </row>
    <row r="772">
      <c r="E772" s="2"/>
      <c r="F772" s="2"/>
      <c r="I772" s="2"/>
      <c r="J772" s="2"/>
    </row>
    <row r="773">
      <c r="E773" s="2"/>
      <c r="F773" s="2"/>
      <c r="I773" s="2"/>
      <c r="J773" s="2"/>
    </row>
    <row r="774">
      <c r="E774" s="2"/>
      <c r="F774" s="2"/>
      <c r="I774" s="2"/>
      <c r="J774" s="2"/>
    </row>
    <row r="775">
      <c r="E775" s="2"/>
      <c r="F775" s="2"/>
      <c r="I775" s="2"/>
      <c r="J775" s="2"/>
    </row>
    <row r="776">
      <c r="E776" s="2"/>
      <c r="F776" s="2"/>
      <c r="I776" s="2"/>
      <c r="J776" s="2"/>
    </row>
    <row r="777">
      <c r="E777" s="2"/>
      <c r="F777" s="2"/>
      <c r="I777" s="2"/>
      <c r="J777" s="2"/>
    </row>
    <row r="778">
      <c r="E778" s="2"/>
      <c r="F778" s="2"/>
      <c r="I778" s="2"/>
      <c r="J778" s="2"/>
    </row>
    <row r="779">
      <c r="E779" s="2"/>
      <c r="F779" s="2"/>
      <c r="I779" s="2"/>
      <c r="J779" s="2"/>
    </row>
    <row r="780">
      <c r="E780" s="2"/>
      <c r="F780" s="2"/>
      <c r="I780" s="2"/>
      <c r="J780" s="2"/>
    </row>
    <row r="781">
      <c r="E781" s="2"/>
      <c r="F781" s="2"/>
      <c r="I781" s="2"/>
      <c r="J781" s="2"/>
    </row>
    <row r="782">
      <c r="E782" s="2"/>
      <c r="F782" s="2"/>
      <c r="I782" s="2"/>
      <c r="J782" s="2"/>
    </row>
    <row r="783">
      <c r="E783" s="2"/>
      <c r="F783" s="2"/>
      <c r="I783" s="2"/>
      <c r="J783" s="2"/>
    </row>
    <row r="784">
      <c r="E784" s="2"/>
      <c r="F784" s="2"/>
      <c r="I784" s="2"/>
      <c r="J784" s="2"/>
    </row>
    <row r="785">
      <c r="E785" s="2"/>
      <c r="F785" s="2"/>
      <c r="I785" s="2"/>
      <c r="J785" s="2"/>
    </row>
    <row r="786">
      <c r="E786" s="2"/>
      <c r="F786" s="2"/>
      <c r="I786" s="2"/>
      <c r="J786" s="2"/>
    </row>
    <row r="787">
      <c r="E787" s="2"/>
      <c r="F787" s="2"/>
      <c r="I787" s="2"/>
      <c r="J787" s="2"/>
    </row>
    <row r="788">
      <c r="E788" s="2"/>
      <c r="F788" s="2"/>
      <c r="I788" s="2"/>
      <c r="J788" s="2"/>
    </row>
    <row r="789">
      <c r="E789" s="2"/>
      <c r="F789" s="2"/>
      <c r="I789" s="2"/>
      <c r="J789" s="2"/>
    </row>
    <row r="790">
      <c r="E790" s="2"/>
      <c r="F790" s="2"/>
      <c r="I790" s="2"/>
      <c r="J790" s="2"/>
    </row>
    <row r="791">
      <c r="E791" s="2"/>
      <c r="F791" s="2"/>
      <c r="I791" s="2"/>
      <c r="J791" s="2"/>
    </row>
    <row r="792">
      <c r="E792" s="2"/>
      <c r="F792" s="2"/>
      <c r="I792" s="2"/>
      <c r="J792" s="2"/>
    </row>
    <row r="793">
      <c r="E793" s="2"/>
      <c r="F793" s="2"/>
      <c r="I793" s="2"/>
      <c r="J793" s="2"/>
    </row>
    <row r="794">
      <c r="E794" s="2"/>
      <c r="F794" s="2"/>
      <c r="I794" s="2"/>
      <c r="J794" s="2"/>
    </row>
    <row r="795">
      <c r="E795" s="2"/>
      <c r="F795" s="2"/>
      <c r="I795" s="2"/>
      <c r="J795" s="2"/>
    </row>
    <row r="796">
      <c r="E796" s="2"/>
      <c r="F796" s="2"/>
      <c r="I796" s="2"/>
      <c r="J796" s="2"/>
    </row>
    <row r="797">
      <c r="E797" s="2"/>
      <c r="F797" s="2"/>
      <c r="I797" s="2"/>
      <c r="J797" s="2"/>
    </row>
    <row r="798">
      <c r="E798" s="2"/>
      <c r="F798" s="2"/>
      <c r="I798" s="2"/>
      <c r="J798" s="2"/>
    </row>
    <row r="799">
      <c r="E799" s="2"/>
      <c r="F799" s="2"/>
      <c r="I799" s="2"/>
      <c r="J799" s="2"/>
    </row>
    <row r="800">
      <c r="E800" s="2"/>
      <c r="F800" s="2"/>
      <c r="I800" s="2"/>
      <c r="J800" s="2"/>
    </row>
    <row r="801">
      <c r="E801" s="2"/>
      <c r="F801" s="2"/>
      <c r="I801" s="2"/>
      <c r="J801" s="2"/>
    </row>
    <row r="802">
      <c r="E802" s="2"/>
      <c r="F802" s="2"/>
      <c r="I802" s="2"/>
      <c r="J802" s="2"/>
    </row>
    <row r="803">
      <c r="E803" s="2"/>
      <c r="F803" s="2"/>
      <c r="I803" s="2"/>
      <c r="J803" s="2"/>
    </row>
    <row r="804">
      <c r="E804" s="2"/>
      <c r="F804" s="2"/>
      <c r="I804" s="2"/>
      <c r="J804" s="2"/>
    </row>
    <row r="805">
      <c r="E805" s="2"/>
      <c r="F805" s="2"/>
      <c r="I805" s="2"/>
      <c r="J805" s="2"/>
    </row>
    <row r="806">
      <c r="E806" s="2"/>
      <c r="F806" s="2"/>
      <c r="I806" s="2"/>
      <c r="J806" s="2"/>
    </row>
    <row r="807">
      <c r="E807" s="2"/>
      <c r="F807" s="2"/>
      <c r="I807" s="2"/>
      <c r="J807" s="2"/>
    </row>
    <row r="808">
      <c r="E808" s="2"/>
      <c r="F808" s="2"/>
      <c r="I808" s="2"/>
      <c r="J808" s="2"/>
    </row>
    <row r="809">
      <c r="E809" s="2"/>
      <c r="F809" s="2"/>
      <c r="I809" s="2"/>
      <c r="J809" s="2"/>
    </row>
    <row r="810">
      <c r="E810" s="2"/>
      <c r="F810" s="2"/>
      <c r="I810" s="2"/>
      <c r="J810" s="2"/>
    </row>
    <row r="811">
      <c r="E811" s="2"/>
      <c r="F811" s="2"/>
      <c r="I811" s="2"/>
      <c r="J811" s="2"/>
    </row>
    <row r="812">
      <c r="E812" s="2"/>
      <c r="F812" s="2"/>
      <c r="I812" s="2"/>
      <c r="J812" s="2"/>
    </row>
    <row r="813">
      <c r="E813" s="2"/>
      <c r="F813" s="2"/>
      <c r="I813" s="2"/>
      <c r="J813" s="2"/>
    </row>
    <row r="814">
      <c r="E814" s="2"/>
      <c r="F814" s="2"/>
      <c r="I814" s="2"/>
      <c r="J814" s="2"/>
    </row>
    <row r="815">
      <c r="E815" s="2"/>
      <c r="F815" s="2"/>
      <c r="I815" s="2"/>
      <c r="J815" s="2"/>
    </row>
    <row r="816">
      <c r="E816" s="2"/>
      <c r="F816" s="2"/>
      <c r="I816" s="2"/>
      <c r="J816" s="2"/>
    </row>
    <row r="817">
      <c r="E817" s="2"/>
      <c r="F817" s="2"/>
      <c r="I817" s="2"/>
      <c r="J817" s="2"/>
    </row>
    <row r="818">
      <c r="E818" s="2"/>
      <c r="F818" s="2"/>
      <c r="I818" s="2"/>
      <c r="J818" s="2"/>
    </row>
    <row r="819">
      <c r="E819" s="2"/>
      <c r="F819" s="2"/>
      <c r="I819" s="2"/>
      <c r="J819" s="2"/>
    </row>
    <row r="820">
      <c r="E820" s="2"/>
      <c r="F820" s="2"/>
      <c r="I820" s="2"/>
      <c r="J820" s="2"/>
    </row>
    <row r="821">
      <c r="E821" s="2"/>
      <c r="F821" s="2"/>
      <c r="I821" s="2"/>
      <c r="J821" s="2"/>
    </row>
    <row r="822">
      <c r="E822" s="2"/>
      <c r="F822" s="2"/>
      <c r="I822" s="2"/>
      <c r="J822" s="2"/>
    </row>
    <row r="823">
      <c r="E823" s="2"/>
      <c r="F823" s="2"/>
      <c r="I823" s="2"/>
      <c r="J823" s="2"/>
    </row>
    <row r="824">
      <c r="E824" s="2"/>
      <c r="F824" s="2"/>
      <c r="I824" s="2"/>
      <c r="J824" s="2"/>
    </row>
    <row r="825">
      <c r="E825" s="2"/>
      <c r="F825" s="2"/>
      <c r="I825" s="2"/>
      <c r="J825" s="2"/>
    </row>
    <row r="826">
      <c r="E826" s="2"/>
      <c r="F826" s="2"/>
      <c r="I826" s="2"/>
      <c r="J826" s="2"/>
    </row>
    <row r="827">
      <c r="E827" s="2"/>
      <c r="F827" s="2"/>
      <c r="I827" s="2"/>
      <c r="J827" s="2"/>
    </row>
    <row r="828">
      <c r="E828" s="2"/>
      <c r="F828" s="2"/>
      <c r="I828" s="2"/>
      <c r="J828" s="2"/>
    </row>
    <row r="829">
      <c r="E829" s="2"/>
      <c r="F829" s="2"/>
      <c r="I829" s="2"/>
      <c r="J829" s="2"/>
    </row>
    <row r="830">
      <c r="E830" s="2"/>
      <c r="F830" s="2"/>
      <c r="I830" s="2"/>
      <c r="J830" s="2"/>
    </row>
    <row r="831">
      <c r="E831" s="2"/>
      <c r="F831" s="2"/>
      <c r="I831" s="2"/>
      <c r="J831" s="2"/>
    </row>
    <row r="832">
      <c r="E832" s="2"/>
      <c r="F832" s="2"/>
      <c r="I832" s="2"/>
      <c r="J832" s="2"/>
    </row>
    <row r="833">
      <c r="E833" s="2"/>
      <c r="F833" s="2"/>
      <c r="I833" s="2"/>
      <c r="J833" s="2"/>
    </row>
    <row r="834">
      <c r="E834" s="2"/>
      <c r="F834" s="2"/>
      <c r="I834" s="2"/>
      <c r="J834" s="2"/>
    </row>
    <row r="835">
      <c r="E835" s="2"/>
      <c r="F835" s="2"/>
      <c r="I835" s="2"/>
      <c r="J835" s="2"/>
    </row>
    <row r="836">
      <c r="E836" s="2"/>
      <c r="F836" s="2"/>
      <c r="I836" s="2"/>
      <c r="J836" s="2"/>
    </row>
    <row r="837">
      <c r="E837" s="2"/>
      <c r="F837" s="2"/>
      <c r="I837" s="2"/>
      <c r="J837" s="2"/>
    </row>
    <row r="838">
      <c r="E838" s="2"/>
      <c r="F838" s="2"/>
      <c r="I838" s="2"/>
      <c r="J838" s="2"/>
    </row>
    <row r="839">
      <c r="E839" s="2"/>
      <c r="F839" s="2"/>
      <c r="I839" s="2"/>
      <c r="J839" s="2"/>
    </row>
    <row r="840">
      <c r="E840" s="2"/>
      <c r="F840" s="2"/>
      <c r="I840" s="2"/>
      <c r="J840" s="2"/>
    </row>
    <row r="841">
      <c r="E841" s="2"/>
      <c r="F841" s="2"/>
      <c r="I841" s="2"/>
      <c r="J841" s="2"/>
    </row>
    <row r="842">
      <c r="E842" s="2"/>
      <c r="F842" s="2"/>
      <c r="I842" s="2"/>
      <c r="J842" s="2"/>
    </row>
    <row r="843">
      <c r="E843" s="2"/>
      <c r="F843" s="2"/>
      <c r="I843" s="2"/>
      <c r="J843" s="2"/>
    </row>
    <row r="844">
      <c r="E844" s="2"/>
      <c r="F844" s="2"/>
      <c r="I844" s="2"/>
      <c r="J844" s="2"/>
    </row>
    <row r="845">
      <c r="E845" s="2"/>
      <c r="F845" s="2"/>
      <c r="I845" s="2"/>
      <c r="J845" s="2"/>
    </row>
    <row r="846">
      <c r="E846" s="2"/>
      <c r="F846" s="2"/>
      <c r="I846" s="2"/>
      <c r="J846" s="2"/>
    </row>
    <row r="847">
      <c r="E847" s="2"/>
      <c r="F847" s="2"/>
      <c r="I847" s="2"/>
      <c r="J847" s="2"/>
    </row>
    <row r="848">
      <c r="E848" s="2"/>
      <c r="F848" s="2"/>
      <c r="I848" s="2"/>
      <c r="J848" s="2"/>
    </row>
    <row r="849">
      <c r="E849" s="2"/>
      <c r="F849" s="2"/>
      <c r="I849" s="2"/>
      <c r="J849" s="2"/>
    </row>
    <row r="850">
      <c r="E850" s="2"/>
      <c r="F850" s="2"/>
      <c r="I850" s="2"/>
      <c r="J850" s="2"/>
    </row>
    <row r="851">
      <c r="E851" s="2"/>
      <c r="F851" s="2"/>
      <c r="I851" s="2"/>
      <c r="J851" s="2"/>
    </row>
    <row r="852">
      <c r="E852" s="2"/>
      <c r="F852" s="2"/>
      <c r="I852" s="2"/>
      <c r="J852" s="2"/>
    </row>
    <row r="853">
      <c r="E853" s="2"/>
      <c r="F853" s="2"/>
      <c r="I853" s="2"/>
      <c r="J853" s="2"/>
    </row>
    <row r="854">
      <c r="E854" s="2"/>
      <c r="F854" s="2"/>
      <c r="I854" s="2"/>
      <c r="J854" s="2"/>
    </row>
    <row r="855">
      <c r="E855" s="2"/>
      <c r="F855" s="2"/>
      <c r="I855" s="2"/>
      <c r="J855" s="2"/>
    </row>
    <row r="856">
      <c r="E856" s="2"/>
      <c r="F856" s="2"/>
      <c r="I856" s="2"/>
      <c r="J856" s="2"/>
    </row>
    <row r="857">
      <c r="E857" s="2"/>
      <c r="F857" s="2"/>
      <c r="I857" s="2"/>
      <c r="J857" s="2"/>
    </row>
    <row r="858">
      <c r="E858" s="2"/>
      <c r="F858" s="2"/>
      <c r="I858" s="2"/>
      <c r="J858" s="2"/>
    </row>
    <row r="859">
      <c r="E859" s="2"/>
      <c r="F859" s="2"/>
      <c r="I859" s="2"/>
      <c r="J859" s="2"/>
    </row>
    <row r="860">
      <c r="E860" s="2"/>
      <c r="F860" s="2"/>
      <c r="I860" s="2"/>
      <c r="J860" s="2"/>
    </row>
    <row r="861">
      <c r="E861" s="2"/>
      <c r="F861" s="2"/>
      <c r="I861" s="2"/>
      <c r="J861" s="2"/>
    </row>
    <row r="862">
      <c r="E862" s="2"/>
      <c r="F862" s="2"/>
      <c r="I862" s="2"/>
      <c r="J862" s="2"/>
    </row>
    <row r="863">
      <c r="E863" s="2"/>
      <c r="F863" s="2"/>
      <c r="I863" s="2"/>
      <c r="J863" s="2"/>
    </row>
    <row r="864">
      <c r="E864" s="2"/>
      <c r="F864" s="2"/>
      <c r="I864" s="2"/>
      <c r="J864" s="2"/>
    </row>
    <row r="865">
      <c r="E865" s="2"/>
      <c r="F865" s="2"/>
      <c r="I865" s="2"/>
      <c r="J865" s="2"/>
    </row>
    <row r="866">
      <c r="E866" s="2"/>
      <c r="F866" s="2"/>
      <c r="I866" s="2"/>
      <c r="J866" s="2"/>
    </row>
    <row r="867">
      <c r="E867" s="2"/>
      <c r="F867" s="2"/>
      <c r="I867" s="2"/>
      <c r="J867" s="2"/>
    </row>
    <row r="868">
      <c r="E868" s="2"/>
      <c r="F868" s="2"/>
      <c r="I868" s="2"/>
      <c r="J868" s="2"/>
    </row>
    <row r="869">
      <c r="E869" s="2"/>
      <c r="F869" s="2"/>
      <c r="I869" s="2"/>
      <c r="J869" s="2"/>
    </row>
    <row r="870">
      <c r="E870" s="2"/>
      <c r="F870" s="2"/>
      <c r="I870" s="2"/>
      <c r="J870" s="2"/>
    </row>
    <row r="871">
      <c r="E871" s="2"/>
      <c r="F871" s="2"/>
      <c r="I871" s="2"/>
      <c r="J871" s="2"/>
    </row>
    <row r="872">
      <c r="E872" s="2"/>
      <c r="F872" s="2"/>
      <c r="I872" s="2"/>
      <c r="J872" s="2"/>
    </row>
    <row r="873">
      <c r="E873" s="2"/>
      <c r="F873" s="2"/>
      <c r="I873" s="2"/>
      <c r="J873" s="2"/>
    </row>
    <row r="874">
      <c r="E874" s="2"/>
      <c r="F874" s="2"/>
      <c r="I874" s="2"/>
      <c r="J874" s="2"/>
    </row>
    <row r="875">
      <c r="E875" s="2"/>
      <c r="F875" s="2"/>
      <c r="I875" s="2"/>
      <c r="J875" s="2"/>
    </row>
    <row r="876">
      <c r="E876" s="2"/>
      <c r="F876" s="2"/>
      <c r="I876" s="2"/>
      <c r="J876" s="2"/>
    </row>
    <row r="877">
      <c r="E877" s="2"/>
      <c r="F877" s="2"/>
      <c r="I877" s="2"/>
      <c r="J877" s="2"/>
    </row>
    <row r="878">
      <c r="E878" s="2"/>
      <c r="F878" s="2"/>
      <c r="I878" s="2"/>
      <c r="J878" s="2"/>
    </row>
    <row r="879">
      <c r="E879" s="2"/>
      <c r="F879" s="2"/>
      <c r="I879" s="2"/>
      <c r="J879" s="2"/>
    </row>
    <row r="880">
      <c r="E880" s="2"/>
      <c r="F880" s="2"/>
      <c r="I880" s="2"/>
      <c r="J880" s="2"/>
    </row>
    <row r="881">
      <c r="E881" s="2"/>
      <c r="F881" s="2"/>
      <c r="I881" s="2"/>
      <c r="J881" s="2"/>
    </row>
    <row r="882">
      <c r="E882" s="2"/>
      <c r="F882" s="2"/>
      <c r="I882" s="2"/>
      <c r="J882" s="2"/>
    </row>
    <row r="883">
      <c r="E883" s="2"/>
      <c r="F883" s="2"/>
      <c r="I883" s="2"/>
      <c r="J883" s="2"/>
    </row>
    <row r="884">
      <c r="E884" s="2"/>
      <c r="F884" s="2"/>
      <c r="I884" s="2"/>
      <c r="J884" s="2"/>
    </row>
    <row r="885">
      <c r="E885" s="2"/>
      <c r="F885" s="2"/>
      <c r="I885" s="2"/>
      <c r="J885" s="2"/>
    </row>
    <row r="886">
      <c r="E886" s="2"/>
      <c r="F886" s="2"/>
      <c r="I886" s="2"/>
      <c r="J886" s="2"/>
    </row>
    <row r="887">
      <c r="E887" s="2"/>
      <c r="F887" s="2"/>
      <c r="I887" s="2"/>
      <c r="J887" s="2"/>
    </row>
    <row r="888">
      <c r="E888" s="2"/>
      <c r="F888" s="2"/>
      <c r="I888" s="2"/>
      <c r="J888" s="2"/>
    </row>
    <row r="889">
      <c r="E889" s="2"/>
      <c r="F889" s="2"/>
      <c r="I889" s="2"/>
      <c r="J889" s="2"/>
    </row>
    <row r="890">
      <c r="E890" s="2"/>
      <c r="F890" s="2"/>
      <c r="I890" s="2"/>
      <c r="J890" s="2"/>
    </row>
    <row r="891">
      <c r="E891" s="2"/>
      <c r="F891" s="2"/>
      <c r="I891" s="2"/>
      <c r="J891" s="2"/>
    </row>
    <row r="892">
      <c r="E892" s="2"/>
      <c r="F892" s="2"/>
      <c r="I892" s="2"/>
      <c r="J892" s="2"/>
    </row>
    <row r="893">
      <c r="E893" s="2"/>
      <c r="F893" s="2"/>
      <c r="I893" s="2"/>
      <c r="J893" s="2"/>
    </row>
    <row r="894">
      <c r="E894" s="2"/>
      <c r="F894" s="2"/>
      <c r="I894" s="2"/>
      <c r="J894" s="2"/>
    </row>
    <row r="895">
      <c r="E895" s="2"/>
      <c r="F895" s="2"/>
      <c r="I895" s="2"/>
      <c r="J895" s="2"/>
    </row>
    <row r="896">
      <c r="E896" s="2"/>
      <c r="F896" s="2"/>
      <c r="I896" s="2"/>
      <c r="J896" s="2"/>
    </row>
    <row r="897">
      <c r="E897" s="2"/>
      <c r="F897" s="2"/>
      <c r="I897" s="2"/>
      <c r="J897" s="2"/>
    </row>
    <row r="898">
      <c r="E898" s="2"/>
      <c r="F898" s="2"/>
      <c r="I898" s="2"/>
      <c r="J898" s="2"/>
    </row>
    <row r="899">
      <c r="E899" s="2"/>
      <c r="F899" s="2"/>
      <c r="I899" s="2"/>
      <c r="J899" s="2"/>
    </row>
    <row r="900">
      <c r="E900" s="2"/>
      <c r="F900" s="2"/>
      <c r="I900" s="2"/>
      <c r="J900" s="2"/>
    </row>
    <row r="901">
      <c r="E901" s="2"/>
      <c r="F901" s="2"/>
      <c r="I901" s="2"/>
      <c r="J901" s="2"/>
    </row>
    <row r="902">
      <c r="E902" s="2"/>
      <c r="F902" s="2"/>
      <c r="I902" s="2"/>
      <c r="J902" s="2"/>
    </row>
    <row r="903">
      <c r="E903" s="2"/>
      <c r="F903" s="2"/>
      <c r="I903" s="2"/>
      <c r="J903" s="2"/>
    </row>
    <row r="904">
      <c r="E904" s="2"/>
      <c r="F904" s="2"/>
      <c r="I904" s="2"/>
      <c r="J904" s="2"/>
    </row>
    <row r="905">
      <c r="E905" s="2"/>
      <c r="F905" s="2"/>
      <c r="I905" s="2"/>
      <c r="J905" s="2"/>
    </row>
    <row r="906">
      <c r="E906" s="2"/>
      <c r="F906" s="2"/>
      <c r="I906" s="2"/>
      <c r="J906" s="2"/>
    </row>
    <row r="907">
      <c r="E907" s="2"/>
      <c r="F907" s="2"/>
      <c r="I907" s="2"/>
      <c r="J907" s="2"/>
    </row>
    <row r="908">
      <c r="E908" s="2"/>
      <c r="F908" s="2"/>
      <c r="I908" s="2"/>
      <c r="J908" s="2"/>
    </row>
    <row r="909">
      <c r="E909" s="2"/>
      <c r="F909" s="2"/>
      <c r="I909" s="2"/>
      <c r="J909" s="2"/>
    </row>
    <row r="910">
      <c r="E910" s="2"/>
      <c r="F910" s="2"/>
      <c r="I910" s="2"/>
      <c r="J910" s="2"/>
    </row>
    <row r="911">
      <c r="E911" s="2"/>
      <c r="F911" s="2"/>
      <c r="I911" s="2"/>
      <c r="J911" s="2"/>
    </row>
    <row r="912">
      <c r="E912" s="2"/>
      <c r="F912" s="2"/>
      <c r="I912" s="2"/>
      <c r="J912" s="2"/>
    </row>
    <row r="913">
      <c r="E913" s="2"/>
      <c r="F913" s="2"/>
      <c r="I913" s="2"/>
      <c r="J913" s="2"/>
    </row>
    <row r="914">
      <c r="E914" s="2"/>
      <c r="F914" s="2"/>
      <c r="I914" s="2"/>
      <c r="J914" s="2"/>
    </row>
    <row r="915">
      <c r="E915" s="2"/>
      <c r="F915" s="2"/>
      <c r="I915" s="2"/>
      <c r="J915" s="2"/>
    </row>
    <row r="916">
      <c r="E916" s="2"/>
      <c r="F916" s="2"/>
      <c r="I916" s="2"/>
      <c r="J916" s="2"/>
    </row>
    <row r="917">
      <c r="E917" s="2"/>
      <c r="F917" s="2"/>
      <c r="I917" s="2"/>
      <c r="J917" s="2"/>
    </row>
    <row r="918">
      <c r="E918" s="2"/>
      <c r="F918" s="2"/>
      <c r="I918" s="2"/>
      <c r="J918" s="2"/>
    </row>
    <row r="919">
      <c r="E919" s="2"/>
      <c r="F919" s="2"/>
      <c r="I919" s="2"/>
      <c r="J919" s="2"/>
    </row>
    <row r="920">
      <c r="E920" s="2"/>
      <c r="F920" s="2"/>
      <c r="I920" s="2"/>
      <c r="J920" s="2"/>
    </row>
    <row r="921">
      <c r="E921" s="2"/>
      <c r="F921" s="2"/>
      <c r="I921" s="2"/>
      <c r="J921" s="2"/>
    </row>
    <row r="922">
      <c r="E922" s="2"/>
      <c r="F922" s="2"/>
      <c r="I922" s="2"/>
      <c r="J922" s="2"/>
    </row>
    <row r="923">
      <c r="E923" s="2"/>
      <c r="F923" s="2"/>
      <c r="I923" s="2"/>
      <c r="J923" s="2"/>
    </row>
    <row r="924">
      <c r="E924" s="2"/>
      <c r="F924" s="2"/>
      <c r="I924" s="2"/>
      <c r="J924" s="2"/>
    </row>
    <row r="925">
      <c r="E925" s="2"/>
      <c r="F925" s="2"/>
      <c r="I925" s="2"/>
      <c r="J925" s="2"/>
    </row>
    <row r="926">
      <c r="E926" s="2"/>
      <c r="F926" s="2"/>
      <c r="I926" s="2"/>
      <c r="J926" s="2"/>
    </row>
    <row r="927">
      <c r="E927" s="2"/>
      <c r="F927" s="2"/>
      <c r="I927" s="2"/>
      <c r="J927" s="2"/>
    </row>
    <row r="928">
      <c r="E928" s="2"/>
      <c r="F928" s="2"/>
      <c r="I928" s="2"/>
      <c r="J928" s="2"/>
    </row>
    <row r="929">
      <c r="E929" s="2"/>
      <c r="F929" s="2"/>
      <c r="I929" s="2"/>
      <c r="J929" s="2"/>
    </row>
    <row r="930">
      <c r="E930" s="2"/>
      <c r="F930" s="2"/>
      <c r="I930" s="2"/>
      <c r="J930" s="2"/>
    </row>
    <row r="931">
      <c r="E931" s="2"/>
      <c r="F931" s="2"/>
      <c r="I931" s="2"/>
      <c r="J931" s="2"/>
    </row>
    <row r="932">
      <c r="E932" s="2"/>
      <c r="F932" s="2"/>
      <c r="I932" s="2"/>
      <c r="J932" s="2"/>
    </row>
    <row r="933">
      <c r="E933" s="2"/>
      <c r="F933" s="2"/>
      <c r="I933" s="2"/>
      <c r="J933" s="2"/>
    </row>
    <row r="934">
      <c r="E934" s="2"/>
      <c r="F934" s="2"/>
      <c r="I934" s="2"/>
      <c r="J934" s="2"/>
    </row>
    <row r="935">
      <c r="E935" s="2"/>
      <c r="F935" s="2"/>
      <c r="I935" s="2"/>
      <c r="J935" s="2"/>
    </row>
    <row r="936">
      <c r="E936" s="2"/>
      <c r="F936" s="2"/>
      <c r="I936" s="2"/>
      <c r="J936" s="2"/>
    </row>
    <row r="937">
      <c r="E937" s="2"/>
      <c r="F937" s="2"/>
      <c r="I937" s="2"/>
      <c r="J937" s="2"/>
    </row>
    <row r="938">
      <c r="E938" s="2"/>
      <c r="F938" s="2"/>
      <c r="I938" s="2"/>
      <c r="J938" s="2"/>
    </row>
    <row r="939">
      <c r="E939" s="2"/>
      <c r="F939" s="2"/>
      <c r="I939" s="2"/>
      <c r="J939" s="2"/>
    </row>
    <row r="940">
      <c r="E940" s="2"/>
      <c r="F940" s="2"/>
      <c r="I940" s="2"/>
      <c r="J940" s="2"/>
    </row>
    <row r="941">
      <c r="E941" s="2"/>
      <c r="F941" s="2"/>
      <c r="I941" s="2"/>
      <c r="J941" s="2"/>
    </row>
    <row r="942">
      <c r="E942" s="2"/>
      <c r="F942" s="2"/>
      <c r="I942" s="2"/>
      <c r="J942" s="2"/>
    </row>
    <row r="943">
      <c r="E943" s="2"/>
      <c r="F943" s="2"/>
      <c r="I943" s="2"/>
      <c r="J943" s="2"/>
    </row>
    <row r="944">
      <c r="E944" s="2"/>
      <c r="F944" s="2"/>
      <c r="I944" s="2"/>
      <c r="J944" s="2"/>
    </row>
    <row r="945">
      <c r="E945" s="2"/>
      <c r="F945" s="2"/>
      <c r="I945" s="2"/>
      <c r="J945" s="2"/>
    </row>
    <row r="946">
      <c r="E946" s="2"/>
      <c r="F946" s="2"/>
      <c r="I946" s="2"/>
      <c r="J946" s="2"/>
    </row>
    <row r="947">
      <c r="E947" s="2"/>
      <c r="F947" s="2"/>
      <c r="I947" s="2"/>
      <c r="J947" s="2"/>
    </row>
    <row r="948">
      <c r="E948" s="2"/>
      <c r="F948" s="2"/>
      <c r="I948" s="2"/>
      <c r="J948" s="2"/>
    </row>
    <row r="949">
      <c r="E949" s="2"/>
      <c r="F949" s="2"/>
      <c r="I949" s="2"/>
      <c r="J949" s="2"/>
    </row>
    <row r="950">
      <c r="E950" s="2"/>
      <c r="F950" s="2"/>
      <c r="I950" s="2"/>
      <c r="J950" s="2"/>
    </row>
    <row r="951">
      <c r="E951" s="2"/>
      <c r="F951" s="2"/>
      <c r="I951" s="2"/>
      <c r="J951" s="2"/>
    </row>
    <row r="952">
      <c r="E952" s="2"/>
      <c r="F952" s="2"/>
      <c r="I952" s="2"/>
      <c r="J952" s="2"/>
    </row>
    <row r="953">
      <c r="E953" s="2"/>
      <c r="F953" s="2"/>
      <c r="I953" s="2"/>
      <c r="J953" s="2"/>
    </row>
    <row r="954">
      <c r="E954" s="2"/>
      <c r="F954" s="2"/>
      <c r="I954" s="2"/>
      <c r="J954" s="2"/>
    </row>
    <row r="955">
      <c r="E955" s="2"/>
      <c r="F955" s="2"/>
      <c r="I955" s="2"/>
      <c r="J955" s="2"/>
    </row>
    <row r="956">
      <c r="E956" s="2"/>
      <c r="F956" s="2"/>
      <c r="I956" s="2"/>
      <c r="J956" s="2"/>
    </row>
    <row r="957">
      <c r="E957" s="2"/>
      <c r="F957" s="2"/>
      <c r="I957" s="2"/>
      <c r="J957" s="2"/>
    </row>
    <row r="958">
      <c r="E958" s="2"/>
      <c r="F958" s="2"/>
      <c r="I958" s="2"/>
      <c r="J958" s="2"/>
    </row>
    <row r="959">
      <c r="E959" s="2"/>
      <c r="F959" s="2"/>
      <c r="I959" s="2"/>
      <c r="J959" s="2"/>
    </row>
    <row r="960">
      <c r="E960" s="2"/>
      <c r="F960" s="2"/>
      <c r="I960" s="2"/>
      <c r="J960" s="2"/>
    </row>
    <row r="961">
      <c r="E961" s="2"/>
      <c r="F961" s="2"/>
      <c r="I961" s="2"/>
      <c r="J961" s="2"/>
    </row>
    <row r="962">
      <c r="E962" s="2"/>
      <c r="F962" s="2"/>
      <c r="I962" s="2"/>
      <c r="J962" s="2"/>
    </row>
    <row r="963">
      <c r="E963" s="2"/>
      <c r="F963" s="2"/>
      <c r="I963" s="2"/>
      <c r="J963" s="2"/>
    </row>
    <row r="964">
      <c r="E964" s="2"/>
      <c r="F964" s="2"/>
      <c r="I964" s="2"/>
      <c r="J964" s="2"/>
    </row>
    <row r="965">
      <c r="E965" s="2"/>
      <c r="F965" s="2"/>
      <c r="I965" s="2"/>
      <c r="J965" s="2"/>
    </row>
    <row r="966">
      <c r="E966" s="2"/>
      <c r="F966" s="2"/>
      <c r="I966" s="2"/>
      <c r="J966" s="2"/>
    </row>
    <row r="967">
      <c r="E967" s="2"/>
      <c r="F967" s="2"/>
      <c r="I967" s="2"/>
      <c r="J967" s="2"/>
    </row>
    <row r="968">
      <c r="E968" s="2"/>
      <c r="F968" s="2"/>
      <c r="I968" s="2"/>
      <c r="J968" s="2"/>
    </row>
    <row r="969">
      <c r="E969" s="2"/>
      <c r="F969" s="2"/>
      <c r="I969" s="2"/>
      <c r="J969" s="2"/>
    </row>
    <row r="970">
      <c r="E970" s="2"/>
      <c r="F970" s="2"/>
      <c r="I970" s="2"/>
      <c r="J970" s="2"/>
    </row>
    <row r="971">
      <c r="E971" s="2"/>
      <c r="F971" s="2"/>
      <c r="I971" s="2"/>
      <c r="J971" s="2"/>
    </row>
    <row r="972">
      <c r="E972" s="2"/>
      <c r="F972" s="2"/>
      <c r="I972" s="2"/>
      <c r="J972" s="2"/>
    </row>
    <row r="973">
      <c r="E973" s="2"/>
      <c r="F973" s="2"/>
      <c r="I973" s="2"/>
      <c r="J973" s="2"/>
    </row>
    <row r="974">
      <c r="E974" s="2"/>
      <c r="F974" s="2"/>
      <c r="I974" s="2"/>
      <c r="J974" s="2"/>
    </row>
    <row r="975">
      <c r="E975" s="2"/>
      <c r="F975" s="2"/>
      <c r="I975" s="2"/>
      <c r="J975" s="2"/>
    </row>
    <row r="976">
      <c r="E976" s="2"/>
      <c r="F976" s="2"/>
      <c r="I976" s="2"/>
      <c r="J976" s="2"/>
    </row>
    <row r="977">
      <c r="E977" s="2"/>
      <c r="F977" s="2"/>
      <c r="I977" s="2"/>
      <c r="J977" s="2"/>
    </row>
    <row r="978">
      <c r="E978" s="2"/>
      <c r="F978" s="2"/>
      <c r="I978" s="2"/>
      <c r="J978" s="2"/>
    </row>
    <row r="979">
      <c r="E979" s="2"/>
      <c r="F979" s="2"/>
      <c r="I979" s="2"/>
      <c r="J979" s="2"/>
    </row>
    <row r="980">
      <c r="E980" s="2"/>
      <c r="F980" s="2"/>
      <c r="I980" s="2"/>
      <c r="J980" s="2"/>
    </row>
    <row r="981">
      <c r="E981" s="2"/>
      <c r="F981" s="2"/>
      <c r="I981" s="2"/>
      <c r="J981" s="2"/>
    </row>
    <row r="982">
      <c r="E982" s="2"/>
      <c r="F982" s="2"/>
      <c r="I982" s="2"/>
      <c r="J982" s="2"/>
    </row>
    <row r="983">
      <c r="E983" s="2"/>
      <c r="F983" s="2"/>
      <c r="I983" s="2"/>
      <c r="J983" s="2"/>
    </row>
    <row r="984">
      <c r="E984" s="2"/>
      <c r="F984" s="2"/>
      <c r="I984" s="2"/>
      <c r="J984" s="2"/>
    </row>
    <row r="985">
      <c r="E985" s="2"/>
      <c r="F985" s="2"/>
      <c r="I985" s="2"/>
      <c r="J985" s="2"/>
    </row>
    <row r="986">
      <c r="E986" s="2"/>
      <c r="F986" s="2"/>
      <c r="I986" s="2"/>
      <c r="J986" s="2"/>
    </row>
    <row r="987">
      <c r="E987" s="2"/>
      <c r="F987" s="2"/>
      <c r="I987" s="2"/>
      <c r="J987" s="2"/>
    </row>
    <row r="988">
      <c r="E988" s="2"/>
      <c r="F988" s="2"/>
      <c r="I988" s="2"/>
      <c r="J988" s="2"/>
    </row>
    <row r="989">
      <c r="E989" s="2"/>
      <c r="F989" s="2"/>
      <c r="I989" s="2"/>
      <c r="J989" s="2"/>
    </row>
    <row r="990">
      <c r="E990" s="2"/>
      <c r="F990" s="2"/>
      <c r="I990" s="2"/>
      <c r="J990" s="2"/>
    </row>
    <row r="991">
      <c r="E991" s="2"/>
      <c r="F991" s="2"/>
      <c r="I991" s="2"/>
      <c r="J991" s="2"/>
    </row>
    <row r="992">
      <c r="E992" s="2"/>
      <c r="F992" s="2"/>
      <c r="I992" s="2"/>
      <c r="J992" s="2"/>
    </row>
    <row r="993">
      <c r="E993" s="2"/>
      <c r="F993" s="2"/>
      <c r="I993" s="2"/>
      <c r="J993" s="2"/>
    </row>
    <row r="994">
      <c r="E994" s="2"/>
      <c r="F994" s="2"/>
      <c r="I994" s="2"/>
      <c r="J994" s="2"/>
    </row>
    <row r="995">
      <c r="E995" s="2"/>
      <c r="F995" s="2"/>
      <c r="I995" s="2"/>
      <c r="J995" s="2"/>
    </row>
    <row r="996">
      <c r="E996" s="2"/>
      <c r="F996" s="2"/>
      <c r="I996" s="2"/>
      <c r="J996" s="2"/>
    </row>
    <row r="997">
      <c r="E997" s="2"/>
      <c r="F997" s="2"/>
      <c r="I997" s="2"/>
      <c r="J997" s="2"/>
    </row>
    <row r="998">
      <c r="E998" s="2"/>
      <c r="F998" s="2"/>
      <c r="I998" s="2"/>
      <c r="J998" s="2"/>
    </row>
    <row r="999">
      <c r="E999" s="2"/>
      <c r="F999" s="2"/>
      <c r="I999" s="2"/>
      <c r="J999" s="2"/>
    </row>
    <row r="1000">
      <c r="E1000" s="2"/>
      <c r="F1000" s="2"/>
      <c r="I1000" s="2"/>
      <c r="J1000" s="2"/>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24.88"/>
    <col customWidth="1" min="2" max="2" width="7.13"/>
    <col customWidth="1" min="3" max="3" width="11.38"/>
    <col customWidth="1" min="4" max="4" width="9.38"/>
    <col customWidth="1" min="5" max="5" width="6.13"/>
    <col customWidth="1" min="6" max="6" width="6.25"/>
    <col customWidth="1" min="7" max="7" width="22.63"/>
    <col customWidth="1" min="8" max="8" width="10.13"/>
    <col customWidth="1" min="9" max="9" width="10.5"/>
    <col customWidth="1" min="10" max="10" width="9.5"/>
    <col customWidth="1" min="11" max="11" width="9.88"/>
  </cols>
  <sheetData>
    <row r="1">
      <c r="A1" s="97"/>
      <c r="E1" s="2"/>
      <c r="F1" s="2"/>
      <c r="I1" s="2"/>
      <c r="J1" s="2"/>
    </row>
    <row r="2">
      <c r="A2" s="97"/>
      <c r="E2" s="2"/>
      <c r="F2" s="2"/>
      <c r="G2" s="98" t="s">
        <v>56</v>
      </c>
      <c r="I2" s="2"/>
      <c r="J2" s="2"/>
    </row>
    <row r="3" ht="61.5" customHeight="1">
      <c r="A3" s="97"/>
      <c r="E3" s="2"/>
      <c r="F3" s="2"/>
      <c r="I3" s="2"/>
      <c r="J3" s="2"/>
    </row>
    <row r="4">
      <c r="A4" s="97"/>
      <c r="E4" s="2"/>
      <c r="F4" s="2"/>
      <c r="I4" s="2"/>
      <c r="J4" s="2"/>
    </row>
    <row r="5">
      <c r="A5" s="99" t="str">
        <f>IFERROR(__xludf.DUMMYFUNCTION("QUERY(Sales!A:M,""SELECT * WHERE Col10 IS NOT NULL"",1)"),"DATE")</f>
        <v>DATE</v>
      </c>
      <c r="B5" s="75" t="str">
        <f>IFERROR(__xludf.DUMMYFUNCTION("""COMPUTED_VALUE"""),"ITEM ID")</f>
        <v>ITEM ID</v>
      </c>
      <c r="C5" s="75" t="str">
        <f>IFERROR(__xludf.DUMMYFUNCTION("""COMPUTED_VALUE"""),"ITEM NAME")</f>
        <v>ITEM NAME</v>
      </c>
      <c r="D5" s="75" t="str">
        <f>IFERROR(__xludf.DUMMYFUNCTION("""COMPUTED_VALUE"""),"QUANTITY")</f>
        <v>QUANTITY</v>
      </c>
      <c r="E5" s="62" t="str">
        <f>IFERROR(__xludf.DUMMYFUNCTION("""COMPUTED_VALUE"""),"PRICE")</f>
        <v>PRICE</v>
      </c>
      <c r="F5" s="62" t="str">
        <f>IFERROR(__xludf.DUMMYFUNCTION("""COMPUTED_VALUE"""),"TOTAL")</f>
        <v>TOTAL</v>
      </c>
      <c r="G5" s="75" t="str">
        <f>IFERROR(__xludf.DUMMYFUNCTION("""COMPUTED_VALUE"""),"CUSTOMER NAME")</f>
        <v>CUSTOMER NAME</v>
      </c>
      <c r="H5" s="91" t="str">
        <f>IFERROR(__xludf.DUMMYFUNCTION("""COMPUTED_VALUE"""),"PAYMENT METHOD ")</f>
        <v>PAYMENT METHOD </v>
      </c>
      <c r="I5" s="92" t="str">
        <f>IFERROR(__xludf.DUMMYFUNCTION("""COMPUTED_VALUE"""),"PAYMENT RECEIVED ")</f>
        <v>PAYMENT RECEIVED </v>
      </c>
      <c r="J5" s="92" t="str">
        <f>IFERROR(__xludf.DUMMYFUNCTION("""COMPUTED_VALUE"""),"PAYMENT BALANCE ")</f>
        <v>PAYMENT BALANCE </v>
      </c>
      <c r="K5" s="91" t="str">
        <f>IFERROR(__xludf.DUMMYFUNCTION("""COMPUTED_VALUE"""),"RETURN QUANTITY ")</f>
        <v>RETURN QUANTITY </v>
      </c>
      <c r="L5" s="91" t="str">
        <f>IFERROR(__xludf.DUMMYFUNCTION("""COMPUTED_VALUE"""),"BALANCE QUANTITY")</f>
        <v>BALANCE QUANTITY</v>
      </c>
      <c r="M5" s="91" t="str">
        <f>IFERROR(__xludf.DUMMYFUNCTION("""COMPUTED_VALUE"""),"Narration")</f>
        <v>Narration</v>
      </c>
    </row>
    <row r="6">
      <c r="A6" s="100">
        <f>IFERROR(__xludf.DUMMYFUNCTION("""COMPUTED_VALUE"""),46204.0)</f>
        <v>46204</v>
      </c>
      <c r="B6" s="75" t="str">
        <f>IFERROR(__xludf.DUMMYFUNCTION("""COMPUTED_VALUE"""),"CTRNG")</f>
        <v>CTRNG</v>
      </c>
      <c r="C6" s="75" t="str">
        <f>IFERROR(__xludf.DUMMYFUNCTION("""COMPUTED_VALUE"""),"CTRNG")</f>
        <v>CTRNG</v>
      </c>
      <c r="D6" s="75">
        <f>IFERROR(__xludf.DUMMYFUNCTION("""COMPUTED_VALUE"""),1.0)</f>
        <v>1</v>
      </c>
      <c r="E6" s="62">
        <f>IFERROR(__xludf.DUMMYFUNCTION("""COMPUTED_VALUE"""),850.0)</f>
        <v>850</v>
      </c>
      <c r="F6" s="62">
        <f>IFERROR(__xludf.DUMMYFUNCTION("""COMPUTED_VALUE"""),850.0)</f>
        <v>850</v>
      </c>
      <c r="G6" s="75" t="str">
        <f>IFERROR(__xludf.DUMMYFUNCTION("""COMPUTED_VALUE"""),"Yogesh Caterers")</f>
        <v>Yogesh Caterers</v>
      </c>
      <c r="H6" s="75"/>
      <c r="I6" s="62">
        <f>IFERROR(__xludf.DUMMYFUNCTION("""COMPUTED_VALUE"""),600.0)</f>
        <v>600</v>
      </c>
      <c r="J6" s="62">
        <f>IFERROR(__xludf.DUMMYFUNCTION("""COMPUTED_VALUE"""),250.0)</f>
        <v>250</v>
      </c>
      <c r="K6" s="75">
        <f>IFERROR(__xludf.DUMMYFUNCTION("""COMPUTED_VALUE"""),1.0)</f>
        <v>1</v>
      </c>
      <c r="L6" s="75">
        <f>IFERROR(__xludf.DUMMYFUNCTION("""COMPUTED_VALUE"""),0.0)</f>
        <v>0</v>
      </c>
      <c r="M6" s="75"/>
    </row>
    <row r="7">
      <c r="A7" s="100">
        <f>IFERROR(__xludf.DUMMYFUNCTION("""COMPUTED_VALUE"""),46204.0)</f>
        <v>46204</v>
      </c>
      <c r="B7" s="75" t="str">
        <f>IFERROR(__xludf.DUMMYFUNCTION("""COMPUTED_VALUE"""),"CH")</f>
        <v>CH</v>
      </c>
      <c r="C7" s="75" t="str">
        <f>IFERROR(__xludf.DUMMYFUNCTION("""COMPUTED_VALUE"""),"Chair ")</f>
        <v>Chair </v>
      </c>
      <c r="D7" s="75">
        <f>IFERROR(__xludf.DUMMYFUNCTION("""COMPUTED_VALUE"""),20.0)</f>
        <v>20</v>
      </c>
      <c r="E7" s="62">
        <f>IFERROR(__xludf.DUMMYFUNCTION("""COMPUTED_VALUE"""),4.0)</f>
        <v>4</v>
      </c>
      <c r="F7" s="62">
        <f>IFERROR(__xludf.DUMMYFUNCTION("""COMPUTED_VALUE"""),80.0)</f>
        <v>80</v>
      </c>
      <c r="G7" s="75" t="str">
        <f>IFERROR(__xludf.DUMMYFUNCTION("""COMPUTED_VALUE"""),"Tulja Bhavani Mandap")</f>
        <v>Tulja Bhavani Mandap</v>
      </c>
      <c r="H7" s="75"/>
      <c r="I7" s="62"/>
      <c r="J7" s="62">
        <f>IFERROR(__xludf.DUMMYFUNCTION("""COMPUTED_VALUE"""),80.0)</f>
        <v>80</v>
      </c>
      <c r="K7" s="75">
        <f>IFERROR(__xludf.DUMMYFUNCTION("""COMPUTED_VALUE"""),20.0)</f>
        <v>20</v>
      </c>
      <c r="L7" s="75">
        <f>IFERROR(__xludf.DUMMYFUNCTION("""COMPUTED_VALUE"""),0.0)</f>
        <v>0</v>
      </c>
      <c r="M7" s="75"/>
    </row>
    <row r="8">
      <c r="A8" s="100">
        <f>IFERROR(__xludf.DUMMYFUNCTION("""COMPUTED_VALUE"""),46204.0)</f>
        <v>46204</v>
      </c>
      <c r="B8" s="75" t="str">
        <f>IFERROR(__xludf.DUMMYFUNCTION("""COMPUTED_VALUE"""),"CH")</f>
        <v>CH</v>
      </c>
      <c r="C8" s="75" t="str">
        <f>IFERROR(__xludf.DUMMYFUNCTION("""COMPUTED_VALUE"""),"Chair ")</f>
        <v>Chair </v>
      </c>
      <c r="D8" s="75">
        <f>IFERROR(__xludf.DUMMYFUNCTION("""COMPUTED_VALUE"""),70.0)</f>
        <v>70</v>
      </c>
      <c r="E8" s="62">
        <f>IFERROR(__xludf.DUMMYFUNCTION("""COMPUTED_VALUE"""),4.0)</f>
        <v>4</v>
      </c>
      <c r="F8" s="62">
        <f>IFERROR(__xludf.DUMMYFUNCTION("""COMPUTED_VALUE"""),280.0)</f>
        <v>280</v>
      </c>
      <c r="G8" s="75" t="str">
        <f>IFERROR(__xludf.DUMMYFUNCTION("""COMPUTED_VALUE"""),"Tulja Bhavani Mandap")</f>
        <v>Tulja Bhavani Mandap</v>
      </c>
      <c r="H8" s="75"/>
      <c r="I8" s="62"/>
      <c r="J8" s="62">
        <f>IFERROR(__xludf.DUMMYFUNCTION("""COMPUTED_VALUE"""),280.0)</f>
        <v>280</v>
      </c>
      <c r="K8" s="75">
        <f>IFERROR(__xludf.DUMMYFUNCTION("""COMPUTED_VALUE"""),70.0)</f>
        <v>70</v>
      </c>
      <c r="L8" s="75">
        <f>IFERROR(__xludf.DUMMYFUNCTION("""COMPUTED_VALUE"""),0.0)</f>
        <v>0</v>
      </c>
      <c r="M8" s="75"/>
    </row>
    <row r="9">
      <c r="A9" s="100">
        <f>IFERROR(__xludf.DUMMYFUNCTION("""COMPUTED_VALUE"""),46206.0)</f>
        <v>46206</v>
      </c>
      <c r="B9" s="75" t="str">
        <f>IFERROR(__xludf.DUMMYFUNCTION("""COMPUTED_VALUE"""),"CTRNG")</f>
        <v>CTRNG</v>
      </c>
      <c r="C9" s="75" t="str">
        <f>IFERROR(__xludf.DUMMYFUNCTION("""COMPUTED_VALUE"""),"CTRNG")</f>
        <v>CTRNG</v>
      </c>
      <c r="D9" s="75">
        <f>IFERROR(__xludf.DUMMYFUNCTION("""COMPUTED_VALUE"""),1.0)</f>
        <v>1</v>
      </c>
      <c r="E9" s="62">
        <f>IFERROR(__xludf.DUMMYFUNCTION("""COMPUTED_VALUE"""),50.0)</f>
        <v>50</v>
      </c>
      <c r="F9" s="62">
        <f>IFERROR(__xludf.DUMMYFUNCTION("""COMPUTED_VALUE"""),50.0)</f>
        <v>50</v>
      </c>
      <c r="G9" s="75" t="str">
        <f>IFERROR(__xludf.DUMMYFUNCTION("""COMPUTED_VALUE"""),"CASH")</f>
        <v>CASH</v>
      </c>
      <c r="H9" s="75"/>
      <c r="I9" s="62"/>
      <c r="J9" s="62">
        <f>IFERROR(__xludf.DUMMYFUNCTION("""COMPUTED_VALUE"""),50.0)</f>
        <v>50</v>
      </c>
      <c r="K9" s="75">
        <f>IFERROR(__xludf.DUMMYFUNCTION("""COMPUTED_VALUE"""),1.0)</f>
        <v>1</v>
      </c>
      <c r="L9" s="75">
        <f>IFERROR(__xludf.DUMMYFUNCTION("""COMPUTED_VALUE"""),0.0)</f>
        <v>0</v>
      </c>
      <c r="M9" s="75" t="str">
        <f>IFERROR(__xludf.DUMMYFUNCTION("""COMPUTED_VALUE"""),"Vijay jadhav")</f>
        <v>Vijay jadhav</v>
      </c>
    </row>
    <row r="10">
      <c r="A10" s="100">
        <f>IFERROR(__xludf.DUMMYFUNCTION("""COMPUTED_VALUE"""),46207.0)</f>
        <v>46207</v>
      </c>
      <c r="B10" s="75" t="str">
        <f>IFERROR(__xludf.DUMMYFUNCTION("""COMPUTED_VALUE"""),"CTRNG")</f>
        <v>CTRNG</v>
      </c>
      <c r="C10" s="75" t="str">
        <f>IFERROR(__xludf.DUMMYFUNCTION("""COMPUTED_VALUE"""),"CTRNG")</f>
        <v>CTRNG</v>
      </c>
      <c r="D10" s="75">
        <f>IFERROR(__xludf.DUMMYFUNCTION("""COMPUTED_VALUE"""),1.0)</f>
        <v>1</v>
      </c>
      <c r="E10" s="62">
        <f>IFERROR(__xludf.DUMMYFUNCTION("""COMPUTED_VALUE"""),330.0)</f>
        <v>330</v>
      </c>
      <c r="F10" s="62">
        <f>IFERROR(__xludf.DUMMYFUNCTION("""COMPUTED_VALUE"""),330.0)</f>
        <v>330</v>
      </c>
      <c r="G10" s="75" t="str">
        <f>IFERROR(__xludf.DUMMYFUNCTION("""COMPUTED_VALUE"""),"Abhiman Kharat")</f>
        <v>Abhiman Kharat</v>
      </c>
      <c r="H10" s="75"/>
      <c r="I10" s="62">
        <f>IFERROR(__xludf.DUMMYFUNCTION("""COMPUTED_VALUE"""),100.0)</f>
        <v>100</v>
      </c>
      <c r="J10" s="62">
        <f>IFERROR(__xludf.DUMMYFUNCTION("""COMPUTED_VALUE"""),230.0)</f>
        <v>230</v>
      </c>
      <c r="K10" s="75">
        <f>IFERROR(__xludf.DUMMYFUNCTION("""COMPUTED_VALUE"""),1.0)</f>
        <v>1</v>
      </c>
      <c r="L10" s="75">
        <f>IFERROR(__xludf.DUMMYFUNCTION("""COMPUTED_VALUE"""),0.0)</f>
        <v>0</v>
      </c>
      <c r="M10" s="75"/>
    </row>
    <row r="11">
      <c r="A11" s="100">
        <f>IFERROR(__xludf.DUMMYFUNCTION("""COMPUTED_VALUE"""),46206.0)</f>
        <v>46206</v>
      </c>
      <c r="B11" s="75" t="str">
        <f>IFERROR(__xludf.DUMMYFUNCTION("""COMPUTED_VALUE"""),"CTRNG")</f>
        <v>CTRNG</v>
      </c>
      <c r="C11" s="75" t="str">
        <f>IFERROR(__xludf.DUMMYFUNCTION("""COMPUTED_VALUE"""),"CTRNG")</f>
        <v>CTRNG</v>
      </c>
      <c r="D11" s="75">
        <f>IFERROR(__xludf.DUMMYFUNCTION("""COMPUTED_VALUE"""),1.0)</f>
        <v>1</v>
      </c>
      <c r="E11" s="62">
        <f>IFERROR(__xludf.DUMMYFUNCTION("""COMPUTED_VALUE"""),450.0)</f>
        <v>450</v>
      </c>
      <c r="F11" s="62">
        <f>IFERROR(__xludf.DUMMYFUNCTION("""COMPUTED_VALUE"""),450.0)</f>
        <v>450</v>
      </c>
      <c r="G11" s="75" t="str">
        <f>IFERROR(__xludf.DUMMYFUNCTION("""COMPUTED_VALUE"""),"Ganesh Mandap T")</f>
        <v>Ganesh Mandap T</v>
      </c>
      <c r="H11" s="75"/>
      <c r="I11" s="62"/>
      <c r="J11" s="62">
        <f>IFERROR(__xludf.DUMMYFUNCTION("""COMPUTED_VALUE"""),450.0)</f>
        <v>450</v>
      </c>
      <c r="K11" s="75">
        <f>IFERROR(__xludf.DUMMYFUNCTION("""COMPUTED_VALUE"""),1.0)</f>
        <v>1</v>
      </c>
      <c r="L11" s="75">
        <f>IFERROR(__xludf.DUMMYFUNCTION("""COMPUTED_VALUE"""),0.0)</f>
        <v>0</v>
      </c>
      <c r="M11" s="75"/>
    </row>
    <row r="12">
      <c r="A12" s="100">
        <f>IFERROR(__xludf.DUMMYFUNCTION("""COMPUTED_VALUE"""),46206.0)</f>
        <v>46206</v>
      </c>
      <c r="B12" s="75" t="str">
        <f>IFERROR(__xludf.DUMMYFUNCTION("""COMPUTED_VALUE"""),"HLC")</f>
        <v>HLC</v>
      </c>
      <c r="C12" s="75" t="str">
        <f>IFERROR(__xludf.DUMMYFUNCTION("""COMPUTED_VALUE"""),"Halad Chair")</f>
        <v>Halad Chair</v>
      </c>
      <c r="D12" s="75">
        <f>IFERROR(__xludf.DUMMYFUNCTION("""COMPUTED_VALUE"""),1.0)</f>
        <v>1</v>
      </c>
      <c r="E12" s="62">
        <f>IFERROR(__xludf.DUMMYFUNCTION("""COMPUTED_VALUE"""),300.0)</f>
        <v>300</v>
      </c>
      <c r="F12" s="62">
        <f>IFERROR(__xludf.DUMMYFUNCTION("""COMPUTED_VALUE"""),300.0)</f>
        <v>300</v>
      </c>
      <c r="G12" s="75" t="str">
        <f>IFERROR(__xludf.DUMMYFUNCTION("""COMPUTED_VALUE"""),"Ganesh Mandap T")</f>
        <v>Ganesh Mandap T</v>
      </c>
      <c r="H12" s="75"/>
      <c r="I12" s="62"/>
      <c r="J12" s="62">
        <f>IFERROR(__xludf.DUMMYFUNCTION("""COMPUTED_VALUE"""),300.0)</f>
        <v>300</v>
      </c>
      <c r="K12" s="75">
        <f>IFERROR(__xludf.DUMMYFUNCTION("""COMPUTED_VALUE"""),1.0)</f>
        <v>1</v>
      </c>
      <c r="L12" s="75">
        <f>IFERROR(__xludf.DUMMYFUNCTION("""COMPUTED_VALUE"""),0.0)</f>
        <v>0</v>
      </c>
      <c r="M12" s="75"/>
    </row>
    <row r="13">
      <c r="A13" s="100">
        <f>IFERROR(__xludf.DUMMYFUNCTION("""COMPUTED_VALUE"""),46206.0)</f>
        <v>46206</v>
      </c>
      <c r="B13" s="75"/>
      <c r="C13" s="75"/>
      <c r="D13" s="75"/>
      <c r="E13" s="62">
        <f>IFERROR(__xludf.DUMMYFUNCTION("""COMPUTED_VALUE"""),0.0)</f>
        <v>0</v>
      </c>
      <c r="F13" s="62">
        <f>IFERROR(__xludf.DUMMYFUNCTION("""COMPUTED_VALUE"""),0.0)</f>
        <v>0</v>
      </c>
      <c r="G13" s="75" t="str">
        <f>IFERROR(__xludf.DUMMYFUNCTION("""COMPUTED_VALUE"""),"Atul Salve")</f>
        <v>Atul Salve</v>
      </c>
      <c r="H13" s="75"/>
      <c r="I13" s="62">
        <f>IFERROR(__xludf.DUMMYFUNCTION("""COMPUTED_VALUE"""),1000.0)</f>
        <v>1000</v>
      </c>
      <c r="J13" s="62">
        <f>IFERROR(__xludf.DUMMYFUNCTION("""COMPUTED_VALUE"""),-1000.0)</f>
        <v>-1000</v>
      </c>
      <c r="K13" s="75"/>
      <c r="L13" s="75">
        <f>IFERROR(__xludf.DUMMYFUNCTION("""COMPUTED_VALUE"""),0.0)</f>
        <v>0</v>
      </c>
      <c r="M13" s="75"/>
    </row>
    <row r="14">
      <c r="A14" s="100">
        <f>IFERROR(__xludf.DUMMYFUNCTION("""COMPUTED_VALUE"""),46208.0)</f>
        <v>46208</v>
      </c>
      <c r="B14" s="75" t="str">
        <f>IFERROR(__xludf.DUMMYFUNCTION("""COMPUTED_VALUE"""),"PLN")</f>
        <v>PLN</v>
      </c>
      <c r="C14" s="75" t="str">
        <f>IFERROR(__xludf.DUMMYFUNCTION("""COMPUTED_VALUE"""),"Palna")</f>
        <v>Palna</v>
      </c>
      <c r="D14" s="75">
        <f>IFERROR(__xludf.DUMMYFUNCTION("""COMPUTED_VALUE"""),1.0)</f>
        <v>1</v>
      </c>
      <c r="E14" s="62">
        <f>IFERROR(__xludf.DUMMYFUNCTION("""COMPUTED_VALUE"""),500.0)</f>
        <v>500</v>
      </c>
      <c r="F14" s="62">
        <f>IFERROR(__xludf.DUMMYFUNCTION("""COMPUTED_VALUE"""),500.0)</f>
        <v>500</v>
      </c>
      <c r="G14" s="75" t="str">
        <f>IFERROR(__xludf.DUMMYFUNCTION("""COMPUTED_VALUE"""),"Ayush Mandap")</f>
        <v>Ayush Mandap</v>
      </c>
      <c r="H14" s="75"/>
      <c r="I14" s="62">
        <f>IFERROR(__xludf.DUMMYFUNCTION("""COMPUTED_VALUE"""),0.0)</f>
        <v>0</v>
      </c>
      <c r="J14" s="62">
        <f>IFERROR(__xludf.DUMMYFUNCTION("""COMPUTED_VALUE"""),500.0)</f>
        <v>500</v>
      </c>
      <c r="K14" s="75">
        <f>IFERROR(__xludf.DUMMYFUNCTION("""COMPUTED_VALUE"""),1.0)</f>
        <v>1</v>
      </c>
      <c r="L14" s="75">
        <f>IFERROR(__xludf.DUMMYFUNCTION("""COMPUTED_VALUE"""),0.0)</f>
        <v>0</v>
      </c>
      <c r="M14" s="75"/>
    </row>
    <row r="15">
      <c r="A15" s="100">
        <f>IFERROR(__xludf.DUMMYFUNCTION("""COMPUTED_VALUE"""),46208.0)</f>
        <v>46208</v>
      </c>
      <c r="B15" s="75" t="str">
        <f>IFERROR(__xludf.DUMMYFUNCTION("""COMPUTED_VALUE"""),"CTRNG")</f>
        <v>CTRNG</v>
      </c>
      <c r="C15" s="75" t="str">
        <f>IFERROR(__xludf.DUMMYFUNCTION("""COMPUTED_VALUE"""),"CTRNG")</f>
        <v>CTRNG</v>
      </c>
      <c r="D15" s="75">
        <f>IFERROR(__xludf.DUMMYFUNCTION("""COMPUTED_VALUE"""),1.0)</f>
        <v>1</v>
      </c>
      <c r="E15" s="62">
        <f>IFERROR(__xludf.DUMMYFUNCTION("""COMPUTED_VALUE"""),900.0)</f>
        <v>900</v>
      </c>
      <c r="F15" s="62">
        <f>IFERROR(__xludf.DUMMYFUNCTION("""COMPUTED_VALUE"""),900.0)</f>
        <v>900</v>
      </c>
      <c r="G15" s="75" t="str">
        <f>IFERROR(__xludf.DUMMYFUNCTION("""COMPUTED_VALUE"""),"Yogesh Caterers")</f>
        <v>Yogesh Caterers</v>
      </c>
      <c r="H15" s="75"/>
      <c r="I15" s="62"/>
      <c r="J15" s="62">
        <f>IFERROR(__xludf.DUMMYFUNCTION("""COMPUTED_VALUE"""),900.0)</f>
        <v>900</v>
      </c>
      <c r="K15" s="75">
        <f>IFERROR(__xludf.DUMMYFUNCTION("""COMPUTED_VALUE"""),1.0)</f>
        <v>1</v>
      </c>
      <c r="L15" s="75">
        <f>IFERROR(__xludf.DUMMYFUNCTION("""COMPUTED_VALUE"""),0.0)</f>
        <v>0</v>
      </c>
      <c r="M15" s="75"/>
    </row>
    <row r="16">
      <c r="A16" s="100">
        <f>IFERROR(__xludf.DUMMYFUNCTION("""COMPUTED_VALUE"""),46210.0)</f>
        <v>46210</v>
      </c>
      <c r="B16" s="75" t="str">
        <f>IFERROR(__xludf.DUMMYFUNCTION("""COMPUTED_VALUE"""),"THRMS")</f>
        <v>THRMS</v>
      </c>
      <c r="C16" s="75" t="str">
        <f>IFERROR(__xludf.DUMMYFUNCTION("""COMPUTED_VALUE"""),"Thermos")</f>
        <v>Thermos</v>
      </c>
      <c r="D16" s="75">
        <f>IFERROR(__xludf.DUMMYFUNCTION("""COMPUTED_VALUE"""),1.0)</f>
        <v>1</v>
      </c>
      <c r="E16" s="62">
        <f>IFERROR(__xludf.DUMMYFUNCTION("""COMPUTED_VALUE"""),50.0)</f>
        <v>50</v>
      </c>
      <c r="F16" s="62">
        <f>IFERROR(__xludf.DUMMYFUNCTION("""COMPUTED_VALUE"""),50.0)</f>
        <v>50</v>
      </c>
      <c r="G16" s="75" t="str">
        <f>IFERROR(__xludf.DUMMYFUNCTION("""COMPUTED_VALUE"""),"CASH")</f>
        <v>CASH</v>
      </c>
      <c r="H16" s="75"/>
      <c r="I16" s="62"/>
      <c r="J16" s="62">
        <f>IFERROR(__xludf.DUMMYFUNCTION("""COMPUTED_VALUE"""),50.0)</f>
        <v>50</v>
      </c>
      <c r="K16" s="75">
        <f>IFERROR(__xludf.DUMMYFUNCTION("""COMPUTED_VALUE"""),1.0)</f>
        <v>1</v>
      </c>
      <c r="L16" s="75">
        <f>IFERROR(__xludf.DUMMYFUNCTION("""COMPUTED_VALUE"""),0.0)</f>
        <v>0</v>
      </c>
      <c r="M16" s="75" t="str">
        <f>IFERROR(__xludf.DUMMYFUNCTION("""COMPUTED_VALUE"""),"Bhagwat Pawar")</f>
        <v>Bhagwat Pawar</v>
      </c>
    </row>
    <row r="17">
      <c r="A17" s="100">
        <f>IFERROR(__xludf.DUMMYFUNCTION("""COMPUTED_VALUE"""),46213.0)</f>
        <v>46213</v>
      </c>
      <c r="B17" s="75" t="str">
        <f>IFERROR(__xludf.DUMMYFUNCTION("""COMPUTED_VALUE"""),"AB")</f>
        <v>AB</v>
      </c>
      <c r="C17" s="75" t="str">
        <f>IFERROR(__xludf.DUMMYFUNCTION("""COMPUTED_VALUE"""),"Ahuja Speaker")</f>
        <v>Ahuja Speaker</v>
      </c>
      <c r="D17" s="75">
        <f>IFERROR(__xludf.DUMMYFUNCTION("""COMPUTED_VALUE"""),1.0)</f>
        <v>1</v>
      </c>
      <c r="E17" s="62">
        <f>IFERROR(__xludf.DUMMYFUNCTION("""COMPUTED_VALUE"""),500.0)</f>
        <v>500</v>
      </c>
      <c r="F17" s="62">
        <f>IFERROR(__xludf.DUMMYFUNCTION("""COMPUTED_VALUE"""),500.0)</f>
        <v>500</v>
      </c>
      <c r="G17" s="75" t="str">
        <f>IFERROR(__xludf.DUMMYFUNCTION("""COMPUTED_VALUE"""),"CASH")</f>
        <v>CASH</v>
      </c>
      <c r="H17" s="75"/>
      <c r="I17" s="62"/>
      <c r="J17" s="62">
        <f>IFERROR(__xludf.DUMMYFUNCTION("""COMPUTED_VALUE"""),500.0)</f>
        <v>500</v>
      </c>
      <c r="K17" s="75">
        <f>IFERROR(__xludf.DUMMYFUNCTION("""COMPUTED_VALUE"""),1.0)</f>
        <v>1</v>
      </c>
      <c r="L17" s="75">
        <f>IFERROR(__xludf.DUMMYFUNCTION("""COMPUTED_VALUE"""),0.0)</f>
        <v>0</v>
      </c>
      <c r="M17" s="75"/>
    </row>
    <row r="18">
      <c r="A18" s="100">
        <f>IFERROR(__xludf.DUMMYFUNCTION("""COMPUTED_VALUE"""),46213.0)</f>
        <v>46213</v>
      </c>
      <c r="B18" s="75" t="str">
        <f>IFERROR(__xludf.DUMMYFUNCTION("""COMPUTED_VALUE"""),"CTRNG")</f>
        <v>CTRNG</v>
      </c>
      <c r="C18" s="75" t="str">
        <f>IFERROR(__xludf.DUMMYFUNCTION("""COMPUTED_VALUE"""),"CTRNG")</f>
        <v>CTRNG</v>
      </c>
      <c r="D18" s="75">
        <f>IFERROR(__xludf.DUMMYFUNCTION("""COMPUTED_VALUE"""),1.0)</f>
        <v>1</v>
      </c>
      <c r="E18" s="62">
        <f>IFERROR(__xludf.DUMMYFUNCTION("""COMPUTED_VALUE"""),100.0)</f>
        <v>100</v>
      </c>
      <c r="F18" s="62">
        <f>IFERROR(__xludf.DUMMYFUNCTION("""COMPUTED_VALUE"""),100.0)</f>
        <v>100</v>
      </c>
      <c r="G18" s="75" t="str">
        <f>IFERROR(__xludf.DUMMYFUNCTION("""COMPUTED_VALUE"""),"CASH")</f>
        <v>CASH</v>
      </c>
      <c r="H18" s="75"/>
      <c r="I18" s="62"/>
      <c r="J18" s="62">
        <f>IFERROR(__xludf.DUMMYFUNCTION("""COMPUTED_VALUE"""),100.0)</f>
        <v>100</v>
      </c>
      <c r="K18" s="75"/>
      <c r="L18" s="75"/>
      <c r="M18" s="75" t="str">
        <f>IFERROR(__xludf.DUMMYFUNCTION("""COMPUTED_VALUE"""),"Prem Jangale")</f>
        <v>Prem Jangale</v>
      </c>
    </row>
    <row r="19">
      <c r="A19" s="100">
        <f>IFERROR(__xludf.DUMMYFUNCTION("""COMPUTED_VALUE"""),46213.0)</f>
        <v>46213</v>
      </c>
      <c r="B19" s="75" t="str">
        <f>IFERROR(__xludf.DUMMYFUNCTION("""COMPUTED_VALUE"""),"CTRNG")</f>
        <v>CTRNG</v>
      </c>
      <c r="C19" s="75" t="str">
        <f>IFERROR(__xludf.DUMMYFUNCTION("""COMPUTED_VALUE"""),"CTRNG")</f>
        <v>CTRNG</v>
      </c>
      <c r="D19" s="75">
        <f>IFERROR(__xludf.DUMMYFUNCTION("""COMPUTED_VALUE"""),1.0)</f>
        <v>1</v>
      </c>
      <c r="E19" s="62">
        <f>IFERROR(__xludf.DUMMYFUNCTION("""COMPUTED_VALUE"""),100.0)</f>
        <v>100</v>
      </c>
      <c r="F19" s="62">
        <f>IFERROR(__xludf.DUMMYFUNCTION("""COMPUTED_VALUE"""),100.0)</f>
        <v>100</v>
      </c>
      <c r="G19" s="75" t="str">
        <f>IFERROR(__xludf.DUMMYFUNCTION("""COMPUTED_VALUE"""),"CASH")</f>
        <v>CASH</v>
      </c>
      <c r="H19" s="75"/>
      <c r="I19" s="62"/>
      <c r="J19" s="62">
        <f>IFERROR(__xludf.DUMMYFUNCTION("""COMPUTED_VALUE"""),100.0)</f>
        <v>100</v>
      </c>
      <c r="K19" s="75"/>
      <c r="L19" s="75"/>
      <c r="M19" s="75"/>
    </row>
    <row r="20">
      <c r="A20" s="100">
        <f>IFERROR(__xludf.DUMMYFUNCTION("""COMPUTED_VALUE"""),46213.0)</f>
        <v>46213</v>
      </c>
      <c r="B20" s="75" t="str">
        <f>IFERROR(__xludf.DUMMYFUNCTION("""COMPUTED_VALUE"""),"SMI")</f>
        <v>SMI</v>
      </c>
      <c r="C20" s="75" t="str">
        <f>IFERROR(__xludf.DUMMYFUNCTION("""COMPUTED_VALUE"""),"Samai")</f>
        <v>Samai</v>
      </c>
      <c r="D20" s="75">
        <f>IFERROR(__xludf.DUMMYFUNCTION("""COMPUTED_VALUE"""),1.0)</f>
        <v>1</v>
      </c>
      <c r="E20" s="62">
        <f>IFERROR(__xludf.DUMMYFUNCTION("""COMPUTED_VALUE"""),300.0)</f>
        <v>300</v>
      </c>
      <c r="F20" s="62">
        <f>IFERROR(__xludf.DUMMYFUNCTION("""COMPUTED_VALUE"""),300.0)</f>
        <v>300</v>
      </c>
      <c r="G20" s="75" t="str">
        <f>IFERROR(__xludf.DUMMYFUNCTION("""COMPUTED_VALUE"""),"CASH")</f>
        <v>CASH</v>
      </c>
      <c r="H20" s="75"/>
      <c r="I20" s="62"/>
      <c r="J20" s="62">
        <f>IFERROR(__xludf.DUMMYFUNCTION("""COMPUTED_VALUE"""),300.0)</f>
        <v>300</v>
      </c>
      <c r="K20" s="75"/>
      <c r="L20" s="75"/>
      <c r="M20" s="75" t="str">
        <f>IFERROR(__xludf.DUMMYFUNCTION("""COMPUTED_VALUE"""),"Indriya Jewellers")</f>
        <v>Indriya Jewellers</v>
      </c>
    </row>
    <row r="21">
      <c r="A21" s="100">
        <f>IFERROR(__xludf.DUMMYFUNCTION("""COMPUTED_VALUE"""),46210.0)</f>
        <v>46210</v>
      </c>
      <c r="B21" s="75" t="str">
        <f>IFERROR(__xludf.DUMMYFUNCTION("""COMPUTED_VALUE"""),"GD SET")</f>
        <v>GD SET</v>
      </c>
      <c r="C21" s="75" t="str">
        <f>IFERROR(__xludf.DUMMYFUNCTION("""COMPUTED_VALUE"""),"Gadi Set")</f>
        <v>Gadi Set</v>
      </c>
      <c r="D21" s="75">
        <f>IFERROR(__xludf.DUMMYFUNCTION("""COMPUTED_VALUE"""),1.0)</f>
        <v>1</v>
      </c>
      <c r="E21" s="62">
        <f>IFERROR(__xludf.DUMMYFUNCTION("""COMPUTED_VALUE"""),6000.0)</f>
        <v>6000</v>
      </c>
      <c r="F21" s="62">
        <f>IFERROR(__xludf.DUMMYFUNCTION("""COMPUTED_VALUE"""),6000.0)</f>
        <v>6000</v>
      </c>
      <c r="G21" s="75" t="str">
        <f>IFERROR(__xludf.DUMMYFUNCTION("""COMPUTED_VALUE"""),"Rajdhani Mandap")</f>
        <v>Rajdhani Mandap</v>
      </c>
      <c r="H21" s="75"/>
      <c r="I21" s="62">
        <f>IFERROR(__xludf.DUMMYFUNCTION("""COMPUTED_VALUE"""),4000.0)</f>
        <v>4000</v>
      </c>
      <c r="J21" s="62">
        <f>IFERROR(__xludf.DUMMYFUNCTION("""COMPUTED_VALUE"""),2000.0)</f>
        <v>2000</v>
      </c>
      <c r="K21" s="75"/>
      <c r="L21" s="75"/>
      <c r="M21" s="75"/>
    </row>
    <row r="22">
      <c r="A22" s="99"/>
      <c r="B22" s="75"/>
      <c r="C22" s="75"/>
      <c r="D22" s="75"/>
      <c r="E22" s="62"/>
      <c r="F22" s="62"/>
      <c r="G22" s="75"/>
      <c r="H22" s="75"/>
      <c r="I22" s="62"/>
      <c r="J22" s="62"/>
      <c r="K22" s="75"/>
      <c r="L22" s="75"/>
      <c r="M22" s="75"/>
    </row>
    <row r="23">
      <c r="A23" s="99"/>
      <c r="B23" s="75"/>
      <c r="C23" s="75"/>
      <c r="D23" s="75"/>
      <c r="E23" s="62"/>
      <c r="F23" s="62"/>
      <c r="G23" s="75"/>
      <c r="H23" s="75"/>
      <c r="I23" s="62"/>
      <c r="J23" s="62"/>
      <c r="K23" s="75"/>
      <c r="L23" s="75"/>
      <c r="M23" s="75"/>
    </row>
    <row r="24">
      <c r="A24" s="99"/>
      <c r="B24" s="75"/>
      <c r="C24" s="75"/>
      <c r="D24" s="75"/>
      <c r="E24" s="62"/>
      <c r="F24" s="62"/>
      <c r="G24" s="75"/>
      <c r="H24" s="75"/>
      <c r="I24" s="62"/>
      <c r="J24" s="62"/>
      <c r="K24" s="75"/>
      <c r="L24" s="75"/>
      <c r="M24" s="75"/>
    </row>
    <row r="25">
      <c r="A25" s="99"/>
      <c r="B25" s="75"/>
      <c r="C25" s="75"/>
      <c r="D25" s="75"/>
      <c r="E25" s="62"/>
      <c r="F25" s="62"/>
      <c r="G25" s="75"/>
      <c r="H25" s="75"/>
      <c r="I25" s="62"/>
      <c r="J25" s="62"/>
      <c r="K25" s="75"/>
      <c r="L25" s="75"/>
      <c r="M25" s="75"/>
    </row>
    <row r="26">
      <c r="A26" s="99"/>
      <c r="B26" s="75"/>
      <c r="C26" s="75"/>
      <c r="D26" s="75"/>
      <c r="E26" s="62"/>
      <c r="F26" s="62"/>
      <c r="G26" s="75"/>
      <c r="H26" s="75"/>
      <c r="I26" s="62"/>
      <c r="J26" s="62"/>
      <c r="K26" s="75"/>
      <c r="L26" s="75"/>
      <c r="M26" s="75"/>
    </row>
    <row r="27">
      <c r="A27" s="99"/>
      <c r="B27" s="75"/>
      <c r="C27" s="75"/>
      <c r="D27" s="75"/>
      <c r="E27" s="62"/>
      <c r="F27" s="62"/>
      <c r="G27" s="75"/>
      <c r="H27" s="75"/>
      <c r="I27" s="62"/>
      <c r="J27" s="62"/>
      <c r="K27" s="75"/>
      <c r="L27" s="75"/>
      <c r="M27" s="75"/>
    </row>
    <row r="28">
      <c r="A28" s="99"/>
      <c r="B28" s="75"/>
      <c r="C28" s="75"/>
      <c r="D28" s="75"/>
      <c r="E28" s="62"/>
      <c r="F28" s="62"/>
      <c r="G28" s="75"/>
      <c r="H28" s="75"/>
      <c r="I28" s="62"/>
      <c r="J28" s="62"/>
      <c r="K28" s="75"/>
      <c r="L28" s="75"/>
      <c r="M28" s="75"/>
    </row>
    <row r="29">
      <c r="A29" s="99"/>
      <c r="B29" s="75"/>
      <c r="C29" s="75"/>
      <c r="D29" s="75"/>
      <c r="E29" s="62"/>
      <c r="F29" s="62"/>
      <c r="G29" s="75"/>
      <c r="H29" s="75"/>
      <c r="I29" s="62"/>
      <c r="J29" s="62"/>
      <c r="K29" s="75"/>
      <c r="L29" s="75"/>
      <c r="M29" s="75"/>
    </row>
    <row r="30">
      <c r="A30" s="99"/>
      <c r="B30" s="75"/>
      <c r="C30" s="75"/>
      <c r="D30" s="75"/>
      <c r="E30" s="62"/>
      <c r="F30" s="62"/>
      <c r="G30" s="75"/>
      <c r="H30" s="75"/>
      <c r="I30" s="62"/>
      <c r="J30" s="62"/>
      <c r="K30" s="75"/>
      <c r="L30" s="75"/>
      <c r="M30" s="75"/>
    </row>
    <row r="31">
      <c r="A31" s="99"/>
      <c r="B31" s="75"/>
      <c r="C31" s="75"/>
      <c r="D31" s="75"/>
      <c r="E31" s="62"/>
      <c r="F31" s="62"/>
      <c r="G31" s="75"/>
      <c r="H31" s="75"/>
      <c r="I31" s="62"/>
      <c r="J31" s="62"/>
      <c r="K31" s="75"/>
      <c r="L31" s="75"/>
      <c r="M31" s="75"/>
    </row>
    <row r="32">
      <c r="A32" s="99"/>
      <c r="B32" s="75"/>
      <c r="C32" s="75"/>
      <c r="D32" s="75"/>
      <c r="E32" s="62"/>
      <c r="F32" s="62"/>
      <c r="G32" s="75"/>
      <c r="H32" s="75"/>
      <c r="I32" s="62"/>
      <c r="J32" s="62"/>
      <c r="K32" s="75"/>
      <c r="L32" s="75"/>
      <c r="M32" s="75"/>
    </row>
    <row r="33">
      <c r="A33" s="99"/>
      <c r="B33" s="75"/>
      <c r="C33" s="75"/>
      <c r="D33" s="75"/>
      <c r="E33" s="62"/>
      <c r="F33" s="62"/>
      <c r="G33" s="75"/>
      <c r="H33" s="75"/>
      <c r="I33" s="62"/>
      <c r="J33" s="62"/>
      <c r="K33" s="75"/>
      <c r="L33" s="75"/>
      <c r="M33" s="75"/>
    </row>
    <row r="34">
      <c r="A34" s="99"/>
      <c r="B34" s="75"/>
      <c r="C34" s="75"/>
      <c r="D34" s="75"/>
      <c r="E34" s="62"/>
      <c r="F34" s="62"/>
      <c r="G34" s="75"/>
      <c r="H34" s="75"/>
      <c r="I34" s="62"/>
      <c r="J34" s="62"/>
      <c r="K34" s="75"/>
      <c r="L34" s="75"/>
      <c r="M34" s="75"/>
    </row>
    <row r="35">
      <c r="A35" s="99"/>
      <c r="B35" s="75"/>
      <c r="C35" s="75"/>
      <c r="D35" s="75"/>
      <c r="E35" s="62"/>
      <c r="F35" s="62"/>
      <c r="G35" s="75"/>
      <c r="H35" s="75"/>
      <c r="I35" s="62"/>
      <c r="J35" s="62"/>
      <c r="K35" s="75"/>
      <c r="L35" s="75"/>
      <c r="M35" s="75"/>
    </row>
    <row r="36">
      <c r="A36" s="99"/>
      <c r="B36" s="75"/>
      <c r="C36" s="75"/>
      <c r="D36" s="75"/>
      <c r="E36" s="62"/>
      <c r="F36" s="62"/>
      <c r="G36" s="75"/>
      <c r="H36" s="75"/>
      <c r="I36" s="62"/>
      <c r="J36" s="62"/>
      <c r="K36" s="75"/>
      <c r="L36" s="75"/>
      <c r="M36" s="75"/>
    </row>
    <row r="37">
      <c r="A37" s="99"/>
      <c r="B37" s="75"/>
      <c r="C37" s="75"/>
      <c r="D37" s="75"/>
      <c r="E37" s="62"/>
      <c r="F37" s="62"/>
      <c r="G37" s="75"/>
      <c r="H37" s="75"/>
      <c r="I37" s="62"/>
      <c r="J37" s="62"/>
      <c r="K37" s="75"/>
      <c r="L37" s="75"/>
      <c r="M37" s="75"/>
    </row>
    <row r="38">
      <c r="A38" s="99"/>
      <c r="B38" s="75"/>
      <c r="C38" s="75"/>
      <c r="D38" s="75"/>
      <c r="E38" s="62"/>
      <c r="F38" s="62"/>
      <c r="G38" s="75"/>
      <c r="H38" s="75"/>
      <c r="I38" s="62"/>
      <c r="J38" s="62"/>
      <c r="K38" s="75"/>
      <c r="L38" s="75"/>
      <c r="M38" s="75"/>
    </row>
    <row r="39">
      <c r="A39" s="99"/>
      <c r="B39" s="75"/>
      <c r="C39" s="75"/>
      <c r="D39" s="75"/>
      <c r="E39" s="62"/>
      <c r="F39" s="62"/>
      <c r="G39" s="75"/>
      <c r="H39" s="75"/>
      <c r="I39" s="62"/>
      <c r="J39" s="62"/>
      <c r="K39" s="75"/>
      <c r="L39" s="75"/>
      <c r="M39" s="75"/>
    </row>
    <row r="40">
      <c r="A40" s="99"/>
      <c r="B40" s="75"/>
      <c r="C40" s="75"/>
      <c r="D40" s="75"/>
      <c r="E40" s="62"/>
      <c r="F40" s="62"/>
      <c r="G40" s="75"/>
      <c r="H40" s="75"/>
      <c r="I40" s="62"/>
      <c r="J40" s="62"/>
      <c r="K40" s="75"/>
      <c r="L40" s="75"/>
      <c r="M40" s="75"/>
    </row>
    <row r="41">
      <c r="A41" s="99"/>
      <c r="B41" s="75"/>
      <c r="C41" s="75"/>
      <c r="D41" s="75"/>
      <c r="E41" s="62"/>
      <c r="F41" s="62"/>
      <c r="G41" s="75"/>
      <c r="H41" s="75"/>
      <c r="I41" s="62"/>
      <c r="J41" s="62"/>
      <c r="K41" s="75"/>
      <c r="L41" s="75"/>
      <c r="M41" s="75"/>
    </row>
    <row r="42">
      <c r="A42" s="99"/>
      <c r="B42" s="75"/>
      <c r="C42" s="75"/>
      <c r="D42" s="75"/>
      <c r="E42" s="62"/>
      <c r="F42" s="62"/>
      <c r="G42" s="75"/>
      <c r="H42" s="75"/>
      <c r="I42" s="62"/>
      <c r="J42" s="62"/>
      <c r="K42" s="75"/>
      <c r="L42" s="75"/>
      <c r="M42" s="75"/>
    </row>
    <row r="43">
      <c r="A43" s="99"/>
      <c r="B43" s="75"/>
      <c r="C43" s="75"/>
      <c r="D43" s="75"/>
      <c r="E43" s="62"/>
      <c r="F43" s="62"/>
      <c r="G43" s="75"/>
      <c r="H43" s="75"/>
      <c r="I43" s="62"/>
      <c r="J43" s="62"/>
      <c r="K43" s="75"/>
      <c r="L43" s="75"/>
      <c r="M43" s="75"/>
    </row>
    <row r="44">
      <c r="A44" s="99"/>
      <c r="B44" s="75"/>
      <c r="C44" s="75"/>
      <c r="D44" s="75"/>
      <c r="E44" s="62"/>
      <c r="F44" s="62"/>
      <c r="G44" s="75"/>
      <c r="H44" s="75"/>
      <c r="I44" s="62"/>
      <c r="J44" s="62"/>
      <c r="K44" s="75"/>
      <c r="L44" s="75"/>
      <c r="M44" s="75"/>
    </row>
    <row r="45">
      <c r="A45" s="99"/>
      <c r="B45" s="75"/>
      <c r="C45" s="75"/>
      <c r="D45" s="75"/>
      <c r="E45" s="62"/>
      <c r="F45" s="62"/>
      <c r="G45" s="75"/>
      <c r="H45" s="75"/>
      <c r="I45" s="62"/>
      <c r="J45" s="62"/>
      <c r="K45" s="75"/>
      <c r="L45" s="75"/>
      <c r="M45" s="75"/>
    </row>
    <row r="46">
      <c r="A46" s="99"/>
      <c r="B46" s="75"/>
      <c r="C46" s="75"/>
      <c r="D46" s="75"/>
      <c r="E46" s="62"/>
      <c r="F46" s="62"/>
      <c r="G46" s="75"/>
      <c r="H46" s="75"/>
      <c r="I46" s="62"/>
      <c r="J46" s="62"/>
      <c r="K46" s="75"/>
      <c r="L46" s="75"/>
      <c r="M46" s="75"/>
    </row>
    <row r="47">
      <c r="A47" s="99"/>
      <c r="B47" s="75"/>
      <c r="C47" s="75"/>
      <c r="D47" s="75"/>
      <c r="E47" s="62"/>
      <c r="F47" s="62"/>
      <c r="G47" s="75"/>
      <c r="H47" s="75"/>
      <c r="I47" s="62"/>
      <c r="J47" s="62"/>
      <c r="K47" s="75"/>
      <c r="L47" s="75"/>
      <c r="M47" s="75"/>
    </row>
    <row r="48">
      <c r="A48" s="99"/>
      <c r="B48" s="75"/>
      <c r="C48" s="75"/>
      <c r="D48" s="75"/>
      <c r="E48" s="62"/>
      <c r="F48" s="62"/>
      <c r="G48" s="75"/>
      <c r="H48" s="75"/>
      <c r="I48" s="62"/>
      <c r="J48" s="62"/>
      <c r="K48" s="75"/>
      <c r="L48" s="75"/>
      <c r="M48" s="75"/>
    </row>
    <row r="49">
      <c r="A49" s="99"/>
      <c r="B49" s="75"/>
      <c r="C49" s="75"/>
      <c r="D49" s="75"/>
      <c r="E49" s="62"/>
      <c r="F49" s="62"/>
      <c r="G49" s="75"/>
      <c r="H49" s="75"/>
      <c r="I49" s="62"/>
      <c r="J49" s="62"/>
      <c r="K49" s="75"/>
      <c r="L49" s="75"/>
      <c r="M49" s="75"/>
    </row>
    <row r="50">
      <c r="A50" s="99"/>
      <c r="B50" s="75"/>
      <c r="C50" s="75"/>
      <c r="D50" s="75"/>
      <c r="E50" s="62"/>
      <c r="F50" s="62"/>
      <c r="G50" s="75"/>
      <c r="H50" s="75"/>
      <c r="I50" s="62"/>
      <c r="J50" s="62"/>
      <c r="K50" s="75"/>
      <c r="L50" s="75"/>
      <c r="M50" s="75"/>
    </row>
    <row r="51">
      <c r="A51" s="99"/>
      <c r="B51" s="75"/>
      <c r="C51" s="75"/>
      <c r="D51" s="75"/>
      <c r="E51" s="62"/>
      <c r="F51" s="62"/>
      <c r="G51" s="75"/>
      <c r="H51" s="75"/>
      <c r="I51" s="62"/>
      <c r="J51" s="62"/>
      <c r="K51" s="75"/>
      <c r="L51" s="75"/>
      <c r="M51" s="75"/>
    </row>
    <row r="52">
      <c r="A52" s="99"/>
      <c r="B52" s="75"/>
      <c r="C52" s="75"/>
      <c r="D52" s="75"/>
      <c r="E52" s="62"/>
      <c r="F52" s="62"/>
      <c r="G52" s="75"/>
      <c r="H52" s="75"/>
      <c r="I52" s="62"/>
      <c r="J52" s="62"/>
      <c r="K52" s="75"/>
      <c r="L52" s="75"/>
      <c r="M52" s="75"/>
    </row>
    <row r="53">
      <c r="A53" s="99"/>
      <c r="B53" s="75"/>
      <c r="C53" s="75"/>
      <c r="D53" s="75"/>
      <c r="E53" s="62"/>
      <c r="F53" s="62"/>
      <c r="G53" s="75"/>
      <c r="H53" s="75"/>
      <c r="I53" s="62"/>
      <c r="J53" s="62"/>
      <c r="K53" s="75"/>
      <c r="L53" s="75"/>
      <c r="M53" s="75"/>
    </row>
    <row r="54">
      <c r="A54" s="99"/>
      <c r="B54" s="75"/>
      <c r="C54" s="75"/>
      <c r="D54" s="75"/>
      <c r="E54" s="62"/>
      <c r="F54" s="62"/>
      <c r="G54" s="75"/>
      <c r="H54" s="75"/>
      <c r="I54" s="62"/>
      <c r="J54" s="62"/>
      <c r="K54" s="75"/>
      <c r="L54" s="75"/>
      <c r="M54" s="75"/>
    </row>
    <row r="55">
      <c r="A55" s="99"/>
      <c r="B55" s="75"/>
      <c r="C55" s="75"/>
      <c r="D55" s="75"/>
      <c r="E55" s="62"/>
      <c r="F55" s="62"/>
      <c r="G55" s="75"/>
      <c r="H55" s="75"/>
      <c r="I55" s="62"/>
      <c r="J55" s="62"/>
      <c r="K55" s="75"/>
      <c r="L55" s="75"/>
      <c r="M55" s="75"/>
    </row>
    <row r="56">
      <c r="A56" s="99"/>
      <c r="B56" s="75"/>
      <c r="C56" s="75"/>
      <c r="D56" s="75"/>
      <c r="E56" s="62"/>
      <c r="F56" s="62"/>
      <c r="G56" s="75"/>
      <c r="H56" s="75"/>
      <c r="I56" s="62"/>
      <c r="J56" s="62"/>
      <c r="K56" s="75"/>
      <c r="L56" s="75"/>
      <c r="M56" s="75"/>
    </row>
    <row r="57">
      <c r="A57" s="99"/>
      <c r="B57" s="75"/>
      <c r="C57" s="75"/>
      <c r="D57" s="75"/>
      <c r="E57" s="62"/>
      <c r="F57" s="62"/>
      <c r="G57" s="75"/>
      <c r="H57" s="75"/>
      <c r="I57" s="62"/>
      <c r="J57" s="62"/>
      <c r="K57" s="75"/>
      <c r="L57" s="75"/>
      <c r="M57" s="75"/>
    </row>
    <row r="58">
      <c r="A58" s="99"/>
      <c r="B58" s="75"/>
      <c r="C58" s="75"/>
      <c r="D58" s="75"/>
      <c r="E58" s="62"/>
      <c r="F58" s="62"/>
      <c r="G58" s="75"/>
      <c r="H58" s="75"/>
      <c r="I58" s="62"/>
      <c r="J58" s="62"/>
      <c r="K58" s="75"/>
      <c r="L58" s="75"/>
      <c r="M58" s="75"/>
    </row>
    <row r="59">
      <c r="A59" s="99"/>
      <c r="B59" s="75"/>
      <c r="C59" s="75"/>
      <c r="D59" s="75"/>
      <c r="E59" s="62"/>
      <c r="F59" s="62"/>
      <c r="G59" s="75"/>
      <c r="H59" s="75"/>
      <c r="I59" s="62"/>
      <c r="J59" s="62"/>
      <c r="K59" s="75"/>
      <c r="L59" s="75"/>
      <c r="M59" s="75"/>
    </row>
    <row r="60">
      <c r="A60" s="99"/>
      <c r="B60" s="75"/>
      <c r="C60" s="75"/>
      <c r="D60" s="75"/>
      <c r="E60" s="62"/>
      <c r="F60" s="62"/>
      <c r="G60" s="75"/>
      <c r="H60" s="75"/>
      <c r="I60" s="62"/>
      <c r="J60" s="62"/>
      <c r="K60" s="75"/>
      <c r="L60" s="75"/>
      <c r="M60" s="75"/>
    </row>
    <row r="61">
      <c r="A61" s="99"/>
      <c r="B61" s="75"/>
      <c r="C61" s="75"/>
      <c r="D61" s="75"/>
      <c r="E61" s="62"/>
      <c r="F61" s="62"/>
      <c r="G61" s="75"/>
      <c r="H61" s="75"/>
      <c r="I61" s="62"/>
      <c r="J61" s="62"/>
      <c r="K61" s="75"/>
      <c r="L61" s="75"/>
      <c r="M61" s="75"/>
    </row>
    <row r="62">
      <c r="A62" s="99"/>
      <c r="B62" s="75"/>
      <c r="C62" s="75"/>
      <c r="D62" s="75"/>
      <c r="E62" s="62"/>
      <c r="F62" s="62"/>
      <c r="G62" s="75"/>
      <c r="H62" s="75"/>
      <c r="I62" s="62"/>
      <c r="J62" s="62"/>
      <c r="K62" s="75"/>
      <c r="L62" s="75"/>
      <c r="M62" s="75"/>
    </row>
    <row r="63">
      <c r="A63" s="99"/>
      <c r="B63" s="75"/>
      <c r="C63" s="75"/>
      <c r="D63" s="75"/>
      <c r="E63" s="62"/>
      <c r="F63" s="62"/>
      <c r="G63" s="75"/>
      <c r="H63" s="75"/>
      <c r="I63" s="62"/>
      <c r="J63" s="62"/>
      <c r="K63" s="75"/>
      <c r="L63" s="75"/>
      <c r="M63" s="75"/>
    </row>
    <row r="64">
      <c r="A64" s="99"/>
      <c r="B64" s="75"/>
      <c r="C64" s="75"/>
      <c r="D64" s="75"/>
      <c r="E64" s="62"/>
      <c r="F64" s="62"/>
      <c r="G64" s="75"/>
      <c r="H64" s="75"/>
      <c r="I64" s="62"/>
      <c r="J64" s="62"/>
      <c r="K64" s="75"/>
      <c r="L64" s="75"/>
      <c r="M64" s="75"/>
    </row>
    <row r="65">
      <c r="A65" s="99"/>
      <c r="B65" s="75"/>
      <c r="C65" s="75"/>
      <c r="D65" s="75"/>
      <c r="E65" s="62"/>
      <c r="F65" s="62"/>
      <c r="G65" s="75"/>
      <c r="H65" s="75"/>
      <c r="I65" s="62"/>
      <c r="J65" s="62"/>
      <c r="K65" s="75"/>
      <c r="L65" s="75"/>
      <c r="M65" s="75"/>
    </row>
    <row r="66">
      <c r="A66" s="99"/>
      <c r="B66" s="75"/>
      <c r="C66" s="75"/>
      <c r="D66" s="75"/>
      <c r="E66" s="62"/>
      <c r="F66" s="62"/>
      <c r="G66" s="75"/>
      <c r="H66" s="75"/>
      <c r="I66" s="62"/>
      <c r="J66" s="62"/>
      <c r="K66" s="75"/>
      <c r="L66" s="75"/>
      <c r="M66" s="75"/>
    </row>
    <row r="67">
      <c r="A67" s="99"/>
      <c r="B67" s="75"/>
      <c r="C67" s="75"/>
      <c r="D67" s="75"/>
      <c r="E67" s="62"/>
      <c r="F67" s="62"/>
      <c r="G67" s="75"/>
      <c r="H67" s="75"/>
      <c r="I67" s="62"/>
      <c r="J67" s="62"/>
      <c r="K67" s="75"/>
      <c r="L67" s="75"/>
      <c r="M67" s="75"/>
    </row>
    <row r="68">
      <c r="A68" s="99"/>
      <c r="B68" s="75"/>
      <c r="C68" s="75"/>
      <c r="D68" s="75"/>
      <c r="E68" s="62"/>
      <c r="F68" s="62"/>
      <c r="G68" s="75"/>
      <c r="H68" s="75"/>
      <c r="I68" s="62"/>
      <c r="J68" s="62"/>
      <c r="K68" s="75"/>
      <c r="L68" s="75"/>
      <c r="M68" s="75"/>
    </row>
    <row r="69">
      <c r="A69" s="99"/>
      <c r="B69" s="75"/>
      <c r="C69" s="75"/>
      <c r="D69" s="75"/>
      <c r="E69" s="62"/>
      <c r="F69" s="62"/>
      <c r="G69" s="75"/>
      <c r="H69" s="75"/>
      <c r="I69" s="62"/>
      <c r="J69" s="62"/>
      <c r="K69" s="75"/>
      <c r="L69" s="75"/>
      <c r="M69" s="75"/>
    </row>
    <row r="70">
      <c r="A70" s="99"/>
      <c r="B70" s="75"/>
      <c r="C70" s="75"/>
      <c r="D70" s="75"/>
      <c r="E70" s="62"/>
      <c r="F70" s="62"/>
      <c r="G70" s="75"/>
      <c r="H70" s="75"/>
      <c r="I70" s="62"/>
      <c r="J70" s="62"/>
      <c r="K70" s="75"/>
      <c r="L70" s="75"/>
      <c r="M70" s="75"/>
    </row>
    <row r="71">
      <c r="A71" s="99"/>
      <c r="B71" s="75"/>
      <c r="C71" s="75"/>
      <c r="D71" s="75"/>
      <c r="E71" s="62"/>
      <c r="F71" s="62"/>
      <c r="G71" s="75"/>
      <c r="H71" s="75"/>
      <c r="I71" s="62"/>
      <c r="J71" s="62"/>
      <c r="K71" s="75"/>
      <c r="L71" s="75"/>
      <c r="M71" s="75"/>
    </row>
    <row r="72">
      <c r="A72" s="99"/>
      <c r="B72" s="75"/>
      <c r="C72" s="75"/>
      <c r="D72" s="75"/>
      <c r="E72" s="62"/>
      <c r="F72" s="62"/>
      <c r="G72" s="75"/>
      <c r="H72" s="75"/>
      <c r="I72" s="62"/>
      <c r="J72" s="62"/>
      <c r="K72" s="75"/>
      <c r="L72" s="75"/>
      <c r="M72" s="75"/>
    </row>
    <row r="73">
      <c r="A73" s="99"/>
      <c r="B73" s="75"/>
      <c r="C73" s="75"/>
      <c r="D73" s="75"/>
      <c r="E73" s="62"/>
      <c r="F73" s="62"/>
      <c r="G73" s="75"/>
      <c r="H73" s="75"/>
      <c r="I73" s="62"/>
      <c r="J73" s="62"/>
      <c r="K73" s="75"/>
      <c r="L73" s="75"/>
      <c r="M73" s="75"/>
    </row>
    <row r="74">
      <c r="A74" s="99"/>
      <c r="B74" s="75"/>
      <c r="C74" s="75"/>
      <c r="D74" s="75"/>
      <c r="E74" s="62"/>
      <c r="F74" s="62"/>
      <c r="G74" s="75"/>
      <c r="H74" s="75"/>
      <c r="I74" s="62"/>
      <c r="J74" s="62"/>
      <c r="K74" s="75"/>
      <c r="L74" s="75"/>
      <c r="M74" s="75"/>
    </row>
    <row r="75">
      <c r="A75" s="99"/>
      <c r="B75" s="75"/>
      <c r="C75" s="75"/>
      <c r="D75" s="75"/>
      <c r="E75" s="62"/>
      <c r="F75" s="62"/>
      <c r="G75" s="75"/>
      <c r="H75" s="75"/>
      <c r="I75" s="62"/>
      <c r="J75" s="62"/>
      <c r="K75" s="75"/>
      <c r="L75" s="75"/>
      <c r="M75" s="75"/>
    </row>
    <row r="76">
      <c r="A76" s="99"/>
      <c r="B76" s="75"/>
      <c r="C76" s="75"/>
      <c r="D76" s="75"/>
      <c r="E76" s="62"/>
      <c r="F76" s="62"/>
      <c r="G76" s="75"/>
      <c r="H76" s="75"/>
      <c r="I76" s="62"/>
      <c r="J76" s="62"/>
      <c r="K76" s="75"/>
      <c r="L76" s="75"/>
      <c r="M76" s="75"/>
    </row>
    <row r="77">
      <c r="A77" s="99"/>
      <c r="B77" s="75"/>
      <c r="C77" s="75"/>
      <c r="D77" s="75"/>
      <c r="E77" s="62"/>
      <c r="F77" s="62"/>
      <c r="G77" s="75"/>
      <c r="H77" s="75"/>
      <c r="I77" s="62"/>
      <c r="J77" s="62"/>
      <c r="K77" s="75"/>
      <c r="L77" s="75"/>
      <c r="M77" s="75"/>
    </row>
    <row r="78">
      <c r="A78" s="99"/>
      <c r="B78" s="75"/>
      <c r="C78" s="75"/>
      <c r="D78" s="75"/>
      <c r="E78" s="62"/>
      <c r="F78" s="62"/>
      <c r="G78" s="75"/>
      <c r="H78" s="75"/>
      <c r="I78" s="62"/>
      <c r="J78" s="62"/>
      <c r="K78" s="75"/>
      <c r="L78" s="75"/>
      <c r="M78" s="75"/>
    </row>
    <row r="79">
      <c r="A79" s="99"/>
      <c r="B79" s="75"/>
      <c r="C79" s="75"/>
      <c r="D79" s="75"/>
      <c r="E79" s="62"/>
      <c r="F79" s="62"/>
      <c r="G79" s="75"/>
      <c r="H79" s="75"/>
      <c r="I79" s="62"/>
      <c r="J79" s="62"/>
      <c r="K79" s="75"/>
      <c r="L79" s="75"/>
      <c r="M79" s="75"/>
    </row>
    <row r="80">
      <c r="A80" s="99"/>
      <c r="B80" s="75"/>
      <c r="C80" s="75"/>
      <c r="D80" s="75"/>
      <c r="E80" s="62"/>
      <c r="F80" s="62"/>
      <c r="G80" s="75"/>
      <c r="H80" s="75"/>
      <c r="I80" s="62"/>
      <c r="J80" s="62"/>
      <c r="K80" s="75"/>
      <c r="L80" s="75"/>
      <c r="M80" s="75"/>
    </row>
    <row r="81">
      <c r="A81" s="99"/>
      <c r="B81" s="75"/>
      <c r="C81" s="75"/>
      <c r="D81" s="75"/>
      <c r="E81" s="62"/>
      <c r="F81" s="62"/>
      <c r="G81" s="75"/>
      <c r="H81" s="75"/>
      <c r="I81" s="62"/>
      <c r="J81" s="62"/>
      <c r="K81" s="75"/>
      <c r="L81" s="75"/>
      <c r="M81" s="75"/>
    </row>
    <row r="82">
      <c r="A82" s="99"/>
      <c r="B82" s="75"/>
      <c r="C82" s="75"/>
      <c r="D82" s="75"/>
      <c r="E82" s="62"/>
      <c r="F82" s="62"/>
      <c r="G82" s="75"/>
      <c r="H82" s="75"/>
      <c r="I82" s="62"/>
      <c r="J82" s="62"/>
      <c r="K82" s="75"/>
      <c r="L82" s="75"/>
      <c r="M82" s="75"/>
    </row>
    <row r="83">
      <c r="A83" s="99"/>
      <c r="B83" s="75"/>
      <c r="C83" s="75"/>
      <c r="D83" s="75"/>
      <c r="E83" s="62"/>
      <c r="F83" s="62"/>
      <c r="G83" s="75"/>
      <c r="H83" s="75"/>
      <c r="I83" s="62"/>
      <c r="J83" s="62"/>
      <c r="K83" s="75"/>
      <c r="L83" s="75"/>
      <c r="M83" s="75"/>
    </row>
    <row r="84">
      <c r="A84" s="99"/>
      <c r="B84" s="75"/>
      <c r="C84" s="75"/>
      <c r="D84" s="75"/>
      <c r="E84" s="62"/>
      <c r="F84" s="62"/>
      <c r="G84" s="75"/>
      <c r="H84" s="75"/>
      <c r="I84" s="62"/>
      <c r="J84" s="62"/>
      <c r="K84" s="75"/>
      <c r="L84" s="75"/>
      <c r="M84" s="75"/>
    </row>
    <row r="85">
      <c r="A85" s="99"/>
      <c r="B85" s="75"/>
      <c r="C85" s="75"/>
      <c r="D85" s="75"/>
      <c r="E85" s="62"/>
      <c r="F85" s="62"/>
      <c r="G85" s="75"/>
      <c r="H85" s="75"/>
      <c r="I85" s="62"/>
      <c r="J85" s="62"/>
      <c r="K85" s="75"/>
      <c r="L85" s="75"/>
      <c r="M85" s="75"/>
    </row>
    <row r="86">
      <c r="A86" s="99"/>
      <c r="B86" s="75"/>
      <c r="C86" s="75"/>
      <c r="D86" s="75"/>
      <c r="E86" s="62"/>
      <c r="F86" s="62"/>
      <c r="G86" s="75"/>
      <c r="H86" s="75"/>
      <c r="I86" s="62"/>
      <c r="J86" s="62"/>
      <c r="K86" s="75"/>
      <c r="L86" s="75"/>
      <c r="M86" s="75"/>
    </row>
    <row r="87">
      <c r="A87" s="99"/>
      <c r="B87" s="75"/>
      <c r="C87" s="75"/>
      <c r="D87" s="75"/>
      <c r="E87" s="62"/>
      <c r="F87" s="62"/>
      <c r="G87" s="75"/>
      <c r="H87" s="75"/>
      <c r="I87" s="62"/>
      <c r="J87" s="62"/>
      <c r="K87" s="75"/>
      <c r="L87" s="75"/>
      <c r="M87" s="75"/>
    </row>
    <row r="88">
      <c r="A88" s="99"/>
      <c r="B88" s="75"/>
      <c r="C88" s="75"/>
      <c r="D88" s="75"/>
      <c r="E88" s="62"/>
      <c r="F88" s="62"/>
      <c r="G88" s="75"/>
      <c r="H88" s="75"/>
      <c r="I88" s="62"/>
      <c r="J88" s="62"/>
      <c r="K88" s="75"/>
      <c r="L88" s="75"/>
      <c r="M88" s="75"/>
    </row>
    <row r="89">
      <c r="A89" s="99"/>
      <c r="B89" s="75"/>
      <c r="C89" s="75"/>
      <c r="D89" s="75"/>
      <c r="E89" s="62"/>
      <c r="F89" s="62"/>
      <c r="G89" s="75"/>
      <c r="H89" s="75"/>
      <c r="I89" s="62"/>
      <c r="J89" s="62"/>
      <c r="K89" s="75"/>
      <c r="L89" s="75"/>
      <c r="M89" s="75"/>
    </row>
    <row r="90">
      <c r="A90" s="99"/>
      <c r="B90" s="75"/>
      <c r="C90" s="75"/>
      <c r="D90" s="75"/>
      <c r="E90" s="62"/>
      <c r="F90" s="62"/>
      <c r="G90" s="75"/>
      <c r="H90" s="75"/>
      <c r="I90" s="62"/>
      <c r="J90" s="62"/>
      <c r="K90" s="75"/>
      <c r="L90" s="75"/>
      <c r="M90" s="75"/>
    </row>
    <row r="91">
      <c r="A91" s="99"/>
      <c r="B91" s="75"/>
      <c r="C91" s="75"/>
      <c r="D91" s="75"/>
      <c r="E91" s="62"/>
      <c r="F91" s="62"/>
      <c r="G91" s="75"/>
      <c r="H91" s="75"/>
      <c r="I91" s="62"/>
      <c r="J91" s="62"/>
      <c r="K91" s="75"/>
      <c r="L91" s="75"/>
      <c r="M91" s="75"/>
    </row>
    <row r="92">
      <c r="A92" s="99"/>
      <c r="B92" s="75"/>
      <c r="C92" s="75"/>
      <c r="D92" s="75"/>
      <c r="E92" s="62"/>
      <c r="F92" s="62"/>
      <c r="G92" s="75"/>
      <c r="H92" s="75"/>
      <c r="I92" s="62"/>
      <c r="J92" s="62"/>
      <c r="K92" s="75"/>
      <c r="L92" s="75"/>
      <c r="M92" s="75"/>
    </row>
    <row r="93">
      <c r="A93" s="99"/>
      <c r="B93" s="75"/>
      <c r="C93" s="75"/>
      <c r="D93" s="75"/>
      <c r="E93" s="62"/>
      <c r="F93" s="62"/>
      <c r="G93" s="75"/>
      <c r="H93" s="75"/>
      <c r="I93" s="62"/>
      <c r="J93" s="62"/>
      <c r="K93" s="75"/>
      <c r="L93" s="75"/>
      <c r="M93" s="75"/>
    </row>
    <row r="94">
      <c r="A94" s="99"/>
      <c r="B94" s="75"/>
      <c r="C94" s="75"/>
      <c r="D94" s="75"/>
      <c r="E94" s="62"/>
      <c r="F94" s="62"/>
      <c r="G94" s="75"/>
      <c r="H94" s="75"/>
      <c r="I94" s="62"/>
      <c r="J94" s="62"/>
      <c r="K94" s="75"/>
      <c r="L94" s="75"/>
      <c r="M94" s="75"/>
    </row>
    <row r="95">
      <c r="A95" s="99"/>
      <c r="B95" s="75"/>
      <c r="C95" s="75"/>
      <c r="D95" s="75"/>
      <c r="E95" s="62"/>
      <c r="F95" s="62"/>
      <c r="G95" s="75"/>
      <c r="H95" s="75"/>
      <c r="I95" s="62"/>
      <c r="J95" s="62"/>
      <c r="K95" s="75"/>
      <c r="L95" s="75"/>
      <c r="M95" s="75"/>
    </row>
    <row r="96">
      <c r="A96" s="99"/>
      <c r="B96" s="75"/>
      <c r="C96" s="75"/>
      <c r="D96" s="75"/>
      <c r="E96" s="62"/>
      <c r="F96" s="62"/>
      <c r="G96" s="75"/>
      <c r="H96" s="75"/>
      <c r="I96" s="62"/>
      <c r="J96" s="62"/>
      <c r="K96" s="75"/>
      <c r="L96" s="75"/>
      <c r="M96" s="75"/>
    </row>
    <row r="97">
      <c r="A97" s="99"/>
      <c r="B97" s="75"/>
      <c r="C97" s="75"/>
      <c r="D97" s="75"/>
      <c r="E97" s="62"/>
      <c r="F97" s="62"/>
      <c r="G97" s="75"/>
      <c r="H97" s="75"/>
      <c r="I97" s="62"/>
      <c r="J97" s="62"/>
      <c r="K97" s="75"/>
      <c r="L97" s="75"/>
      <c r="M97" s="75"/>
    </row>
    <row r="98">
      <c r="A98" s="99"/>
      <c r="B98" s="75"/>
      <c r="C98" s="75"/>
      <c r="D98" s="75"/>
      <c r="E98" s="62"/>
      <c r="F98" s="62"/>
      <c r="G98" s="75"/>
      <c r="H98" s="75"/>
      <c r="I98" s="62"/>
      <c r="J98" s="62"/>
      <c r="K98" s="75"/>
      <c r="L98" s="75"/>
      <c r="M98" s="75"/>
    </row>
    <row r="99">
      <c r="A99" s="99"/>
      <c r="B99" s="75"/>
      <c r="C99" s="75"/>
      <c r="D99" s="75"/>
      <c r="E99" s="62"/>
      <c r="F99" s="62"/>
      <c r="G99" s="75"/>
      <c r="H99" s="75"/>
      <c r="I99" s="62"/>
      <c r="J99" s="62"/>
      <c r="K99" s="75"/>
      <c r="L99" s="75"/>
      <c r="M99" s="75"/>
    </row>
    <row r="100">
      <c r="A100" s="99"/>
      <c r="B100" s="75"/>
      <c r="C100" s="75"/>
      <c r="D100" s="75"/>
      <c r="E100" s="62"/>
      <c r="F100" s="62"/>
      <c r="G100" s="75"/>
      <c r="H100" s="75"/>
      <c r="I100" s="62"/>
      <c r="J100" s="62"/>
      <c r="K100" s="75"/>
      <c r="L100" s="75"/>
      <c r="M100" s="75"/>
    </row>
    <row r="101">
      <c r="A101" s="97"/>
      <c r="E101" s="2"/>
      <c r="F101" s="2"/>
      <c r="I101" s="2"/>
      <c r="J101" s="2"/>
    </row>
    <row r="102">
      <c r="A102" s="97"/>
      <c r="E102" s="2"/>
      <c r="F102" s="2"/>
      <c r="I102" s="2"/>
      <c r="J102" s="2"/>
    </row>
    <row r="103">
      <c r="A103" s="97"/>
      <c r="E103" s="2"/>
      <c r="F103" s="2"/>
      <c r="I103" s="2"/>
      <c r="J103" s="2"/>
    </row>
    <row r="104">
      <c r="A104" s="97"/>
      <c r="E104" s="2"/>
      <c r="F104" s="2"/>
      <c r="I104" s="2"/>
      <c r="J104" s="2"/>
    </row>
    <row r="105">
      <c r="A105" s="97"/>
      <c r="E105" s="2"/>
      <c r="F105" s="2"/>
      <c r="I105" s="2"/>
      <c r="J105" s="2"/>
    </row>
    <row r="106">
      <c r="A106" s="97"/>
      <c r="E106" s="2"/>
      <c r="F106" s="2"/>
      <c r="I106" s="2"/>
      <c r="J106" s="2"/>
    </row>
    <row r="107">
      <c r="A107" s="97"/>
      <c r="E107" s="2"/>
      <c r="F107" s="2"/>
      <c r="I107" s="2"/>
      <c r="J107" s="2"/>
    </row>
    <row r="108">
      <c r="A108" s="97"/>
      <c r="E108" s="2"/>
      <c r="F108" s="2"/>
      <c r="I108" s="2"/>
      <c r="J108" s="2"/>
    </row>
    <row r="109">
      <c r="A109" s="97"/>
      <c r="E109" s="2"/>
      <c r="F109" s="2"/>
      <c r="I109" s="2"/>
      <c r="J109" s="2"/>
    </row>
    <row r="110">
      <c r="A110" s="97"/>
      <c r="E110" s="2"/>
      <c r="F110" s="2"/>
      <c r="I110" s="2"/>
      <c r="J110" s="2"/>
    </row>
    <row r="111">
      <c r="A111" s="97"/>
      <c r="E111" s="2"/>
      <c r="F111" s="2"/>
      <c r="I111" s="2"/>
      <c r="J111" s="2"/>
    </row>
    <row r="112">
      <c r="A112" s="97"/>
      <c r="E112" s="2"/>
      <c r="F112" s="2"/>
      <c r="I112" s="2"/>
      <c r="J112" s="2"/>
    </row>
    <row r="113">
      <c r="A113" s="97"/>
      <c r="E113" s="2"/>
      <c r="F113" s="2"/>
      <c r="I113" s="2"/>
      <c r="J113" s="2"/>
    </row>
    <row r="114">
      <c r="A114" s="97"/>
      <c r="E114" s="2"/>
      <c r="F114" s="2"/>
      <c r="I114" s="2"/>
      <c r="J114" s="2"/>
    </row>
    <row r="115">
      <c r="A115" s="97"/>
      <c r="E115" s="2"/>
      <c r="F115" s="2"/>
      <c r="I115" s="2"/>
      <c r="J115" s="2"/>
    </row>
    <row r="116">
      <c r="A116" s="97"/>
      <c r="E116" s="2"/>
      <c r="F116" s="2"/>
      <c r="I116" s="2"/>
      <c r="J116" s="2"/>
    </row>
    <row r="117">
      <c r="A117" s="97"/>
      <c r="E117" s="2"/>
      <c r="F117" s="2"/>
      <c r="I117" s="2"/>
      <c r="J117" s="2"/>
    </row>
    <row r="118">
      <c r="A118" s="97"/>
      <c r="E118" s="2"/>
      <c r="F118" s="2"/>
      <c r="I118" s="2"/>
      <c r="J118" s="2"/>
    </row>
    <row r="119">
      <c r="A119" s="97"/>
      <c r="E119" s="2"/>
      <c r="F119" s="2"/>
      <c r="I119" s="2"/>
      <c r="J119" s="2"/>
    </row>
    <row r="120">
      <c r="A120" s="97"/>
      <c r="E120" s="2"/>
      <c r="F120" s="2"/>
      <c r="I120" s="2"/>
      <c r="J120" s="2"/>
    </row>
    <row r="121">
      <c r="A121" s="97"/>
      <c r="E121" s="2"/>
      <c r="F121" s="2"/>
      <c r="I121" s="2"/>
      <c r="J121" s="2"/>
    </row>
    <row r="122">
      <c r="A122" s="97"/>
      <c r="E122" s="2"/>
      <c r="F122" s="2"/>
      <c r="I122" s="2"/>
      <c r="J122" s="2"/>
    </row>
    <row r="123">
      <c r="A123" s="97"/>
      <c r="E123" s="2"/>
      <c r="F123" s="2"/>
      <c r="I123" s="2"/>
      <c r="J123" s="2"/>
    </row>
    <row r="124">
      <c r="A124" s="97"/>
      <c r="E124" s="2"/>
      <c r="F124" s="2"/>
      <c r="I124" s="2"/>
      <c r="J124" s="2"/>
    </row>
    <row r="125">
      <c r="A125" s="97"/>
      <c r="E125" s="2"/>
      <c r="F125" s="2"/>
      <c r="I125" s="2"/>
      <c r="J125" s="2"/>
    </row>
    <row r="126">
      <c r="A126" s="97"/>
      <c r="E126" s="2"/>
      <c r="F126" s="2"/>
      <c r="I126" s="2"/>
      <c r="J126" s="2"/>
    </row>
    <row r="127">
      <c r="A127" s="97"/>
      <c r="E127" s="2"/>
      <c r="F127" s="2"/>
      <c r="I127" s="2"/>
      <c r="J127" s="2"/>
    </row>
    <row r="128">
      <c r="A128" s="97"/>
      <c r="E128" s="2"/>
      <c r="F128" s="2"/>
      <c r="I128" s="2"/>
      <c r="J128" s="2"/>
    </row>
    <row r="129">
      <c r="A129" s="97"/>
      <c r="E129" s="2"/>
      <c r="F129" s="2"/>
      <c r="I129" s="2"/>
      <c r="J129" s="2"/>
    </row>
    <row r="130">
      <c r="A130" s="97"/>
      <c r="E130" s="2"/>
      <c r="F130" s="2"/>
      <c r="I130" s="2"/>
      <c r="J130" s="2"/>
    </row>
    <row r="131">
      <c r="A131" s="97"/>
      <c r="E131" s="2"/>
      <c r="F131" s="2"/>
      <c r="I131" s="2"/>
      <c r="J131" s="2"/>
    </row>
    <row r="132">
      <c r="A132" s="97"/>
      <c r="E132" s="2"/>
      <c r="F132" s="2"/>
      <c r="I132" s="2"/>
      <c r="J132" s="2"/>
    </row>
    <row r="133">
      <c r="A133" s="97"/>
      <c r="E133" s="2"/>
      <c r="F133" s="2"/>
      <c r="I133" s="2"/>
      <c r="J133" s="2"/>
    </row>
    <row r="134">
      <c r="A134" s="97"/>
      <c r="E134" s="2"/>
      <c r="F134" s="2"/>
      <c r="I134" s="2"/>
      <c r="J134" s="2"/>
    </row>
    <row r="135">
      <c r="A135" s="97"/>
      <c r="E135" s="2"/>
      <c r="F135" s="2"/>
      <c r="I135" s="2"/>
      <c r="J135" s="2"/>
    </row>
    <row r="136">
      <c r="A136" s="97"/>
      <c r="E136" s="2"/>
      <c r="F136" s="2"/>
      <c r="I136" s="2"/>
      <c r="J136" s="2"/>
    </row>
    <row r="137">
      <c r="A137" s="97"/>
      <c r="E137" s="2"/>
      <c r="F137" s="2"/>
      <c r="I137" s="2"/>
      <c r="J137" s="2"/>
    </row>
    <row r="138">
      <c r="A138" s="97"/>
      <c r="E138" s="2"/>
      <c r="F138" s="2"/>
      <c r="I138" s="2"/>
      <c r="J138" s="2"/>
    </row>
    <row r="139">
      <c r="A139" s="97"/>
      <c r="E139" s="2"/>
      <c r="F139" s="2"/>
      <c r="I139" s="2"/>
      <c r="J139" s="2"/>
    </row>
    <row r="140">
      <c r="A140" s="97"/>
      <c r="E140" s="2"/>
      <c r="F140" s="2"/>
      <c r="I140" s="2"/>
      <c r="J140" s="2"/>
    </row>
    <row r="141">
      <c r="A141" s="97"/>
      <c r="E141" s="2"/>
      <c r="F141" s="2"/>
      <c r="I141" s="2"/>
      <c r="J141" s="2"/>
    </row>
    <row r="142">
      <c r="A142" s="97"/>
      <c r="E142" s="2"/>
      <c r="F142" s="2"/>
      <c r="I142" s="2"/>
      <c r="J142" s="2"/>
    </row>
    <row r="143">
      <c r="A143" s="97"/>
      <c r="E143" s="2"/>
      <c r="F143" s="2"/>
      <c r="I143" s="2"/>
      <c r="J143" s="2"/>
    </row>
    <row r="144">
      <c r="A144" s="97"/>
      <c r="E144" s="2"/>
      <c r="F144" s="2"/>
      <c r="I144" s="2"/>
      <c r="J144" s="2"/>
    </row>
    <row r="145">
      <c r="A145" s="97"/>
      <c r="E145" s="2"/>
      <c r="F145" s="2"/>
      <c r="I145" s="2"/>
      <c r="J145" s="2"/>
    </row>
    <row r="146">
      <c r="A146" s="97"/>
      <c r="E146" s="2"/>
      <c r="F146" s="2"/>
      <c r="I146" s="2"/>
      <c r="J146" s="2"/>
    </row>
    <row r="147">
      <c r="A147" s="97"/>
      <c r="E147" s="2"/>
      <c r="F147" s="2"/>
      <c r="I147" s="2"/>
      <c r="J147" s="2"/>
    </row>
    <row r="148">
      <c r="A148" s="97"/>
      <c r="E148" s="2"/>
      <c r="F148" s="2"/>
      <c r="I148" s="2"/>
      <c r="J148" s="2"/>
    </row>
    <row r="149">
      <c r="A149" s="97"/>
      <c r="E149" s="2"/>
      <c r="F149" s="2"/>
      <c r="I149" s="2"/>
      <c r="J149" s="2"/>
    </row>
    <row r="150">
      <c r="A150" s="97"/>
      <c r="E150" s="2"/>
      <c r="F150" s="2"/>
      <c r="I150" s="2"/>
      <c r="J150" s="2"/>
    </row>
    <row r="151">
      <c r="A151" s="97"/>
      <c r="E151" s="2"/>
      <c r="F151" s="2"/>
      <c r="I151" s="2"/>
      <c r="J151" s="2"/>
    </row>
    <row r="152">
      <c r="A152" s="97"/>
      <c r="E152" s="2"/>
      <c r="F152" s="2"/>
      <c r="I152" s="2"/>
      <c r="J152" s="2"/>
    </row>
    <row r="153">
      <c r="A153" s="97"/>
      <c r="E153" s="2"/>
      <c r="F153" s="2"/>
      <c r="I153" s="2"/>
      <c r="J153" s="2"/>
    </row>
    <row r="154">
      <c r="A154" s="97"/>
      <c r="E154" s="2"/>
      <c r="F154" s="2"/>
      <c r="I154" s="2"/>
      <c r="J154" s="2"/>
    </row>
    <row r="155">
      <c r="A155" s="97"/>
      <c r="E155" s="2"/>
      <c r="F155" s="2"/>
      <c r="I155" s="2"/>
      <c r="J155" s="2"/>
    </row>
    <row r="156">
      <c r="A156" s="97"/>
      <c r="E156" s="2"/>
      <c r="F156" s="2"/>
      <c r="I156" s="2"/>
      <c r="J156" s="2"/>
    </row>
    <row r="157">
      <c r="A157" s="97"/>
      <c r="E157" s="2"/>
      <c r="F157" s="2"/>
      <c r="I157" s="2"/>
      <c r="J157" s="2"/>
    </row>
    <row r="158">
      <c r="A158" s="97"/>
      <c r="E158" s="2"/>
      <c r="F158" s="2"/>
      <c r="I158" s="2"/>
      <c r="J158" s="2"/>
    </row>
    <row r="159">
      <c r="A159" s="97"/>
      <c r="E159" s="2"/>
      <c r="F159" s="2"/>
      <c r="I159" s="2"/>
      <c r="J159" s="2"/>
    </row>
    <row r="160">
      <c r="A160" s="97"/>
      <c r="E160" s="2"/>
      <c r="F160" s="2"/>
      <c r="I160" s="2"/>
      <c r="J160" s="2"/>
    </row>
    <row r="161">
      <c r="A161" s="97"/>
      <c r="E161" s="2"/>
      <c r="F161" s="2"/>
      <c r="I161" s="2"/>
      <c r="J161" s="2"/>
    </row>
    <row r="162">
      <c r="A162" s="97"/>
      <c r="E162" s="2"/>
      <c r="F162" s="2"/>
      <c r="I162" s="2"/>
      <c r="J162" s="2"/>
    </row>
    <row r="163">
      <c r="A163" s="97"/>
      <c r="E163" s="2"/>
      <c r="F163" s="2"/>
      <c r="I163" s="2"/>
      <c r="J163" s="2"/>
    </row>
    <row r="164">
      <c r="A164" s="97"/>
      <c r="E164" s="2"/>
      <c r="F164" s="2"/>
      <c r="I164" s="2"/>
      <c r="J164" s="2"/>
    </row>
    <row r="165">
      <c r="A165" s="97"/>
      <c r="E165" s="2"/>
      <c r="F165" s="2"/>
      <c r="I165" s="2"/>
      <c r="J165" s="2"/>
    </row>
    <row r="166">
      <c r="A166" s="97"/>
      <c r="E166" s="2"/>
      <c r="F166" s="2"/>
      <c r="I166" s="2"/>
      <c r="J166" s="2"/>
    </row>
    <row r="167">
      <c r="A167" s="97"/>
      <c r="E167" s="2"/>
      <c r="F167" s="2"/>
      <c r="I167" s="2"/>
      <c r="J167" s="2"/>
    </row>
    <row r="168">
      <c r="A168" s="97"/>
      <c r="E168" s="2"/>
      <c r="F168" s="2"/>
      <c r="I168" s="2"/>
      <c r="J168" s="2"/>
    </row>
    <row r="169">
      <c r="A169" s="97"/>
      <c r="E169" s="2"/>
      <c r="F169" s="2"/>
      <c r="I169" s="2"/>
      <c r="J169" s="2"/>
    </row>
    <row r="170">
      <c r="A170" s="97"/>
      <c r="E170" s="2"/>
      <c r="F170" s="2"/>
      <c r="I170" s="2"/>
      <c r="J170" s="2"/>
    </row>
    <row r="171">
      <c r="A171" s="97"/>
      <c r="E171" s="2"/>
      <c r="F171" s="2"/>
      <c r="I171" s="2"/>
      <c r="J171" s="2"/>
    </row>
    <row r="172">
      <c r="A172" s="97"/>
      <c r="E172" s="2"/>
      <c r="F172" s="2"/>
      <c r="I172" s="2"/>
      <c r="J172" s="2"/>
    </row>
    <row r="173">
      <c r="A173" s="97"/>
      <c r="E173" s="2"/>
      <c r="F173" s="2"/>
      <c r="I173" s="2"/>
      <c r="J173" s="2"/>
    </row>
    <row r="174">
      <c r="A174" s="97"/>
      <c r="E174" s="2"/>
      <c r="F174" s="2"/>
      <c r="I174" s="2"/>
      <c r="J174" s="2"/>
    </row>
    <row r="175">
      <c r="A175" s="97"/>
      <c r="E175" s="2"/>
      <c r="F175" s="2"/>
      <c r="I175" s="2"/>
      <c r="J175" s="2"/>
    </row>
    <row r="176">
      <c r="A176" s="97"/>
      <c r="E176" s="2"/>
      <c r="F176" s="2"/>
      <c r="I176" s="2"/>
      <c r="J176" s="2"/>
    </row>
    <row r="177">
      <c r="A177" s="97"/>
      <c r="E177" s="2"/>
      <c r="F177" s="2"/>
      <c r="I177" s="2"/>
      <c r="J177" s="2"/>
    </row>
    <row r="178">
      <c r="A178" s="97"/>
      <c r="E178" s="2"/>
      <c r="F178" s="2"/>
      <c r="I178" s="2"/>
      <c r="J178" s="2"/>
    </row>
    <row r="179">
      <c r="A179" s="97"/>
      <c r="E179" s="2"/>
      <c r="F179" s="2"/>
      <c r="I179" s="2"/>
      <c r="J179" s="2"/>
    </row>
    <row r="180">
      <c r="A180" s="97"/>
      <c r="E180" s="2"/>
      <c r="F180" s="2"/>
      <c r="I180" s="2"/>
      <c r="J180" s="2"/>
    </row>
    <row r="181">
      <c r="A181" s="97"/>
      <c r="E181" s="2"/>
      <c r="F181" s="2"/>
      <c r="I181" s="2"/>
      <c r="J181" s="2"/>
    </row>
    <row r="182">
      <c r="A182" s="97"/>
      <c r="E182" s="2"/>
      <c r="F182" s="2"/>
      <c r="I182" s="2"/>
      <c r="J182" s="2"/>
    </row>
    <row r="183">
      <c r="A183" s="97"/>
      <c r="E183" s="2"/>
      <c r="F183" s="2"/>
      <c r="I183" s="2"/>
      <c r="J183" s="2"/>
    </row>
    <row r="184">
      <c r="A184" s="97"/>
      <c r="E184" s="2"/>
      <c r="F184" s="2"/>
      <c r="I184" s="2"/>
      <c r="J184" s="2"/>
    </row>
    <row r="185">
      <c r="A185" s="97"/>
      <c r="E185" s="2"/>
      <c r="F185" s="2"/>
      <c r="I185" s="2"/>
      <c r="J185" s="2"/>
    </row>
    <row r="186">
      <c r="A186" s="97"/>
      <c r="E186" s="2"/>
      <c r="F186" s="2"/>
      <c r="I186" s="2"/>
      <c r="J186" s="2"/>
    </row>
    <row r="187">
      <c r="A187" s="97"/>
      <c r="E187" s="2"/>
      <c r="F187" s="2"/>
      <c r="I187" s="2"/>
      <c r="J187" s="2"/>
    </row>
    <row r="188">
      <c r="A188" s="97"/>
      <c r="E188" s="2"/>
      <c r="F188" s="2"/>
      <c r="I188" s="2"/>
      <c r="J188" s="2"/>
    </row>
    <row r="189">
      <c r="A189" s="97"/>
      <c r="E189" s="2"/>
      <c r="F189" s="2"/>
      <c r="I189" s="2"/>
      <c r="J189" s="2"/>
    </row>
    <row r="190">
      <c r="A190" s="97"/>
      <c r="E190" s="2"/>
      <c r="F190" s="2"/>
      <c r="I190" s="2"/>
      <c r="J190" s="2"/>
    </row>
    <row r="191">
      <c r="A191" s="97"/>
      <c r="E191" s="2"/>
      <c r="F191" s="2"/>
      <c r="I191" s="2"/>
      <c r="J191" s="2"/>
    </row>
    <row r="192">
      <c r="A192" s="97"/>
      <c r="E192" s="2"/>
      <c r="F192" s="2"/>
      <c r="I192" s="2"/>
      <c r="J192" s="2"/>
    </row>
    <row r="193">
      <c r="A193" s="97"/>
      <c r="E193" s="2"/>
      <c r="F193" s="2"/>
      <c r="I193" s="2"/>
      <c r="J193" s="2"/>
    </row>
    <row r="194">
      <c r="A194" s="97"/>
      <c r="E194" s="2"/>
      <c r="F194" s="2"/>
      <c r="I194" s="2"/>
      <c r="J194" s="2"/>
    </row>
    <row r="195">
      <c r="A195" s="97"/>
      <c r="E195" s="2"/>
      <c r="F195" s="2"/>
      <c r="I195" s="2"/>
      <c r="J195" s="2"/>
    </row>
    <row r="196">
      <c r="A196" s="97"/>
      <c r="E196" s="2"/>
      <c r="F196" s="2"/>
      <c r="I196" s="2"/>
      <c r="J196" s="2"/>
    </row>
    <row r="197">
      <c r="A197" s="97"/>
      <c r="E197" s="2"/>
      <c r="F197" s="2"/>
      <c r="I197" s="2"/>
      <c r="J197" s="2"/>
    </row>
    <row r="198">
      <c r="A198" s="97"/>
      <c r="E198" s="2"/>
      <c r="F198" s="2"/>
      <c r="I198" s="2"/>
      <c r="J198" s="2"/>
    </row>
    <row r="199">
      <c r="A199" s="97"/>
      <c r="E199" s="2"/>
      <c r="F199" s="2"/>
      <c r="I199" s="2"/>
      <c r="J199" s="2"/>
    </row>
    <row r="200">
      <c r="A200" s="97"/>
      <c r="E200" s="2"/>
      <c r="F200" s="2"/>
      <c r="I200" s="2"/>
      <c r="J200" s="2"/>
    </row>
    <row r="201">
      <c r="A201" s="97"/>
      <c r="E201" s="2"/>
      <c r="F201" s="2"/>
      <c r="I201" s="2"/>
      <c r="J201" s="2"/>
    </row>
    <row r="202">
      <c r="A202" s="97"/>
      <c r="E202" s="2"/>
      <c r="F202" s="2"/>
      <c r="I202" s="2"/>
      <c r="J202" s="2"/>
    </row>
    <row r="203">
      <c r="A203" s="97"/>
      <c r="E203" s="2"/>
      <c r="F203" s="2"/>
      <c r="I203" s="2"/>
      <c r="J203" s="2"/>
    </row>
    <row r="204">
      <c r="A204" s="97"/>
      <c r="E204" s="2"/>
      <c r="F204" s="2"/>
      <c r="I204" s="2"/>
      <c r="J204" s="2"/>
    </row>
    <row r="205">
      <c r="A205" s="97"/>
      <c r="E205" s="2"/>
      <c r="F205" s="2"/>
      <c r="I205" s="2"/>
      <c r="J205" s="2"/>
    </row>
    <row r="206">
      <c r="A206" s="97"/>
      <c r="E206" s="2"/>
      <c r="F206" s="2"/>
      <c r="I206" s="2"/>
      <c r="J206" s="2"/>
    </row>
    <row r="207">
      <c r="A207" s="97"/>
      <c r="E207" s="2"/>
      <c r="F207" s="2"/>
      <c r="I207" s="2"/>
      <c r="J207" s="2"/>
    </row>
    <row r="208">
      <c r="A208" s="97"/>
      <c r="E208" s="2"/>
      <c r="F208" s="2"/>
      <c r="I208" s="2"/>
      <c r="J208" s="2"/>
    </row>
    <row r="209">
      <c r="A209" s="97"/>
      <c r="E209" s="2"/>
      <c r="F209" s="2"/>
      <c r="I209" s="2"/>
      <c r="J209" s="2"/>
    </row>
    <row r="210">
      <c r="A210" s="97"/>
      <c r="E210" s="2"/>
      <c r="F210" s="2"/>
      <c r="I210" s="2"/>
      <c r="J210" s="2"/>
    </row>
    <row r="211">
      <c r="A211" s="97"/>
      <c r="E211" s="2"/>
      <c r="F211" s="2"/>
      <c r="I211" s="2"/>
      <c r="J211" s="2"/>
    </row>
    <row r="212">
      <c r="A212" s="97"/>
      <c r="E212" s="2"/>
      <c r="F212" s="2"/>
      <c r="I212" s="2"/>
      <c r="J212" s="2"/>
    </row>
    <row r="213">
      <c r="A213" s="97"/>
      <c r="E213" s="2"/>
      <c r="F213" s="2"/>
      <c r="I213" s="2"/>
      <c r="J213" s="2"/>
    </row>
    <row r="214">
      <c r="A214" s="97"/>
      <c r="E214" s="2"/>
      <c r="F214" s="2"/>
      <c r="I214" s="2"/>
      <c r="J214" s="2"/>
    </row>
    <row r="215">
      <c r="A215" s="97"/>
      <c r="E215" s="2"/>
      <c r="F215" s="2"/>
      <c r="I215" s="2"/>
      <c r="J215" s="2"/>
    </row>
    <row r="216">
      <c r="A216" s="97"/>
      <c r="E216" s="2"/>
      <c r="F216" s="2"/>
      <c r="I216" s="2"/>
      <c r="J216" s="2"/>
    </row>
    <row r="217">
      <c r="A217" s="97"/>
      <c r="E217" s="2"/>
      <c r="F217" s="2"/>
      <c r="I217" s="2"/>
      <c r="J217" s="2"/>
    </row>
    <row r="218">
      <c r="A218" s="97"/>
      <c r="E218" s="2"/>
      <c r="F218" s="2"/>
      <c r="I218" s="2"/>
      <c r="J218" s="2"/>
    </row>
    <row r="219">
      <c r="A219" s="97"/>
      <c r="E219" s="2"/>
      <c r="F219" s="2"/>
      <c r="I219" s="2"/>
      <c r="J219" s="2"/>
    </row>
    <row r="220">
      <c r="A220" s="97"/>
      <c r="E220" s="2"/>
      <c r="F220" s="2"/>
      <c r="I220" s="2"/>
      <c r="J220" s="2"/>
    </row>
    <row r="221">
      <c r="A221" s="97"/>
      <c r="E221" s="2"/>
      <c r="F221" s="2"/>
      <c r="I221" s="2"/>
      <c r="J221" s="2"/>
    </row>
    <row r="222">
      <c r="A222" s="97"/>
      <c r="E222" s="2"/>
      <c r="F222" s="2"/>
      <c r="I222" s="2"/>
      <c r="J222" s="2"/>
    </row>
    <row r="223">
      <c r="A223" s="97"/>
      <c r="E223" s="2"/>
      <c r="F223" s="2"/>
      <c r="I223" s="2"/>
      <c r="J223" s="2"/>
    </row>
    <row r="224">
      <c r="A224" s="97"/>
      <c r="E224" s="2"/>
      <c r="F224" s="2"/>
      <c r="I224" s="2"/>
      <c r="J224" s="2"/>
    </row>
    <row r="225">
      <c r="A225" s="97"/>
      <c r="E225" s="2"/>
      <c r="F225" s="2"/>
      <c r="I225" s="2"/>
      <c r="J225" s="2"/>
    </row>
    <row r="226">
      <c r="A226" s="97"/>
      <c r="E226" s="2"/>
      <c r="F226" s="2"/>
      <c r="I226" s="2"/>
      <c r="J226" s="2"/>
    </row>
    <row r="227">
      <c r="A227" s="97"/>
      <c r="E227" s="2"/>
      <c r="F227" s="2"/>
      <c r="I227" s="2"/>
      <c r="J227" s="2"/>
    </row>
    <row r="228">
      <c r="A228" s="97"/>
      <c r="E228" s="2"/>
      <c r="F228" s="2"/>
      <c r="I228" s="2"/>
      <c r="J228" s="2"/>
    </row>
    <row r="229">
      <c r="A229" s="97"/>
      <c r="E229" s="2"/>
      <c r="F229" s="2"/>
      <c r="I229" s="2"/>
      <c r="J229" s="2"/>
    </row>
    <row r="230">
      <c r="A230" s="97"/>
      <c r="E230" s="2"/>
      <c r="F230" s="2"/>
      <c r="I230" s="2"/>
      <c r="J230" s="2"/>
    </row>
    <row r="231">
      <c r="A231" s="97"/>
      <c r="E231" s="2"/>
      <c r="F231" s="2"/>
      <c r="I231" s="2"/>
      <c r="J231" s="2"/>
    </row>
    <row r="232">
      <c r="A232" s="97"/>
      <c r="E232" s="2"/>
      <c r="F232" s="2"/>
      <c r="I232" s="2"/>
      <c r="J232" s="2"/>
    </row>
    <row r="233">
      <c r="A233" s="97"/>
      <c r="E233" s="2"/>
      <c r="F233" s="2"/>
      <c r="I233" s="2"/>
      <c r="J233" s="2"/>
    </row>
    <row r="234">
      <c r="A234" s="97"/>
      <c r="E234" s="2"/>
      <c r="F234" s="2"/>
      <c r="I234" s="2"/>
      <c r="J234" s="2"/>
    </row>
    <row r="235">
      <c r="A235" s="97"/>
      <c r="E235" s="2"/>
      <c r="F235" s="2"/>
      <c r="I235" s="2"/>
      <c r="J235" s="2"/>
    </row>
    <row r="236">
      <c r="A236" s="97"/>
      <c r="E236" s="2"/>
      <c r="F236" s="2"/>
      <c r="I236" s="2"/>
      <c r="J236" s="2"/>
    </row>
    <row r="237">
      <c r="A237" s="97"/>
      <c r="E237" s="2"/>
      <c r="F237" s="2"/>
      <c r="I237" s="2"/>
      <c r="J237" s="2"/>
    </row>
    <row r="238">
      <c r="A238" s="97"/>
      <c r="E238" s="2"/>
      <c r="F238" s="2"/>
      <c r="I238" s="2"/>
      <c r="J238" s="2"/>
    </row>
    <row r="239">
      <c r="A239" s="97"/>
      <c r="E239" s="2"/>
      <c r="F239" s="2"/>
      <c r="I239" s="2"/>
      <c r="J239" s="2"/>
    </row>
    <row r="240">
      <c r="A240" s="97"/>
      <c r="E240" s="2"/>
      <c r="F240" s="2"/>
      <c r="I240" s="2"/>
      <c r="J240" s="2"/>
    </row>
    <row r="241">
      <c r="A241" s="97"/>
      <c r="E241" s="2"/>
      <c r="F241" s="2"/>
      <c r="I241" s="2"/>
      <c r="J241" s="2"/>
    </row>
    <row r="242">
      <c r="A242" s="97"/>
      <c r="E242" s="2"/>
      <c r="F242" s="2"/>
      <c r="I242" s="2"/>
      <c r="J242" s="2"/>
    </row>
    <row r="243">
      <c r="A243" s="97"/>
      <c r="E243" s="2"/>
      <c r="F243" s="2"/>
      <c r="I243" s="2"/>
      <c r="J243" s="2"/>
    </row>
    <row r="244">
      <c r="A244" s="97"/>
      <c r="E244" s="2"/>
      <c r="F244" s="2"/>
      <c r="I244" s="2"/>
      <c r="J244" s="2"/>
    </row>
    <row r="245">
      <c r="A245" s="97"/>
      <c r="E245" s="2"/>
      <c r="F245" s="2"/>
      <c r="I245" s="2"/>
      <c r="J245" s="2"/>
    </row>
    <row r="246">
      <c r="A246" s="97"/>
      <c r="E246" s="2"/>
      <c r="F246" s="2"/>
      <c r="I246" s="2"/>
      <c r="J246" s="2"/>
    </row>
    <row r="247">
      <c r="A247" s="97"/>
      <c r="E247" s="2"/>
      <c r="F247" s="2"/>
      <c r="I247" s="2"/>
      <c r="J247" s="2"/>
    </row>
    <row r="248">
      <c r="A248" s="97"/>
      <c r="E248" s="2"/>
      <c r="F248" s="2"/>
      <c r="I248" s="2"/>
      <c r="J248" s="2"/>
    </row>
    <row r="249">
      <c r="A249" s="97"/>
      <c r="E249" s="2"/>
      <c r="F249" s="2"/>
      <c r="I249" s="2"/>
      <c r="J249" s="2"/>
    </row>
    <row r="250">
      <c r="A250" s="97"/>
      <c r="E250" s="2"/>
      <c r="F250" s="2"/>
      <c r="I250" s="2"/>
      <c r="J250" s="2"/>
    </row>
    <row r="251">
      <c r="A251" s="97"/>
      <c r="E251" s="2"/>
      <c r="F251" s="2"/>
      <c r="I251" s="2"/>
      <c r="J251" s="2"/>
    </row>
    <row r="252">
      <c r="A252" s="97"/>
      <c r="E252" s="2"/>
      <c r="F252" s="2"/>
      <c r="I252" s="2"/>
      <c r="J252" s="2"/>
    </row>
    <row r="253">
      <c r="A253" s="97"/>
      <c r="E253" s="2"/>
      <c r="F253" s="2"/>
      <c r="I253" s="2"/>
      <c r="J253" s="2"/>
    </row>
    <row r="254">
      <c r="A254" s="97"/>
      <c r="E254" s="2"/>
      <c r="F254" s="2"/>
      <c r="I254" s="2"/>
      <c r="J254" s="2"/>
    </row>
    <row r="255">
      <c r="A255" s="97"/>
      <c r="E255" s="2"/>
      <c r="F255" s="2"/>
      <c r="I255" s="2"/>
      <c r="J255" s="2"/>
    </row>
    <row r="256">
      <c r="A256" s="97"/>
      <c r="E256" s="2"/>
      <c r="F256" s="2"/>
      <c r="I256" s="2"/>
      <c r="J256" s="2"/>
    </row>
    <row r="257">
      <c r="A257" s="97"/>
      <c r="E257" s="2"/>
      <c r="F257" s="2"/>
      <c r="I257" s="2"/>
      <c r="J257" s="2"/>
    </row>
    <row r="258">
      <c r="A258" s="97"/>
      <c r="E258" s="2"/>
      <c r="F258" s="2"/>
      <c r="I258" s="2"/>
      <c r="J258" s="2"/>
    </row>
    <row r="259">
      <c r="A259" s="97"/>
      <c r="E259" s="2"/>
      <c r="F259" s="2"/>
      <c r="I259" s="2"/>
      <c r="J259" s="2"/>
    </row>
    <row r="260">
      <c r="A260" s="97"/>
      <c r="E260" s="2"/>
      <c r="F260" s="2"/>
      <c r="I260" s="2"/>
      <c r="J260" s="2"/>
    </row>
    <row r="261">
      <c r="A261" s="97"/>
      <c r="E261" s="2"/>
      <c r="F261" s="2"/>
      <c r="I261" s="2"/>
      <c r="J261" s="2"/>
    </row>
    <row r="262">
      <c r="A262" s="97"/>
      <c r="E262" s="2"/>
      <c r="F262" s="2"/>
      <c r="I262" s="2"/>
      <c r="J262" s="2"/>
    </row>
    <row r="263">
      <c r="A263" s="97"/>
      <c r="E263" s="2"/>
      <c r="F263" s="2"/>
      <c r="I263" s="2"/>
      <c r="J263" s="2"/>
    </row>
    <row r="264">
      <c r="A264" s="97"/>
      <c r="E264" s="2"/>
      <c r="F264" s="2"/>
      <c r="I264" s="2"/>
      <c r="J264" s="2"/>
    </row>
    <row r="265">
      <c r="A265" s="97"/>
      <c r="E265" s="2"/>
      <c r="F265" s="2"/>
      <c r="I265" s="2"/>
      <c r="J265" s="2"/>
    </row>
    <row r="266">
      <c r="A266" s="97"/>
      <c r="E266" s="2"/>
      <c r="F266" s="2"/>
      <c r="I266" s="2"/>
      <c r="J266" s="2"/>
    </row>
    <row r="267">
      <c r="A267" s="97"/>
      <c r="E267" s="2"/>
      <c r="F267" s="2"/>
      <c r="I267" s="2"/>
      <c r="J267" s="2"/>
    </row>
    <row r="268">
      <c r="A268" s="97"/>
      <c r="E268" s="2"/>
      <c r="F268" s="2"/>
      <c r="I268" s="2"/>
      <c r="J268" s="2"/>
    </row>
    <row r="269">
      <c r="A269" s="97"/>
      <c r="E269" s="2"/>
      <c r="F269" s="2"/>
      <c r="I269" s="2"/>
      <c r="J269" s="2"/>
    </row>
    <row r="270">
      <c r="A270" s="97"/>
      <c r="E270" s="2"/>
      <c r="F270" s="2"/>
      <c r="I270" s="2"/>
      <c r="J270" s="2"/>
    </row>
    <row r="271">
      <c r="A271" s="97"/>
      <c r="E271" s="2"/>
      <c r="F271" s="2"/>
      <c r="I271" s="2"/>
      <c r="J271" s="2"/>
    </row>
    <row r="272">
      <c r="A272" s="97"/>
      <c r="E272" s="2"/>
      <c r="F272" s="2"/>
      <c r="I272" s="2"/>
      <c r="J272" s="2"/>
    </row>
    <row r="273">
      <c r="A273" s="97"/>
      <c r="E273" s="2"/>
      <c r="F273" s="2"/>
      <c r="I273" s="2"/>
      <c r="J273" s="2"/>
    </row>
    <row r="274">
      <c r="A274" s="97"/>
      <c r="E274" s="2"/>
      <c r="F274" s="2"/>
      <c r="I274" s="2"/>
      <c r="J274" s="2"/>
    </row>
    <row r="275">
      <c r="A275" s="97"/>
      <c r="E275" s="2"/>
      <c r="F275" s="2"/>
      <c r="I275" s="2"/>
      <c r="J275" s="2"/>
    </row>
    <row r="276">
      <c r="A276" s="97"/>
      <c r="E276" s="2"/>
      <c r="F276" s="2"/>
      <c r="I276" s="2"/>
      <c r="J276" s="2"/>
    </row>
    <row r="277">
      <c r="A277" s="97"/>
      <c r="E277" s="2"/>
      <c r="F277" s="2"/>
      <c r="I277" s="2"/>
      <c r="J277" s="2"/>
    </row>
    <row r="278">
      <c r="A278" s="97"/>
      <c r="E278" s="2"/>
      <c r="F278" s="2"/>
      <c r="I278" s="2"/>
      <c r="J278" s="2"/>
    </row>
    <row r="279">
      <c r="A279" s="97"/>
      <c r="E279" s="2"/>
      <c r="F279" s="2"/>
      <c r="I279" s="2"/>
      <c r="J279" s="2"/>
    </row>
    <row r="280">
      <c r="A280" s="97"/>
      <c r="E280" s="2"/>
      <c r="F280" s="2"/>
      <c r="I280" s="2"/>
      <c r="J280" s="2"/>
    </row>
    <row r="281">
      <c r="A281" s="97"/>
      <c r="E281" s="2"/>
      <c r="F281" s="2"/>
      <c r="I281" s="2"/>
      <c r="J281" s="2"/>
    </row>
    <row r="282">
      <c r="A282" s="97"/>
      <c r="E282" s="2"/>
      <c r="F282" s="2"/>
      <c r="I282" s="2"/>
      <c r="J282" s="2"/>
    </row>
    <row r="283">
      <c r="A283" s="97"/>
      <c r="E283" s="2"/>
      <c r="F283" s="2"/>
      <c r="I283" s="2"/>
      <c r="J283" s="2"/>
    </row>
    <row r="284">
      <c r="A284" s="97"/>
      <c r="E284" s="2"/>
      <c r="F284" s="2"/>
      <c r="I284" s="2"/>
      <c r="J284" s="2"/>
    </row>
    <row r="285">
      <c r="A285" s="97"/>
      <c r="E285" s="2"/>
      <c r="F285" s="2"/>
      <c r="I285" s="2"/>
      <c r="J285" s="2"/>
    </row>
    <row r="286">
      <c r="A286" s="97"/>
      <c r="E286" s="2"/>
      <c r="F286" s="2"/>
      <c r="I286" s="2"/>
      <c r="J286" s="2"/>
    </row>
    <row r="287">
      <c r="A287" s="97"/>
      <c r="E287" s="2"/>
      <c r="F287" s="2"/>
      <c r="I287" s="2"/>
      <c r="J287" s="2"/>
    </row>
    <row r="288">
      <c r="A288" s="97"/>
      <c r="E288" s="2"/>
      <c r="F288" s="2"/>
      <c r="I288" s="2"/>
      <c r="J288" s="2"/>
    </row>
    <row r="289">
      <c r="A289" s="97"/>
      <c r="E289" s="2"/>
      <c r="F289" s="2"/>
      <c r="I289" s="2"/>
      <c r="J289" s="2"/>
    </row>
    <row r="290">
      <c r="A290" s="97"/>
      <c r="E290" s="2"/>
      <c r="F290" s="2"/>
      <c r="I290" s="2"/>
      <c r="J290" s="2"/>
    </row>
    <row r="291">
      <c r="A291" s="97"/>
      <c r="E291" s="2"/>
      <c r="F291" s="2"/>
      <c r="I291" s="2"/>
      <c r="J291" s="2"/>
    </row>
    <row r="292">
      <c r="A292" s="97"/>
      <c r="E292" s="2"/>
      <c r="F292" s="2"/>
      <c r="I292" s="2"/>
      <c r="J292" s="2"/>
    </row>
    <row r="293">
      <c r="A293" s="97"/>
      <c r="E293" s="2"/>
      <c r="F293" s="2"/>
      <c r="I293" s="2"/>
      <c r="J293" s="2"/>
    </row>
    <row r="294">
      <c r="A294" s="97"/>
      <c r="E294" s="2"/>
      <c r="F294" s="2"/>
      <c r="I294" s="2"/>
      <c r="J294" s="2"/>
    </row>
    <row r="295">
      <c r="A295" s="97"/>
      <c r="E295" s="2"/>
      <c r="F295" s="2"/>
      <c r="I295" s="2"/>
      <c r="J295" s="2"/>
    </row>
    <row r="296">
      <c r="A296" s="97"/>
      <c r="E296" s="2"/>
      <c r="F296" s="2"/>
      <c r="I296" s="2"/>
      <c r="J296" s="2"/>
    </row>
    <row r="297">
      <c r="A297" s="97"/>
      <c r="E297" s="2"/>
      <c r="F297" s="2"/>
      <c r="I297" s="2"/>
      <c r="J297" s="2"/>
    </row>
    <row r="298">
      <c r="A298" s="97"/>
      <c r="E298" s="2"/>
      <c r="F298" s="2"/>
      <c r="I298" s="2"/>
      <c r="J298" s="2"/>
    </row>
    <row r="299">
      <c r="A299" s="97"/>
      <c r="E299" s="2"/>
      <c r="F299" s="2"/>
      <c r="I299" s="2"/>
      <c r="J299" s="2"/>
    </row>
    <row r="300">
      <c r="A300" s="97"/>
      <c r="E300" s="2"/>
      <c r="F300" s="2"/>
      <c r="I300" s="2"/>
      <c r="J300" s="2"/>
    </row>
    <row r="301">
      <c r="A301" s="97"/>
      <c r="E301" s="2"/>
      <c r="F301" s="2"/>
      <c r="I301" s="2"/>
      <c r="J301" s="2"/>
    </row>
    <row r="302">
      <c r="A302" s="97"/>
      <c r="E302" s="2"/>
      <c r="F302" s="2"/>
      <c r="I302" s="2"/>
      <c r="J302" s="2"/>
    </row>
    <row r="303">
      <c r="A303" s="97"/>
      <c r="E303" s="2"/>
      <c r="F303" s="2"/>
      <c r="I303" s="2"/>
      <c r="J303" s="2"/>
    </row>
    <row r="304">
      <c r="A304" s="97"/>
      <c r="E304" s="2"/>
      <c r="F304" s="2"/>
      <c r="I304" s="2"/>
      <c r="J304" s="2"/>
    </row>
    <row r="305">
      <c r="A305" s="97"/>
      <c r="E305" s="2"/>
      <c r="F305" s="2"/>
      <c r="I305" s="2"/>
      <c r="J305" s="2"/>
    </row>
    <row r="306">
      <c r="A306" s="97"/>
      <c r="E306" s="2"/>
      <c r="F306" s="2"/>
      <c r="I306" s="2"/>
      <c r="J306" s="2"/>
    </row>
    <row r="307">
      <c r="A307" s="97"/>
      <c r="E307" s="2"/>
      <c r="F307" s="2"/>
      <c r="I307" s="2"/>
      <c r="J307" s="2"/>
    </row>
    <row r="308">
      <c r="A308" s="97"/>
      <c r="E308" s="2"/>
      <c r="F308" s="2"/>
      <c r="I308" s="2"/>
      <c r="J308" s="2"/>
    </row>
    <row r="309">
      <c r="A309" s="97"/>
      <c r="E309" s="2"/>
      <c r="F309" s="2"/>
      <c r="I309" s="2"/>
      <c r="J309" s="2"/>
    </row>
    <row r="310">
      <c r="A310" s="97"/>
      <c r="E310" s="2"/>
      <c r="F310" s="2"/>
      <c r="I310" s="2"/>
      <c r="J310" s="2"/>
    </row>
    <row r="311">
      <c r="A311" s="97"/>
      <c r="E311" s="2"/>
      <c r="F311" s="2"/>
      <c r="I311" s="2"/>
      <c r="J311" s="2"/>
    </row>
    <row r="312">
      <c r="A312" s="97"/>
      <c r="E312" s="2"/>
      <c r="F312" s="2"/>
      <c r="I312" s="2"/>
      <c r="J312" s="2"/>
    </row>
    <row r="313">
      <c r="A313" s="97"/>
      <c r="E313" s="2"/>
      <c r="F313" s="2"/>
      <c r="I313" s="2"/>
      <c r="J313" s="2"/>
    </row>
    <row r="314">
      <c r="A314" s="97"/>
      <c r="E314" s="2"/>
      <c r="F314" s="2"/>
      <c r="I314" s="2"/>
      <c r="J314" s="2"/>
    </row>
    <row r="315">
      <c r="A315" s="97"/>
      <c r="E315" s="2"/>
      <c r="F315" s="2"/>
      <c r="I315" s="2"/>
      <c r="J315" s="2"/>
    </row>
    <row r="316">
      <c r="A316" s="97"/>
      <c r="E316" s="2"/>
      <c r="F316" s="2"/>
      <c r="I316" s="2"/>
      <c r="J316" s="2"/>
    </row>
    <row r="317">
      <c r="A317" s="97"/>
      <c r="E317" s="2"/>
      <c r="F317" s="2"/>
      <c r="I317" s="2"/>
      <c r="J317" s="2"/>
    </row>
    <row r="318">
      <c r="A318" s="97"/>
      <c r="E318" s="2"/>
      <c r="F318" s="2"/>
      <c r="I318" s="2"/>
      <c r="J318" s="2"/>
    </row>
    <row r="319">
      <c r="A319" s="97"/>
      <c r="E319" s="2"/>
      <c r="F319" s="2"/>
      <c r="I319" s="2"/>
      <c r="J319" s="2"/>
    </row>
    <row r="320">
      <c r="A320" s="97"/>
      <c r="E320" s="2"/>
      <c r="F320" s="2"/>
      <c r="I320" s="2"/>
      <c r="J320" s="2"/>
    </row>
    <row r="321">
      <c r="A321" s="97"/>
      <c r="E321" s="2"/>
      <c r="F321" s="2"/>
      <c r="I321" s="2"/>
      <c r="J321" s="2"/>
    </row>
    <row r="322">
      <c r="A322" s="97"/>
      <c r="E322" s="2"/>
      <c r="F322" s="2"/>
      <c r="I322" s="2"/>
      <c r="J322" s="2"/>
    </row>
    <row r="323">
      <c r="A323" s="97"/>
      <c r="E323" s="2"/>
      <c r="F323" s="2"/>
      <c r="I323" s="2"/>
      <c r="J323" s="2"/>
    </row>
    <row r="324">
      <c r="A324" s="97"/>
      <c r="E324" s="2"/>
      <c r="F324" s="2"/>
      <c r="I324" s="2"/>
      <c r="J324" s="2"/>
    </row>
    <row r="325">
      <c r="A325" s="97"/>
      <c r="E325" s="2"/>
      <c r="F325" s="2"/>
      <c r="I325" s="2"/>
      <c r="J325" s="2"/>
    </row>
    <row r="326">
      <c r="A326" s="97"/>
      <c r="E326" s="2"/>
      <c r="F326" s="2"/>
      <c r="I326" s="2"/>
      <c r="J326" s="2"/>
    </row>
    <row r="327">
      <c r="A327" s="97"/>
      <c r="E327" s="2"/>
      <c r="F327" s="2"/>
      <c r="I327" s="2"/>
      <c r="J327" s="2"/>
    </row>
    <row r="328">
      <c r="A328" s="97"/>
      <c r="E328" s="2"/>
      <c r="F328" s="2"/>
      <c r="I328" s="2"/>
      <c r="J328" s="2"/>
    </row>
    <row r="329">
      <c r="A329" s="97"/>
      <c r="E329" s="2"/>
      <c r="F329" s="2"/>
      <c r="I329" s="2"/>
      <c r="J329" s="2"/>
    </row>
    <row r="330">
      <c r="A330" s="97"/>
      <c r="E330" s="2"/>
      <c r="F330" s="2"/>
      <c r="I330" s="2"/>
      <c r="J330" s="2"/>
    </row>
    <row r="331">
      <c r="A331" s="97"/>
      <c r="E331" s="2"/>
      <c r="F331" s="2"/>
      <c r="I331" s="2"/>
      <c r="J331" s="2"/>
    </row>
    <row r="332">
      <c r="A332" s="97"/>
      <c r="E332" s="2"/>
      <c r="F332" s="2"/>
      <c r="I332" s="2"/>
      <c r="J332" s="2"/>
    </row>
    <row r="333">
      <c r="A333" s="97"/>
      <c r="E333" s="2"/>
      <c r="F333" s="2"/>
      <c r="I333" s="2"/>
      <c r="J333" s="2"/>
    </row>
    <row r="334">
      <c r="A334" s="97"/>
      <c r="E334" s="2"/>
      <c r="F334" s="2"/>
      <c r="I334" s="2"/>
      <c r="J334" s="2"/>
    </row>
    <row r="335">
      <c r="A335" s="97"/>
      <c r="E335" s="2"/>
      <c r="F335" s="2"/>
      <c r="I335" s="2"/>
      <c r="J335" s="2"/>
    </row>
    <row r="336">
      <c r="A336" s="97"/>
      <c r="E336" s="2"/>
      <c r="F336" s="2"/>
      <c r="I336" s="2"/>
      <c r="J336" s="2"/>
    </row>
    <row r="337">
      <c r="A337" s="97"/>
      <c r="E337" s="2"/>
      <c r="F337" s="2"/>
      <c r="I337" s="2"/>
      <c r="J337" s="2"/>
    </row>
    <row r="338">
      <c r="A338" s="97"/>
      <c r="E338" s="2"/>
      <c r="F338" s="2"/>
      <c r="I338" s="2"/>
      <c r="J338" s="2"/>
    </row>
    <row r="339">
      <c r="A339" s="97"/>
      <c r="E339" s="2"/>
      <c r="F339" s="2"/>
      <c r="I339" s="2"/>
      <c r="J339" s="2"/>
    </row>
    <row r="340">
      <c r="A340" s="97"/>
      <c r="E340" s="2"/>
      <c r="F340" s="2"/>
      <c r="I340" s="2"/>
      <c r="J340" s="2"/>
    </row>
    <row r="341">
      <c r="A341" s="97"/>
      <c r="E341" s="2"/>
      <c r="F341" s="2"/>
      <c r="I341" s="2"/>
      <c r="J341" s="2"/>
    </row>
    <row r="342">
      <c r="A342" s="97"/>
      <c r="E342" s="2"/>
      <c r="F342" s="2"/>
      <c r="I342" s="2"/>
      <c r="J342" s="2"/>
    </row>
    <row r="343">
      <c r="A343" s="97"/>
      <c r="E343" s="2"/>
      <c r="F343" s="2"/>
      <c r="I343" s="2"/>
      <c r="J343" s="2"/>
    </row>
    <row r="344">
      <c r="A344" s="97"/>
      <c r="E344" s="2"/>
      <c r="F344" s="2"/>
      <c r="I344" s="2"/>
      <c r="J344" s="2"/>
    </row>
    <row r="345">
      <c r="A345" s="97"/>
      <c r="E345" s="2"/>
      <c r="F345" s="2"/>
      <c r="I345" s="2"/>
      <c r="J345" s="2"/>
    </row>
    <row r="346">
      <c r="A346" s="97"/>
      <c r="E346" s="2"/>
      <c r="F346" s="2"/>
      <c r="I346" s="2"/>
      <c r="J346" s="2"/>
    </row>
    <row r="347">
      <c r="A347" s="97"/>
      <c r="E347" s="2"/>
      <c r="F347" s="2"/>
      <c r="I347" s="2"/>
      <c r="J347" s="2"/>
    </row>
    <row r="348">
      <c r="A348" s="97"/>
      <c r="E348" s="2"/>
      <c r="F348" s="2"/>
      <c r="I348" s="2"/>
      <c r="J348" s="2"/>
    </row>
    <row r="349">
      <c r="A349" s="97"/>
      <c r="E349" s="2"/>
      <c r="F349" s="2"/>
      <c r="I349" s="2"/>
      <c r="J349" s="2"/>
    </row>
    <row r="350">
      <c r="A350" s="97"/>
      <c r="E350" s="2"/>
      <c r="F350" s="2"/>
      <c r="I350" s="2"/>
      <c r="J350" s="2"/>
    </row>
    <row r="351">
      <c r="A351" s="97"/>
      <c r="E351" s="2"/>
      <c r="F351" s="2"/>
      <c r="I351" s="2"/>
      <c r="J351" s="2"/>
    </row>
    <row r="352">
      <c r="A352" s="97"/>
      <c r="E352" s="2"/>
      <c r="F352" s="2"/>
      <c r="I352" s="2"/>
      <c r="J352" s="2"/>
    </row>
    <row r="353">
      <c r="A353" s="97"/>
      <c r="E353" s="2"/>
      <c r="F353" s="2"/>
      <c r="I353" s="2"/>
      <c r="J353" s="2"/>
    </row>
    <row r="354">
      <c r="A354" s="97"/>
      <c r="E354" s="2"/>
      <c r="F354" s="2"/>
      <c r="I354" s="2"/>
      <c r="J354" s="2"/>
    </row>
    <row r="355">
      <c r="A355" s="97"/>
      <c r="E355" s="2"/>
      <c r="F355" s="2"/>
      <c r="I355" s="2"/>
      <c r="J355" s="2"/>
    </row>
    <row r="356">
      <c r="A356" s="97"/>
      <c r="E356" s="2"/>
      <c r="F356" s="2"/>
      <c r="I356" s="2"/>
      <c r="J356" s="2"/>
    </row>
    <row r="357">
      <c r="A357" s="97"/>
      <c r="E357" s="2"/>
      <c r="F357" s="2"/>
      <c r="I357" s="2"/>
      <c r="J357" s="2"/>
    </row>
    <row r="358">
      <c r="A358" s="97"/>
      <c r="E358" s="2"/>
      <c r="F358" s="2"/>
      <c r="I358" s="2"/>
      <c r="J358" s="2"/>
    </row>
    <row r="359">
      <c r="A359" s="97"/>
      <c r="E359" s="2"/>
      <c r="F359" s="2"/>
      <c r="I359" s="2"/>
      <c r="J359" s="2"/>
    </row>
    <row r="360">
      <c r="A360" s="97"/>
      <c r="E360" s="2"/>
      <c r="F360" s="2"/>
      <c r="I360" s="2"/>
      <c r="J360" s="2"/>
    </row>
    <row r="361">
      <c r="A361" s="97"/>
      <c r="E361" s="2"/>
      <c r="F361" s="2"/>
      <c r="I361" s="2"/>
      <c r="J361" s="2"/>
    </row>
    <row r="362">
      <c r="A362" s="97"/>
      <c r="E362" s="2"/>
      <c r="F362" s="2"/>
      <c r="I362" s="2"/>
      <c r="J362" s="2"/>
    </row>
    <row r="363">
      <c r="A363" s="97"/>
      <c r="E363" s="2"/>
      <c r="F363" s="2"/>
      <c r="I363" s="2"/>
      <c r="J363" s="2"/>
    </row>
    <row r="364">
      <c r="A364" s="97"/>
      <c r="E364" s="2"/>
      <c r="F364" s="2"/>
      <c r="I364" s="2"/>
      <c r="J364" s="2"/>
    </row>
    <row r="365">
      <c r="A365" s="97"/>
      <c r="E365" s="2"/>
      <c r="F365" s="2"/>
      <c r="I365" s="2"/>
      <c r="J365" s="2"/>
    </row>
    <row r="366">
      <c r="A366" s="97"/>
      <c r="E366" s="2"/>
      <c r="F366" s="2"/>
      <c r="I366" s="2"/>
      <c r="J366" s="2"/>
    </row>
    <row r="367">
      <c r="A367" s="97"/>
      <c r="E367" s="2"/>
      <c r="F367" s="2"/>
      <c r="I367" s="2"/>
      <c r="J367" s="2"/>
    </row>
    <row r="368">
      <c r="A368" s="97"/>
      <c r="E368" s="2"/>
      <c r="F368" s="2"/>
      <c r="I368" s="2"/>
      <c r="J368" s="2"/>
    </row>
    <row r="369">
      <c r="A369" s="97"/>
      <c r="E369" s="2"/>
      <c r="F369" s="2"/>
      <c r="I369" s="2"/>
      <c r="J369" s="2"/>
    </row>
    <row r="370">
      <c r="A370" s="97"/>
      <c r="E370" s="2"/>
      <c r="F370" s="2"/>
      <c r="I370" s="2"/>
      <c r="J370" s="2"/>
    </row>
    <row r="371">
      <c r="A371" s="97"/>
      <c r="E371" s="2"/>
      <c r="F371" s="2"/>
      <c r="I371" s="2"/>
      <c r="J371" s="2"/>
    </row>
    <row r="372">
      <c r="A372" s="97"/>
      <c r="E372" s="2"/>
      <c r="F372" s="2"/>
      <c r="I372" s="2"/>
      <c r="J372" s="2"/>
    </row>
    <row r="373">
      <c r="A373" s="97"/>
      <c r="E373" s="2"/>
      <c r="F373" s="2"/>
      <c r="I373" s="2"/>
      <c r="J373" s="2"/>
    </row>
    <row r="374">
      <c r="A374" s="97"/>
      <c r="E374" s="2"/>
      <c r="F374" s="2"/>
      <c r="I374" s="2"/>
      <c r="J374" s="2"/>
    </row>
    <row r="375">
      <c r="A375" s="97"/>
      <c r="E375" s="2"/>
      <c r="F375" s="2"/>
      <c r="I375" s="2"/>
      <c r="J375" s="2"/>
    </row>
    <row r="376">
      <c r="A376" s="97"/>
      <c r="E376" s="2"/>
      <c r="F376" s="2"/>
      <c r="I376" s="2"/>
      <c r="J376" s="2"/>
    </row>
    <row r="377">
      <c r="A377" s="97"/>
      <c r="E377" s="2"/>
      <c r="F377" s="2"/>
      <c r="I377" s="2"/>
      <c r="J377" s="2"/>
    </row>
    <row r="378">
      <c r="A378" s="97"/>
      <c r="E378" s="2"/>
      <c r="F378" s="2"/>
      <c r="I378" s="2"/>
      <c r="J378" s="2"/>
    </row>
    <row r="379">
      <c r="A379" s="97"/>
      <c r="E379" s="2"/>
      <c r="F379" s="2"/>
      <c r="I379" s="2"/>
      <c r="J379" s="2"/>
    </row>
    <row r="380">
      <c r="A380" s="97"/>
      <c r="E380" s="2"/>
      <c r="F380" s="2"/>
      <c r="I380" s="2"/>
      <c r="J380" s="2"/>
    </row>
    <row r="381">
      <c r="A381" s="97"/>
      <c r="E381" s="2"/>
      <c r="F381" s="2"/>
      <c r="I381" s="2"/>
      <c r="J381" s="2"/>
    </row>
    <row r="382">
      <c r="A382" s="97"/>
      <c r="E382" s="2"/>
      <c r="F382" s="2"/>
      <c r="I382" s="2"/>
      <c r="J382" s="2"/>
    </row>
    <row r="383">
      <c r="A383" s="97"/>
      <c r="E383" s="2"/>
      <c r="F383" s="2"/>
      <c r="I383" s="2"/>
      <c r="J383" s="2"/>
    </row>
    <row r="384">
      <c r="A384" s="97"/>
      <c r="E384" s="2"/>
      <c r="F384" s="2"/>
      <c r="I384" s="2"/>
      <c r="J384" s="2"/>
    </row>
    <row r="385">
      <c r="A385" s="97"/>
      <c r="E385" s="2"/>
      <c r="F385" s="2"/>
      <c r="I385" s="2"/>
      <c r="J385" s="2"/>
    </row>
    <row r="386">
      <c r="A386" s="97"/>
      <c r="E386" s="2"/>
      <c r="F386" s="2"/>
      <c r="I386" s="2"/>
      <c r="J386" s="2"/>
    </row>
    <row r="387">
      <c r="A387" s="97"/>
      <c r="E387" s="2"/>
      <c r="F387" s="2"/>
      <c r="I387" s="2"/>
      <c r="J387" s="2"/>
    </row>
    <row r="388">
      <c r="A388" s="97"/>
      <c r="E388" s="2"/>
      <c r="F388" s="2"/>
      <c r="I388" s="2"/>
      <c r="J388" s="2"/>
    </row>
    <row r="389">
      <c r="A389" s="97"/>
      <c r="E389" s="2"/>
      <c r="F389" s="2"/>
      <c r="I389" s="2"/>
      <c r="J389" s="2"/>
    </row>
    <row r="390">
      <c r="A390" s="97"/>
      <c r="E390" s="2"/>
      <c r="F390" s="2"/>
      <c r="I390" s="2"/>
      <c r="J390" s="2"/>
    </row>
    <row r="391">
      <c r="A391" s="97"/>
      <c r="E391" s="2"/>
      <c r="F391" s="2"/>
      <c r="I391" s="2"/>
      <c r="J391" s="2"/>
    </row>
    <row r="392">
      <c r="A392" s="97"/>
      <c r="E392" s="2"/>
      <c r="F392" s="2"/>
      <c r="I392" s="2"/>
      <c r="J392" s="2"/>
    </row>
    <row r="393">
      <c r="A393" s="97"/>
      <c r="E393" s="2"/>
      <c r="F393" s="2"/>
      <c r="I393" s="2"/>
      <c r="J393" s="2"/>
    </row>
    <row r="394">
      <c r="A394" s="97"/>
      <c r="E394" s="2"/>
      <c r="F394" s="2"/>
      <c r="I394" s="2"/>
      <c r="J394" s="2"/>
    </row>
    <row r="395">
      <c r="A395" s="97"/>
      <c r="E395" s="2"/>
      <c r="F395" s="2"/>
      <c r="I395" s="2"/>
      <c r="J395" s="2"/>
    </row>
    <row r="396">
      <c r="A396" s="97"/>
      <c r="E396" s="2"/>
      <c r="F396" s="2"/>
      <c r="I396" s="2"/>
      <c r="J396" s="2"/>
    </row>
    <row r="397">
      <c r="A397" s="97"/>
      <c r="E397" s="2"/>
      <c r="F397" s="2"/>
      <c r="I397" s="2"/>
      <c r="J397" s="2"/>
    </row>
    <row r="398">
      <c r="A398" s="97"/>
      <c r="E398" s="2"/>
      <c r="F398" s="2"/>
      <c r="I398" s="2"/>
      <c r="J398" s="2"/>
    </row>
    <row r="399">
      <c r="A399" s="97"/>
      <c r="E399" s="2"/>
      <c r="F399" s="2"/>
      <c r="I399" s="2"/>
      <c r="J399" s="2"/>
    </row>
    <row r="400">
      <c r="A400" s="97"/>
      <c r="E400" s="2"/>
      <c r="F400" s="2"/>
      <c r="I400" s="2"/>
      <c r="J400" s="2"/>
    </row>
    <row r="401">
      <c r="A401" s="97"/>
      <c r="E401" s="2"/>
      <c r="F401" s="2"/>
      <c r="I401" s="2"/>
      <c r="J401" s="2"/>
    </row>
    <row r="402">
      <c r="A402" s="97"/>
      <c r="E402" s="2"/>
      <c r="F402" s="2"/>
      <c r="I402" s="2"/>
      <c r="J402" s="2"/>
    </row>
    <row r="403">
      <c r="A403" s="97"/>
      <c r="E403" s="2"/>
      <c r="F403" s="2"/>
      <c r="I403" s="2"/>
      <c r="J403" s="2"/>
    </row>
    <row r="404">
      <c r="A404" s="97"/>
      <c r="E404" s="2"/>
      <c r="F404" s="2"/>
      <c r="I404" s="2"/>
      <c r="J404" s="2"/>
    </row>
    <row r="405">
      <c r="A405" s="97"/>
      <c r="E405" s="2"/>
      <c r="F405" s="2"/>
      <c r="I405" s="2"/>
      <c r="J405" s="2"/>
    </row>
    <row r="406">
      <c r="A406" s="97"/>
      <c r="E406" s="2"/>
      <c r="F406" s="2"/>
      <c r="I406" s="2"/>
      <c r="J406" s="2"/>
    </row>
    <row r="407">
      <c r="A407" s="97"/>
      <c r="E407" s="2"/>
      <c r="F407" s="2"/>
      <c r="I407" s="2"/>
      <c r="J407" s="2"/>
    </row>
    <row r="408">
      <c r="A408" s="97"/>
      <c r="E408" s="2"/>
      <c r="F408" s="2"/>
      <c r="I408" s="2"/>
      <c r="J408" s="2"/>
    </row>
    <row r="409">
      <c r="A409" s="97"/>
      <c r="E409" s="2"/>
      <c r="F409" s="2"/>
      <c r="I409" s="2"/>
      <c r="J409" s="2"/>
    </row>
    <row r="410">
      <c r="A410" s="97"/>
      <c r="E410" s="2"/>
      <c r="F410" s="2"/>
      <c r="I410" s="2"/>
      <c r="J410" s="2"/>
    </row>
    <row r="411">
      <c r="A411" s="97"/>
      <c r="E411" s="2"/>
      <c r="F411" s="2"/>
      <c r="I411" s="2"/>
      <c r="J411" s="2"/>
    </row>
    <row r="412">
      <c r="A412" s="97"/>
      <c r="E412" s="2"/>
      <c r="F412" s="2"/>
      <c r="I412" s="2"/>
      <c r="J412" s="2"/>
    </row>
    <row r="413">
      <c r="A413" s="97"/>
      <c r="E413" s="2"/>
      <c r="F413" s="2"/>
      <c r="I413" s="2"/>
      <c r="J413" s="2"/>
    </row>
    <row r="414">
      <c r="A414" s="97"/>
      <c r="E414" s="2"/>
      <c r="F414" s="2"/>
      <c r="I414" s="2"/>
      <c r="J414" s="2"/>
    </row>
    <row r="415">
      <c r="A415" s="97"/>
      <c r="E415" s="2"/>
      <c r="F415" s="2"/>
      <c r="I415" s="2"/>
      <c r="J415" s="2"/>
    </row>
    <row r="416">
      <c r="A416" s="97"/>
      <c r="E416" s="2"/>
      <c r="F416" s="2"/>
      <c r="I416" s="2"/>
      <c r="J416" s="2"/>
    </row>
    <row r="417">
      <c r="A417" s="97"/>
      <c r="E417" s="2"/>
      <c r="F417" s="2"/>
      <c r="I417" s="2"/>
      <c r="J417" s="2"/>
    </row>
    <row r="418">
      <c r="A418" s="97"/>
      <c r="E418" s="2"/>
      <c r="F418" s="2"/>
      <c r="I418" s="2"/>
      <c r="J418" s="2"/>
    </row>
    <row r="419">
      <c r="A419" s="97"/>
      <c r="E419" s="2"/>
      <c r="F419" s="2"/>
      <c r="I419" s="2"/>
      <c r="J419" s="2"/>
    </row>
    <row r="420">
      <c r="A420" s="97"/>
      <c r="E420" s="2"/>
      <c r="F420" s="2"/>
      <c r="I420" s="2"/>
      <c r="J420" s="2"/>
    </row>
    <row r="421">
      <c r="A421" s="97"/>
      <c r="E421" s="2"/>
      <c r="F421" s="2"/>
      <c r="I421" s="2"/>
      <c r="J421" s="2"/>
    </row>
    <row r="422">
      <c r="A422" s="97"/>
      <c r="E422" s="2"/>
      <c r="F422" s="2"/>
      <c r="I422" s="2"/>
      <c r="J422" s="2"/>
    </row>
    <row r="423">
      <c r="A423" s="97"/>
      <c r="E423" s="2"/>
      <c r="F423" s="2"/>
      <c r="I423" s="2"/>
      <c r="J423" s="2"/>
    </row>
    <row r="424">
      <c r="A424" s="97"/>
      <c r="E424" s="2"/>
      <c r="F424" s="2"/>
      <c r="I424" s="2"/>
      <c r="J424" s="2"/>
    </row>
    <row r="425">
      <c r="A425" s="97"/>
      <c r="E425" s="2"/>
      <c r="F425" s="2"/>
      <c r="I425" s="2"/>
      <c r="J425" s="2"/>
    </row>
    <row r="426">
      <c r="A426" s="97"/>
      <c r="E426" s="2"/>
      <c r="F426" s="2"/>
      <c r="I426" s="2"/>
      <c r="J426" s="2"/>
    </row>
    <row r="427">
      <c r="A427" s="97"/>
      <c r="E427" s="2"/>
      <c r="F427" s="2"/>
      <c r="I427" s="2"/>
      <c r="J427" s="2"/>
    </row>
    <row r="428">
      <c r="A428" s="97"/>
      <c r="E428" s="2"/>
      <c r="F428" s="2"/>
      <c r="I428" s="2"/>
      <c r="J428" s="2"/>
    </row>
    <row r="429">
      <c r="A429" s="97"/>
      <c r="E429" s="2"/>
      <c r="F429" s="2"/>
      <c r="I429" s="2"/>
      <c r="J429" s="2"/>
    </row>
    <row r="430">
      <c r="A430" s="97"/>
      <c r="E430" s="2"/>
      <c r="F430" s="2"/>
      <c r="I430" s="2"/>
      <c r="J430" s="2"/>
    </row>
    <row r="431">
      <c r="A431" s="97"/>
      <c r="E431" s="2"/>
      <c r="F431" s="2"/>
      <c r="I431" s="2"/>
      <c r="J431" s="2"/>
    </row>
    <row r="432">
      <c r="A432" s="97"/>
      <c r="E432" s="2"/>
      <c r="F432" s="2"/>
      <c r="I432" s="2"/>
      <c r="J432" s="2"/>
    </row>
    <row r="433">
      <c r="A433" s="97"/>
      <c r="E433" s="2"/>
      <c r="F433" s="2"/>
      <c r="I433" s="2"/>
      <c r="J433" s="2"/>
    </row>
    <row r="434">
      <c r="A434" s="97"/>
      <c r="E434" s="2"/>
      <c r="F434" s="2"/>
      <c r="I434" s="2"/>
      <c r="J434" s="2"/>
    </row>
    <row r="435">
      <c r="A435" s="97"/>
      <c r="E435" s="2"/>
      <c r="F435" s="2"/>
      <c r="I435" s="2"/>
      <c r="J435" s="2"/>
    </row>
    <row r="436">
      <c r="A436" s="97"/>
      <c r="E436" s="2"/>
      <c r="F436" s="2"/>
      <c r="I436" s="2"/>
      <c r="J436" s="2"/>
    </row>
    <row r="437">
      <c r="A437" s="97"/>
      <c r="E437" s="2"/>
      <c r="F437" s="2"/>
      <c r="I437" s="2"/>
      <c r="J437" s="2"/>
    </row>
    <row r="438">
      <c r="A438" s="97"/>
      <c r="E438" s="2"/>
      <c r="F438" s="2"/>
      <c r="I438" s="2"/>
      <c r="J438" s="2"/>
    </row>
    <row r="439">
      <c r="A439" s="97"/>
      <c r="E439" s="2"/>
      <c r="F439" s="2"/>
      <c r="I439" s="2"/>
      <c r="J439" s="2"/>
    </row>
    <row r="440">
      <c r="A440" s="97"/>
      <c r="E440" s="2"/>
      <c r="F440" s="2"/>
      <c r="I440" s="2"/>
      <c r="J440" s="2"/>
    </row>
    <row r="441">
      <c r="A441" s="97"/>
      <c r="E441" s="2"/>
      <c r="F441" s="2"/>
      <c r="I441" s="2"/>
      <c r="J441" s="2"/>
    </row>
    <row r="442">
      <c r="A442" s="97"/>
      <c r="E442" s="2"/>
      <c r="F442" s="2"/>
      <c r="I442" s="2"/>
      <c r="J442" s="2"/>
    </row>
    <row r="443">
      <c r="A443" s="97"/>
      <c r="E443" s="2"/>
      <c r="F443" s="2"/>
      <c r="I443" s="2"/>
      <c r="J443" s="2"/>
    </row>
    <row r="444">
      <c r="A444" s="97"/>
      <c r="E444" s="2"/>
      <c r="F444" s="2"/>
      <c r="I444" s="2"/>
      <c r="J444" s="2"/>
    </row>
    <row r="445">
      <c r="A445" s="97"/>
      <c r="E445" s="2"/>
      <c r="F445" s="2"/>
      <c r="I445" s="2"/>
      <c r="J445" s="2"/>
    </row>
    <row r="446">
      <c r="A446" s="97"/>
      <c r="E446" s="2"/>
      <c r="F446" s="2"/>
      <c r="I446" s="2"/>
      <c r="J446" s="2"/>
    </row>
    <row r="447">
      <c r="A447" s="97"/>
      <c r="E447" s="2"/>
      <c r="F447" s="2"/>
      <c r="I447" s="2"/>
      <c r="J447" s="2"/>
    </row>
    <row r="448">
      <c r="A448" s="97"/>
      <c r="E448" s="2"/>
      <c r="F448" s="2"/>
      <c r="I448" s="2"/>
      <c r="J448" s="2"/>
    </row>
    <row r="449">
      <c r="A449" s="97"/>
      <c r="E449" s="2"/>
      <c r="F449" s="2"/>
      <c r="I449" s="2"/>
      <c r="J449" s="2"/>
    </row>
    <row r="450">
      <c r="A450" s="97"/>
      <c r="E450" s="2"/>
      <c r="F450" s="2"/>
      <c r="I450" s="2"/>
      <c r="J450" s="2"/>
    </row>
    <row r="451">
      <c r="A451" s="97"/>
      <c r="E451" s="2"/>
      <c r="F451" s="2"/>
      <c r="I451" s="2"/>
      <c r="J451" s="2"/>
    </row>
    <row r="452">
      <c r="A452" s="97"/>
      <c r="E452" s="2"/>
      <c r="F452" s="2"/>
      <c r="I452" s="2"/>
      <c r="J452" s="2"/>
    </row>
    <row r="453">
      <c r="A453" s="97"/>
      <c r="E453" s="2"/>
      <c r="F453" s="2"/>
      <c r="I453" s="2"/>
      <c r="J453" s="2"/>
    </row>
    <row r="454">
      <c r="A454" s="97"/>
      <c r="E454" s="2"/>
      <c r="F454" s="2"/>
      <c r="I454" s="2"/>
      <c r="J454" s="2"/>
    </row>
    <row r="455">
      <c r="A455" s="97"/>
      <c r="E455" s="2"/>
      <c r="F455" s="2"/>
      <c r="I455" s="2"/>
      <c r="J455" s="2"/>
    </row>
    <row r="456">
      <c r="A456" s="97"/>
      <c r="E456" s="2"/>
      <c r="F456" s="2"/>
      <c r="I456" s="2"/>
      <c r="J456" s="2"/>
    </row>
    <row r="457">
      <c r="A457" s="97"/>
      <c r="E457" s="2"/>
      <c r="F457" s="2"/>
      <c r="I457" s="2"/>
      <c r="J457" s="2"/>
    </row>
    <row r="458">
      <c r="A458" s="97"/>
      <c r="E458" s="2"/>
      <c r="F458" s="2"/>
      <c r="I458" s="2"/>
      <c r="J458" s="2"/>
    </row>
    <row r="459">
      <c r="A459" s="97"/>
      <c r="E459" s="2"/>
      <c r="F459" s="2"/>
      <c r="I459" s="2"/>
      <c r="J459" s="2"/>
    </row>
    <row r="460">
      <c r="A460" s="97"/>
      <c r="E460" s="2"/>
      <c r="F460" s="2"/>
      <c r="I460" s="2"/>
      <c r="J460" s="2"/>
    </row>
    <row r="461">
      <c r="A461" s="97"/>
      <c r="E461" s="2"/>
      <c r="F461" s="2"/>
      <c r="I461" s="2"/>
      <c r="J461" s="2"/>
    </row>
    <row r="462">
      <c r="A462" s="97"/>
      <c r="E462" s="2"/>
      <c r="F462" s="2"/>
      <c r="I462" s="2"/>
      <c r="J462" s="2"/>
    </row>
    <row r="463">
      <c r="A463" s="97"/>
      <c r="E463" s="2"/>
      <c r="F463" s="2"/>
      <c r="I463" s="2"/>
      <c r="J463" s="2"/>
    </row>
    <row r="464">
      <c r="A464" s="97"/>
      <c r="E464" s="2"/>
      <c r="F464" s="2"/>
      <c r="I464" s="2"/>
      <c r="J464" s="2"/>
    </row>
    <row r="465">
      <c r="A465" s="97"/>
      <c r="E465" s="2"/>
      <c r="F465" s="2"/>
      <c r="I465" s="2"/>
      <c r="J465" s="2"/>
    </row>
    <row r="466">
      <c r="A466" s="97"/>
      <c r="E466" s="2"/>
      <c r="F466" s="2"/>
      <c r="I466" s="2"/>
      <c r="J466" s="2"/>
    </row>
    <row r="467">
      <c r="A467" s="97"/>
      <c r="E467" s="2"/>
      <c r="F467" s="2"/>
      <c r="I467" s="2"/>
      <c r="J467" s="2"/>
    </row>
    <row r="468">
      <c r="A468" s="97"/>
      <c r="E468" s="2"/>
      <c r="F468" s="2"/>
      <c r="I468" s="2"/>
      <c r="J468" s="2"/>
    </row>
    <row r="469">
      <c r="A469" s="97"/>
      <c r="E469" s="2"/>
      <c r="F469" s="2"/>
      <c r="I469" s="2"/>
      <c r="J469" s="2"/>
    </row>
    <row r="470">
      <c r="A470" s="97"/>
      <c r="E470" s="2"/>
      <c r="F470" s="2"/>
      <c r="I470" s="2"/>
      <c r="J470" s="2"/>
    </row>
    <row r="471">
      <c r="A471" s="97"/>
      <c r="E471" s="2"/>
      <c r="F471" s="2"/>
      <c r="I471" s="2"/>
      <c r="J471" s="2"/>
    </row>
    <row r="472">
      <c r="A472" s="97"/>
      <c r="E472" s="2"/>
      <c r="F472" s="2"/>
      <c r="I472" s="2"/>
      <c r="J472" s="2"/>
    </row>
    <row r="473">
      <c r="A473" s="97"/>
      <c r="E473" s="2"/>
      <c r="F473" s="2"/>
      <c r="I473" s="2"/>
      <c r="J473" s="2"/>
    </row>
    <row r="474">
      <c r="A474" s="97"/>
      <c r="E474" s="2"/>
      <c r="F474" s="2"/>
      <c r="I474" s="2"/>
      <c r="J474" s="2"/>
    </row>
    <row r="475">
      <c r="A475" s="97"/>
      <c r="E475" s="2"/>
      <c r="F475" s="2"/>
      <c r="I475" s="2"/>
      <c r="J475" s="2"/>
    </row>
    <row r="476">
      <c r="A476" s="97"/>
      <c r="E476" s="2"/>
      <c r="F476" s="2"/>
      <c r="I476" s="2"/>
      <c r="J476" s="2"/>
    </row>
    <row r="477">
      <c r="A477" s="97"/>
      <c r="E477" s="2"/>
      <c r="F477" s="2"/>
      <c r="I477" s="2"/>
      <c r="J477" s="2"/>
    </row>
    <row r="478">
      <c r="A478" s="97"/>
      <c r="E478" s="2"/>
      <c r="F478" s="2"/>
      <c r="I478" s="2"/>
      <c r="J478" s="2"/>
    </row>
    <row r="479">
      <c r="A479" s="97"/>
      <c r="E479" s="2"/>
      <c r="F479" s="2"/>
      <c r="I479" s="2"/>
      <c r="J479" s="2"/>
    </row>
    <row r="480">
      <c r="A480" s="97"/>
      <c r="E480" s="2"/>
      <c r="F480" s="2"/>
      <c r="I480" s="2"/>
      <c r="J480" s="2"/>
    </row>
    <row r="481">
      <c r="A481" s="97"/>
      <c r="E481" s="2"/>
      <c r="F481" s="2"/>
      <c r="I481" s="2"/>
      <c r="J481" s="2"/>
    </row>
    <row r="482">
      <c r="A482" s="97"/>
      <c r="E482" s="2"/>
      <c r="F482" s="2"/>
      <c r="I482" s="2"/>
      <c r="J482" s="2"/>
    </row>
    <row r="483">
      <c r="A483" s="97"/>
      <c r="E483" s="2"/>
      <c r="F483" s="2"/>
      <c r="I483" s="2"/>
      <c r="J483" s="2"/>
    </row>
    <row r="484">
      <c r="A484" s="97"/>
      <c r="E484" s="2"/>
      <c r="F484" s="2"/>
      <c r="I484" s="2"/>
      <c r="J484" s="2"/>
    </row>
    <row r="485">
      <c r="A485" s="97"/>
      <c r="E485" s="2"/>
      <c r="F485" s="2"/>
      <c r="I485" s="2"/>
      <c r="J485" s="2"/>
    </row>
    <row r="486">
      <c r="A486" s="97"/>
      <c r="E486" s="2"/>
      <c r="F486" s="2"/>
      <c r="I486" s="2"/>
      <c r="J486" s="2"/>
    </row>
    <row r="487">
      <c r="A487" s="97"/>
      <c r="E487" s="2"/>
      <c r="F487" s="2"/>
      <c r="I487" s="2"/>
      <c r="J487" s="2"/>
    </row>
    <row r="488">
      <c r="A488" s="97"/>
      <c r="E488" s="2"/>
      <c r="F488" s="2"/>
      <c r="I488" s="2"/>
      <c r="J488" s="2"/>
    </row>
    <row r="489">
      <c r="A489" s="97"/>
      <c r="E489" s="2"/>
      <c r="F489" s="2"/>
      <c r="I489" s="2"/>
      <c r="J489" s="2"/>
    </row>
    <row r="490">
      <c r="A490" s="97"/>
      <c r="E490" s="2"/>
      <c r="F490" s="2"/>
      <c r="I490" s="2"/>
      <c r="J490" s="2"/>
    </row>
    <row r="491">
      <c r="A491" s="97"/>
      <c r="E491" s="2"/>
      <c r="F491" s="2"/>
      <c r="I491" s="2"/>
      <c r="J491" s="2"/>
    </row>
    <row r="492">
      <c r="A492" s="97"/>
      <c r="E492" s="2"/>
      <c r="F492" s="2"/>
      <c r="I492" s="2"/>
      <c r="J492" s="2"/>
    </row>
    <row r="493">
      <c r="A493" s="97"/>
      <c r="E493" s="2"/>
      <c r="F493" s="2"/>
      <c r="I493" s="2"/>
      <c r="J493" s="2"/>
    </row>
    <row r="494">
      <c r="A494" s="97"/>
      <c r="E494" s="2"/>
      <c r="F494" s="2"/>
      <c r="I494" s="2"/>
      <c r="J494" s="2"/>
    </row>
    <row r="495">
      <c r="A495" s="97"/>
      <c r="E495" s="2"/>
      <c r="F495" s="2"/>
      <c r="I495" s="2"/>
      <c r="J495" s="2"/>
    </row>
    <row r="496">
      <c r="A496" s="97"/>
      <c r="E496" s="2"/>
      <c r="F496" s="2"/>
      <c r="I496" s="2"/>
      <c r="J496" s="2"/>
    </row>
    <row r="497">
      <c r="A497" s="97"/>
      <c r="E497" s="2"/>
      <c r="F497" s="2"/>
      <c r="I497" s="2"/>
      <c r="J497" s="2"/>
    </row>
    <row r="498">
      <c r="A498" s="97"/>
      <c r="E498" s="2"/>
      <c r="F498" s="2"/>
      <c r="I498" s="2"/>
      <c r="J498" s="2"/>
    </row>
    <row r="499">
      <c r="A499" s="97"/>
      <c r="E499" s="2"/>
      <c r="F499" s="2"/>
      <c r="I499" s="2"/>
      <c r="J499" s="2"/>
    </row>
    <row r="500">
      <c r="A500" s="97"/>
      <c r="E500" s="2"/>
      <c r="F500" s="2"/>
      <c r="I500" s="2"/>
      <c r="J500" s="2"/>
    </row>
    <row r="501">
      <c r="A501" s="97"/>
      <c r="E501" s="2"/>
      <c r="F501" s="2"/>
      <c r="I501" s="2"/>
      <c r="J501" s="2"/>
    </row>
    <row r="502">
      <c r="A502" s="97"/>
      <c r="E502" s="2"/>
      <c r="F502" s="2"/>
      <c r="I502" s="2"/>
      <c r="J502" s="2"/>
    </row>
    <row r="503">
      <c r="A503" s="97"/>
      <c r="E503" s="2"/>
      <c r="F503" s="2"/>
      <c r="I503" s="2"/>
      <c r="J503" s="2"/>
    </row>
    <row r="504">
      <c r="A504" s="97"/>
      <c r="E504" s="2"/>
      <c r="F504" s="2"/>
      <c r="I504" s="2"/>
      <c r="J504" s="2"/>
    </row>
    <row r="505">
      <c r="A505" s="97"/>
      <c r="E505" s="2"/>
      <c r="F505" s="2"/>
      <c r="I505" s="2"/>
      <c r="J505" s="2"/>
    </row>
    <row r="506">
      <c r="A506" s="97"/>
      <c r="E506" s="2"/>
      <c r="F506" s="2"/>
      <c r="I506" s="2"/>
      <c r="J506" s="2"/>
    </row>
    <row r="507">
      <c r="A507" s="97"/>
      <c r="E507" s="2"/>
      <c r="F507" s="2"/>
      <c r="I507" s="2"/>
      <c r="J507" s="2"/>
    </row>
    <row r="508">
      <c r="A508" s="97"/>
      <c r="E508" s="2"/>
      <c r="F508" s="2"/>
      <c r="I508" s="2"/>
      <c r="J508" s="2"/>
    </row>
    <row r="509">
      <c r="A509" s="97"/>
      <c r="E509" s="2"/>
      <c r="F509" s="2"/>
      <c r="I509" s="2"/>
      <c r="J509" s="2"/>
    </row>
    <row r="510">
      <c r="A510" s="97"/>
      <c r="E510" s="2"/>
      <c r="F510" s="2"/>
      <c r="I510" s="2"/>
      <c r="J510" s="2"/>
    </row>
    <row r="511">
      <c r="A511" s="97"/>
      <c r="E511" s="2"/>
      <c r="F511" s="2"/>
      <c r="I511" s="2"/>
      <c r="J511" s="2"/>
    </row>
    <row r="512">
      <c r="A512" s="97"/>
      <c r="E512" s="2"/>
      <c r="F512" s="2"/>
      <c r="I512" s="2"/>
      <c r="J512" s="2"/>
    </row>
    <row r="513">
      <c r="A513" s="97"/>
      <c r="E513" s="2"/>
      <c r="F513" s="2"/>
      <c r="I513" s="2"/>
      <c r="J513" s="2"/>
    </row>
    <row r="514">
      <c r="A514" s="97"/>
      <c r="E514" s="2"/>
      <c r="F514" s="2"/>
      <c r="I514" s="2"/>
      <c r="J514" s="2"/>
    </row>
    <row r="515">
      <c r="A515" s="97"/>
      <c r="E515" s="2"/>
      <c r="F515" s="2"/>
      <c r="I515" s="2"/>
      <c r="J515" s="2"/>
    </row>
    <row r="516">
      <c r="A516" s="97"/>
      <c r="E516" s="2"/>
      <c r="F516" s="2"/>
      <c r="I516" s="2"/>
      <c r="J516" s="2"/>
    </row>
    <row r="517">
      <c r="A517" s="97"/>
      <c r="E517" s="2"/>
      <c r="F517" s="2"/>
      <c r="I517" s="2"/>
      <c r="J517" s="2"/>
    </row>
    <row r="518">
      <c r="A518" s="97"/>
      <c r="E518" s="2"/>
      <c r="F518" s="2"/>
      <c r="I518" s="2"/>
      <c r="J518" s="2"/>
    </row>
    <row r="519">
      <c r="A519" s="97"/>
      <c r="E519" s="2"/>
      <c r="F519" s="2"/>
      <c r="I519" s="2"/>
      <c r="J519" s="2"/>
    </row>
    <row r="520">
      <c r="A520" s="97"/>
      <c r="E520" s="2"/>
      <c r="F520" s="2"/>
      <c r="I520" s="2"/>
      <c r="J520" s="2"/>
    </row>
    <row r="521">
      <c r="A521" s="97"/>
      <c r="E521" s="2"/>
      <c r="F521" s="2"/>
      <c r="I521" s="2"/>
      <c r="J521" s="2"/>
    </row>
    <row r="522">
      <c r="A522" s="97"/>
      <c r="E522" s="2"/>
      <c r="F522" s="2"/>
      <c r="I522" s="2"/>
      <c r="J522" s="2"/>
    </row>
    <row r="523">
      <c r="A523" s="97"/>
      <c r="E523" s="2"/>
      <c r="F523" s="2"/>
      <c r="I523" s="2"/>
      <c r="J523" s="2"/>
    </row>
    <row r="524">
      <c r="A524" s="97"/>
      <c r="E524" s="2"/>
      <c r="F524" s="2"/>
      <c r="I524" s="2"/>
      <c r="J524" s="2"/>
    </row>
    <row r="525">
      <c r="A525" s="97"/>
      <c r="E525" s="2"/>
      <c r="F525" s="2"/>
      <c r="I525" s="2"/>
      <c r="J525" s="2"/>
    </row>
    <row r="526">
      <c r="A526" s="97"/>
      <c r="E526" s="2"/>
      <c r="F526" s="2"/>
      <c r="I526" s="2"/>
      <c r="J526" s="2"/>
    </row>
    <row r="527">
      <c r="A527" s="97"/>
      <c r="E527" s="2"/>
      <c r="F527" s="2"/>
      <c r="I527" s="2"/>
      <c r="J527" s="2"/>
    </row>
    <row r="528">
      <c r="A528" s="97"/>
      <c r="E528" s="2"/>
      <c r="F528" s="2"/>
      <c r="I528" s="2"/>
      <c r="J528" s="2"/>
    </row>
    <row r="529">
      <c r="A529" s="97"/>
      <c r="E529" s="2"/>
      <c r="F529" s="2"/>
      <c r="I529" s="2"/>
      <c r="J529" s="2"/>
    </row>
    <row r="530">
      <c r="A530" s="97"/>
      <c r="E530" s="2"/>
      <c r="F530" s="2"/>
      <c r="I530" s="2"/>
      <c r="J530" s="2"/>
    </row>
    <row r="531">
      <c r="A531" s="97"/>
      <c r="E531" s="2"/>
      <c r="F531" s="2"/>
      <c r="I531" s="2"/>
      <c r="J531" s="2"/>
    </row>
    <row r="532">
      <c r="A532" s="97"/>
      <c r="E532" s="2"/>
      <c r="F532" s="2"/>
      <c r="I532" s="2"/>
      <c r="J532" s="2"/>
    </row>
    <row r="533">
      <c r="A533" s="97"/>
      <c r="E533" s="2"/>
      <c r="F533" s="2"/>
      <c r="I533" s="2"/>
      <c r="J533" s="2"/>
    </row>
    <row r="534">
      <c r="A534" s="97"/>
      <c r="E534" s="2"/>
      <c r="F534" s="2"/>
      <c r="I534" s="2"/>
      <c r="J534" s="2"/>
    </row>
    <row r="535">
      <c r="A535" s="97"/>
      <c r="E535" s="2"/>
      <c r="F535" s="2"/>
      <c r="I535" s="2"/>
      <c r="J535" s="2"/>
    </row>
    <row r="536">
      <c r="A536" s="97"/>
      <c r="E536" s="2"/>
      <c r="F536" s="2"/>
      <c r="I536" s="2"/>
      <c r="J536" s="2"/>
    </row>
    <row r="537">
      <c r="A537" s="97"/>
      <c r="E537" s="2"/>
      <c r="F537" s="2"/>
      <c r="I537" s="2"/>
      <c r="J537" s="2"/>
    </row>
    <row r="538">
      <c r="A538" s="97"/>
      <c r="E538" s="2"/>
      <c r="F538" s="2"/>
      <c r="I538" s="2"/>
      <c r="J538" s="2"/>
    </row>
    <row r="539">
      <c r="A539" s="97"/>
      <c r="E539" s="2"/>
      <c r="F539" s="2"/>
      <c r="I539" s="2"/>
      <c r="J539" s="2"/>
    </row>
    <row r="540">
      <c r="A540" s="97"/>
      <c r="E540" s="2"/>
      <c r="F540" s="2"/>
      <c r="I540" s="2"/>
      <c r="J540" s="2"/>
    </row>
    <row r="541">
      <c r="A541" s="97"/>
      <c r="E541" s="2"/>
      <c r="F541" s="2"/>
      <c r="I541" s="2"/>
      <c r="J541" s="2"/>
    </row>
    <row r="542">
      <c r="A542" s="97"/>
      <c r="E542" s="2"/>
      <c r="F542" s="2"/>
      <c r="I542" s="2"/>
      <c r="J542" s="2"/>
    </row>
    <row r="543">
      <c r="A543" s="97"/>
      <c r="E543" s="2"/>
      <c r="F543" s="2"/>
      <c r="I543" s="2"/>
      <c r="J543" s="2"/>
    </row>
    <row r="544">
      <c r="A544" s="97"/>
      <c r="E544" s="2"/>
      <c r="F544" s="2"/>
      <c r="I544" s="2"/>
      <c r="J544" s="2"/>
    </row>
    <row r="545">
      <c r="A545" s="97"/>
      <c r="E545" s="2"/>
      <c r="F545" s="2"/>
      <c r="I545" s="2"/>
      <c r="J545" s="2"/>
    </row>
    <row r="546">
      <c r="A546" s="97"/>
      <c r="E546" s="2"/>
      <c r="F546" s="2"/>
      <c r="I546" s="2"/>
      <c r="J546" s="2"/>
    </row>
    <row r="547">
      <c r="A547" s="97"/>
      <c r="E547" s="2"/>
      <c r="F547" s="2"/>
      <c r="I547" s="2"/>
      <c r="J547" s="2"/>
    </row>
    <row r="548">
      <c r="A548" s="97"/>
      <c r="E548" s="2"/>
      <c r="F548" s="2"/>
      <c r="I548" s="2"/>
      <c r="J548" s="2"/>
    </row>
    <row r="549">
      <c r="A549" s="97"/>
      <c r="E549" s="2"/>
      <c r="F549" s="2"/>
      <c r="I549" s="2"/>
      <c r="J549" s="2"/>
    </row>
    <row r="550">
      <c r="A550" s="97"/>
      <c r="E550" s="2"/>
      <c r="F550" s="2"/>
      <c r="I550" s="2"/>
      <c r="J550" s="2"/>
    </row>
    <row r="551">
      <c r="A551" s="97"/>
      <c r="E551" s="2"/>
      <c r="F551" s="2"/>
      <c r="I551" s="2"/>
      <c r="J551" s="2"/>
    </row>
    <row r="552">
      <c r="A552" s="97"/>
      <c r="E552" s="2"/>
      <c r="F552" s="2"/>
      <c r="I552" s="2"/>
      <c r="J552" s="2"/>
    </row>
    <row r="553">
      <c r="A553" s="97"/>
      <c r="E553" s="2"/>
      <c r="F553" s="2"/>
      <c r="I553" s="2"/>
      <c r="J553" s="2"/>
    </row>
    <row r="554">
      <c r="A554" s="97"/>
      <c r="E554" s="2"/>
      <c r="F554" s="2"/>
      <c r="I554" s="2"/>
      <c r="J554" s="2"/>
    </row>
    <row r="555">
      <c r="A555" s="97"/>
      <c r="E555" s="2"/>
      <c r="F555" s="2"/>
      <c r="I555" s="2"/>
      <c r="J555" s="2"/>
    </row>
    <row r="556">
      <c r="A556" s="97"/>
      <c r="E556" s="2"/>
      <c r="F556" s="2"/>
      <c r="I556" s="2"/>
      <c r="J556" s="2"/>
    </row>
    <row r="557">
      <c r="A557" s="97"/>
      <c r="E557" s="2"/>
      <c r="F557" s="2"/>
      <c r="I557" s="2"/>
      <c r="J557" s="2"/>
    </row>
    <row r="558">
      <c r="A558" s="97"/>
      <c r="E558" s="2"/>
      <c r="F558" s="2"/>
      <c r="I558" s="2"/>
      <c r="J558" s="2"/>
    </row>
    <row r="559">
      <c r="A559" s="97"/>
      <c r="E559" s="2"/>
      <c r="F559" s="2"/>
      <c r="I559" s="2"/>
      <c r="J559" s="2"/>
    </row>
    <row r="560">
      <c r="A560" s="97"/>
      <c r="E560" s="2"/>
      <c r="F560" s="2"/>
      <c r="I560" s="2"/>
      <c r="J560" s="2"/>
    </row>
    <row r="561">
      <c r="A561" s="97"/>
      <c r="E561" s="2"/>
      <c r="F561" s="2"/>
      <c r="I561" s="2"/>
      <c r="J561" s="2"/>
    </row>
    <row r="562">
      <c r="A562" s="97"/>
      <c r="E562" s="2"/>
      <c r="F562" s="2"/>
      <c r="I562" s="2"/>
      <c r="J562" s="2"/>
    </row>
    <row r="563">
      <c r="A563" s="97"/>
      <c r="E563" s="2"/>
      <c r="F563" s="2"/>
      <c r="I563" s="2"/>
      <c r="J563" s="2"/>
    </row>
    <row r="564">
      <c r="A564" s="97"/>
      <c r="E564" s="2"/>
      <c r="F564" s="2"/>
      <c r="I564" s="2"/>
      <c r="J564" s="2"/>
    </row>
    <row r="565">
      <c r="A565" s="97"/>
      <c r="E565" s="2"/>
      <c r="F565" s="2"/>
      <c r="I565" s="2"/>
      <c r="J565" s="2"/>
    </row>
    <row r="566">
      <c r="A566" s="97"/>
      <c r="E566" s="2"/>
      <c r="F566" s="2"/>
      <c r="I566" s="2"/>
      <c r="J566" s="2"/>
    </row>
    <row r="567">
      <c r="A567" s="97"/>
      <c r="E567" s="2"/>
      <c r="F567" s="2"/>
      <c r="I567" s="2"/>
      <c r="J567" s="2"/>
    </row>
    <row r="568">
      <c r="A568" s="97"/>
      <c r="E568" s="2"/>
      <c r="F568" s="2"/>
      <c r="I568" s="2"/>
      <c r="J568" s="2"/>
    </row>
    <row r="569">
      <c r="A569" s="97"/>
      <c r="E569" s="2"/>
      <c r="F569" s="2"/>
      <c r="I569" s="2"/>
      <c r="J569" s="2"/>
    </row>
    <row r="570">
      <c r="A570" s="97"/>
      <c r="E570" s="2"/>
      <c r="F570" s="2"/>
      <c r="I570" s="2"/>
      <c r="J570" s="2"/>
    </row>
    <row r="571">
      <c r="A571" s="97"/>
      <c r="E571" s="2"/>
      <c r="F571" s="2"/>
      <c r="I571" s="2"/>
      <c r="J571" s="2"/>
    </row>
    <row r="572">
      <c r="A572" s="97"/>
      <c r="E572" s="2"/>
      <c r="F572" s="2"/>
      <c r="I572" s="2"/>
      <c r="J572" s="2"/>
    </row>
    <row r="573">
      <c r="A573" s="97"/>
      <c r="E573" s="2"/>
      <c r="F573" s="2"/>
      <c r="I573" s="2"/>
      <c r="J573" s="2"/>
    </row>
    <row r="574">
      <c r="A574" s="97"/>
      <c r="E574" s="2"/>
      <c r="F574" s="2"/>
      <c r="I574" s="2"/>
      <c r="J574" s="2"/>
    </row>
    <row r="575">
      <c r="A575" s="97"/>
      <c r="E575" s="2"/>
      <c r="F575" s="2"/>
      <c r="I575" s="2"/>
      <c r="J575" s="2"/>
    </row>
    <row r="576">
      <c r="A576" s="97"/>
      <c r="E576" s="2"/>
      <c r="F576" s="2"/>
      <c r="I576" s="2"/>
      <c r="J576" s="2"/>
    </row>
    <row r="577">
      <c r="A577" s="97"/>
      <c r="E577" s="2"/>
      <c r="F577" s="2"/>
      <c r="I577" s="2"/>
      <c r="J577" s="2"/>
    </row>
    <row r="578">
      <c r="A578" s="97"/>
      <c r="E578" s="2"/>
      <c r="F578" s="2"/>
      <c r="I578" s="2"/>
      <c r="J578" s="2"/>
    </row>
    <row r="579">
      <c r="A579" s="97"/>
      <c r="E579" s="2"/>
      <c r="F579" s="2"/>
      <c r="I579" s="2"/>
      <c r="J579" s="2"/>
    </row>
    <row r="580">
      <c r="A580" s="97"/>
      <c r="E580" s="2"/>
      <c r="F580" s="2"/>
      <c r="I580" s="2"/>
      <c r="J580" s="2"/>
    </row>
    <row r="581">
      <c r="A581" s="97"/>
      <c r="E581" s="2"/>
      <c r="F581" s="2"/>
      <c r="I581" s="2"/>
      <c r="J581" s="2"/>
    </row>
    <row r="582">
      <c r="A582" s="97"/>
      <c r="E582" s="2"/>
      <c r="F582" s="2"/>
      <c r="I582" s="2"/>
      <c r="J582" s="2"/>
    </row>
    <row r="583">
      <c r="A583" s="97"/>
      <c r="E583" s="2"/>
      <c r="F583" s="2"/>
      <c r="I583" s="2"/>
      <c r="J583" s="2"/>
    </row>
    <row r="584">
      <c r="A584" s="97"/>
      <c r="E584" s="2"/>
      <c r="F584" s="2"/>
      <c r="I584" s="2"/>
      <c r="J584" s="2"/>
    </row>
    <row r="585">
      <c r="A585" s="97"/>
      <c r="E585" s="2"/>
      <c r="F585" s="2"/>
      <c r="I585" s="2"/>
      <c r="J585" s="2"/>
    </row>
    <row r="586">
      <c r="A586" s="97"/>
      <c r="E586" s="2"/>
      <c r="F586" s="2"/>
      <c r="I586" s="2"/>
      <c r="J586" s="2"/>
    </row>
    <row r="587">
      <c r="A587" s="97"/>
      <c r="E587" s="2"/>
      <c r="F587" s="2"/>
      <c r="I587" s="2"/>
      <c r="J587" s="2"/>
    </row>
    <row r="588">
      <c r="A588" s="97"/>
      <c r="E588" s="2"/>
      <c r="F588" s="2"/>
      <c r="I588" s="2"/>
      <c r="J588" s="2"/>
    </row>
    <row r="589">
      <c r="A589" s="97"/>
      <c r="E589" s="2"/>
      <c r="F589" s="2"/>
      <c r="I589" s="2"/>
      <c r="J589" s="2"/>
    </row>
    <row r="590">
      <c r="A590" s="97"/>
      <c r="E590" s="2"/>
      <c r="F590" s="2"/>
      <c r="I590" s="2"/>
      <c r="J590" s="2"/>
    </row>
    <row r="591">
      <c r="A591" s="97"/>
      <c r="E591" s="2"/>
      <c r="F591" s="2"/>
      <c r="I591" s="2"/>
      <c r="J591" s="2"/>
    </row>
    <row r="592">
      <c r="A592" s="97"/>
      <c r="E592" s="2"/>
      <c r="F592" s="2"/>
      <c r="I592" s="2"/>
      <c r="J592" s="2"/>
    </row>
    <row r="593">
      <c r="A593" s="97"/>
      <c r="E593" s="2"/>
      <c r="F593" s="2"/>
      <c r="I593" s="2"/>
      <c r="J593" s="2"/>
    </row>
    <row r="594">
      <c r="A594" s="97"/>
      <c r="E594" s="2"/>
      <c r="F594" s="2"/>
      <c r="I594" s="2"/>
      <c r="J594" s="2"/>
    </row>
    <row r="595">
      <c r="A595" s="97"/>
      <c r="E595" s="2"/>
      <c r="F595" s="2"/>
      <c r="I595" s="2"/>
      <c r="J595" s="2"/>
    </row>
    <row r="596">
      <c r="A596" s="97"/>
      <c r="E596" s="2"/>
      <c r="F596" s="2"/>
      <c r="I596" s="2"/>
      <c r="J596" s="2"/>
    </row>
    <row r="597">
      <c r="A597" s="97"/>
      <c r="E597" s="2"/>
      <c r="F597" s="2"/>
      <c r="I597" s="2"/>
      <c r="J597" s="2"/>
    </row>
    <row r="598">
      <c r="A598" s="97"/>
      <c r="E598" s="2"/>
      <c r="F598" s="2"/>
      <c r="I598" s="2"/>
      <c r="J598" s="2"/>
    </row>
    <row r="599">
      <c r="A599" s="97"/>
      <c r="E599" s="2"/>
      <c r="F599" s="2"/>
      <c r="I599" s="2"/>
      <c r="J599" s="2"/>
    </row>
    <row r="600">
      <c r="A600" s="97"/>
      <c r="E600" s="2"/>
      <c r="F600" s="2"/>
      <c r="I600" s="2"/>
      <c r="J600" s="2"/>
    </row>
    <row r="601">
      <c r="A601" s="97"/>
      <c r="E601" s="2"/>
      <c r="F601" s="2"/>
      <c r="I601" s="2"/>
      <c r="J601" s="2"/>
    </row>
    <row r="602">
      <c r="A602" s="97"/>
      <c r="E602" s="2"/>
      <c r="F602" s="2"/>
      <c r="I602" s="2"/>
      <c r="J602" s="2"/>
    </row>
    <row r="603">
      <c r="A603" s="97"/>
      <c r="E603" s="2"/>
      <c r="F603" s="2"/>
      <c r="I603" s="2"/>
      <c r="J603" s="2"/>
    </row>
    <row r="604">
      <c r="A604" s="97"/>
      <c r="E604" s="2"/>
      <c r="F604" s="2"/>
      <c r="I604" s="2"/>
      <c r="J604" s="2"/>
    </row>
    <row r="605">
      <c r="A605" s="97"/>
      <c r="E605" s="2"/>
      <c r="F605" s="2"/>
      <c r="I605" s="2"/>
      <c r="J605" s="2"/>
    </row>
    <row r="606">
      <c r="A606" s="97"/>
      <c r="E606" s="2"/>
      <c r="F606" s="2"/>
      <c r="I606" s="2"/>
      <c r="J606" s="2"/>
    </row>
    <row r="607">
      <c r="A607" s="97"/>
      <c r="E607" s="2"/>
      <c r="F607" s="2"/>
      <c r="I607" s="2"/>
      <c r="J607" s="2"/>
    </row>
    <row r="608">
      <c r="A608" s="97"/>
      <c r="E608" s="2"/>
      <c r="F608" s="2"/>
      <c r="I608" s="2"/>
      <c r="J608" s="2"/>
    </row>
    <row r="609">
      <c r="A609" s="97"/>
      <c r="E609" s="2"/>
      <c r="F609" s="2"/>
      <c r="I609" s="2"/>
      <c r="J609" s="2"/>
    </row>
    <row r="610">
      <c r="A610" s="97"/>
      <c r="E610" s="2"/>
      <c r="F610" s="2"/>
      <c r="I610" s="2"/>
      <c r="J610" s="2"/>
    </row>
    <row r="611">
      <c r="A611" s="97"/>
      <c r="E611" s="2"/>
      <c r="F611" s="2"/>
      <c r="I611" s="2"/>
      <c r="J611" s="2"/>
    </row>
    <row r="612">
      <c r="A612" s="97"/>
      <c r="E612" s="2"/>
      <c r="F612" s="2"/>
      <c r="I612" s="2"/>
      <c r="J612" s="2"/>
    </row>
    <row r="613">
      <c r="A613" s="97"/>
      <c r="E613" s="2"/>
      <c r="F613" s="2"/>
      <c r="I613" s="2"/>
      <c r="J613" s="2"/>
    </row>
    <row r="614">
      <c r="A614" s="97"/>
      <c r="E614" s="2"/>
      <c r="F614" s="2"/>
      <c r="I614" s="2"/>
      <c r="J614" s="2"/>
    </row>
    <row r="615">
      <c r="A615" s="97"/>
      <c r="E615" s="2"/>
      <c r="F615" s="2"/>
      <c r="I615" s="2"/>
      <c r="J615" s="2"/>
    </row>
    <row r="616">
      <c r="A616" s="97"/>
      <c r="E616" s="2"/>
      <c r="F616" s="2"/>
      <c r="I616" s="2"/>
      <c r="J616" s="2"/>
    </row>
    <row r="617">
      <c r="A617" s="97"/>
      <c r="E617" s="2"/>
      <c r="F617" s="2"/>
      <c r="I617" s="2"/>
      <c r="J617" s="2"/>
    </row>
    <row r="618">
      <c r="A618" s="97"/>
      <c r="E618" s="2"/>
      <c r="F618" s="2"/>
      <c r="I618" s="2"/>
      <c r="J618" s="2"/>
    </row>
    <row r="619">
      <c r="A619" s="97"/>
      <c r="E619" s="2"/>
      <c r="F619" s="2"/>
      <c r="I619" s="2"/>
      <c r="J619" s="2"/>
    </row>
    <row r="620">
      <c r="A620" s="97"/>
      <c r="E620" s="2"/>
      <c r="F620" s="2"/>
      <c r="I620" s="2"/>
      <c r="J620" s="2"/>
    </row>
    <row r="621">
      <c r="A621" s="97"/>
      <c r="E621" s="2"/>
      <c r="F621" s="2"/>
      <c r="I621" s="2"/>
      <c r="J621" s="2"/>
    </row>
    <row r="622">
      <c r="A622" s="97"/>
      <c r="E622" s="2"/>
      <c r="F622" s="2"/>
      <c r="I622" s="2"/>
      <c r="J622" s="2"/>
    </row>
    <row r="623">
      <c r="A623" s="97"/>
      <c r="E623" s="2"/>
      <c r="F623" s="2"/>
      <c r="I623" s="2"/>
      <c r="J623" s="2"/>
    </row>
    <row r="624">
      <c r="A624" s="97"/>
      <c r="E624" s="2"/>
      <c r="F624" s="2"/>
      <c r="I624" s="2"/>
      <c r="J624" s="2"/>
    </row>
    <row r="625">
      <c r="A625" s="97"/>
      <c r="E625" s="2"/>
      <c r="F625" s="2"/>
      <c r="I625" s="2"/>
      <c r="J625" s="2"/>
    </row>
    <row r="626">
      <c r="A626" s="97"/>
      <c r="E626" s="2"/>
      <c r="F626" s="2"/>
      <c r="I626" s="2"/>
      <c r="J626" s="2"/>
    </row>
    <row r="627">
      <c r="A627" s="97"/>
      <c r="E627" s="2"/>
      <c r="F627" s="2"/>
      <c r="I627" s="2"/>
      <c r="J627" s="2"/>
    </row>
    <row r="628">
      <c r="A628" s="97"/>
      <c r="E628" s="2"/>
      <c r="F628" s="2"/>
      <c r="I628" s="2"/>
      <c r="J628" s="2"/>
    </row>
    <row r="629">
      <c r="A629" s="97"/>
      <c r="E629" s="2"/>
      <c r="F629" s="2"/>
      <c r="I629" s="2"/>
      <c r="J629" s="2"/>
    </row>
    <row r="630">
      <c r="A630" s="97"/>
      <c r="E630" s="2"/>
      <c r="F630" s="2"/>
      <c r="I630" s="2"/>
      <c r="J630" s="2"/>
    </row>
    <row r="631">
      <c r="A631" s="97"/>
      <c r="E631" s="2"/>
      <c r="F631" s="2"/>
      <c r="I631" s="2"/>
      <c r="J631" s="2"/>
    </row>
    <row r="632">
      <c r="A632" s="97"/>
      <c r="E632" s="2"/>
      <c r="F632" s="2"/>
      <c r="I632" s="2"/>
      <c r="J632" s="2"/>
    </row>
    <row r="633">
      <c r="A633" s="97"/>
      <c r="E633" s="2"/>
      <c r="F633" s="2"/>
      <c r="I633" s="2"/>
      <c r="J633" s="2"/>
    </row>
    <row r="634">
      <c r="A634" s="97"/>
      <c r="E634" s="2"/>
      <c r="F634" s="2"/>
      <c r="I634" s="2"/>
      <c r="J634" s="2"/>
    </row>
    <row r="635">
      <c r="A635" s="97"/>
      <c r="E635" s="2"/>
      <c r="F635" s="2"/>
      <c r="I635" s="2"/>
      <c r="J635" s="2"/>
    </row>
    <row r="636">
      <c r="A636" s="97"/>
      <c r="E636" s="2"/>
      <c r="F636" s="2"/>
      <c r="I636" s="2"/>
      <c r="J636" s="2"/>
    </row>
    <row r="637">
      <c r="A637" s="97"/>
      <c r="E637" s="2"/>
      <c r="F637" s="2"/>
      <c r="I637" s="2"/>
      <c r="J637" s="2"/>
    </row>
    <row r="638">
      <c r="A638" s="97"/>
      <c r="E638" s="2"/>
      <c r="F638" s="2"/>
      <c r="I638" s="2"/>
      <c r="J638" s="2"/>
    </row>
    <row r="639">
      <c r="A639" s="97"/>
      <c r="E639" s="2"/>
      <c r="F639" s="2"/>
      <c r="I639" s="2"/>
      <c r="J639" s="2"/>
    </row>
    <row r="640">
      <c r="A640" s="97"/>
      <c r="E640" s="2"/>
      <c r="F640" s="2"/>
      <c r="I640" s="2"/>
      <c r="J640" s="2"/>
    </row>
    <row r="641">
      <c r="A641" s="97"/>
      <c r="E641" s="2"/>
      <c r="F641" s="2"/>
      <c r="I641" s="2"/>
      <c r="J641" s="2"/>
    </row>
    <row r="642">
      <c r="A642" s="97"/>
      <c r="E642" s="2"/>
      <c r="F642" s="2"/>
      <c r="I642" s="2"/>
      <c r="J642" s="2"/>
    </row>
    <row r="643">
      <c r="A643" s="97"/>
      <c r="E643" s="2"/>
      <c r="F643" s="2"/>
      <c r="I643" s="2"/>
      <c r="J643" s="2"/>
    </row>
    <row r="644">
      <c r="A644" s="97"/>
      <c r="E644" s="2"/>
      <c r="F644" s="2"/>
      <c r="I644" s="2"/>
      <c r="J644" s="2"/>
    </row>
    <row r="645">
      <c r="A645" s="97"/>
      <c r="E645" s="2"/>
      <c r="F645" s="2"/>
      <c r="I645" s="2"/>
      <c r="J645" s="2"/>
    </row>
    <row r="646">
      <c r="A646" s="97"/>
      <c r="E646" s="2"/>
      <c r="F646" s="2"/>
      <c r="I646" s="2"/>
      <c r="J646" s="2"/>
    </row>
    <row r="647">
      <c r="A647" s="97"/>
      <c r="E647" s="2"/>
      <c r="F647" s="2"/>
      <c r="I647" s="2"/>
      <c r="J647" s="2"/>
    </row>
    <row r="648">
      <c r="A648" s="97"/>
      <c r="E648" s="2"/>
      <c r="F648" s="2"/>
      <c r="I648" s="2"/>
      <c r="J648" s="2"/>
    </row>
    <row r="649">
      <c r="A649" s="97"/>
      <c r="E649" s="2"/>
      <c r="F649" s="2"/>
      <c r="I649" s="2"/>
      <c r="J649" s="2"/>
    </row>
    <row r="650">
      <c r="A650" s="97"/>
      <c r="E650" s="2"/>
      <c r="F650" s="2"/>
      <c r="I650" s="2"/>
      <c r="J650" s="2"/>
    </row>
    <row r="651">
      <c r="A651" s="97"/>
      <c r="E651" s="2"/>
      <c r="F651" s="2"/>
      <c r="I651" s="2"/>
      <c r="J651" s="2"/>
    </row>
    <row r="652">
      <c r="A652" s="97"/>
      <c r="E652" s="2"/>
      <c r="F652" s="2"/>
      <c r="I652" s="2"/>
      <c r="J652" s="2"/>
    </row>
    <row r="653">
      <c r="A653" s="97"/>
      <c r="E653" s="2"/>
      <c r="F653" s="2"/>
      <c r="I653" s="2"/>
      <c r="J653" s="2"/>
    </row>
    <row r="654">
      <c r="A654" s="97"/>
      <c r="E654" s="2"/>
      <c r="F654" s="2"/>
      <c r="I654" s="2"/>
      <c r="J654" s="2"/>
    </row>
    <row r="655">
      <c r="A655" s="97"/>
      <c r="E655" s="2"/>
      <c r="F655" s="2"/>
      <c r="I655" s="2"/>
      <c r="J655" s="2"/>
    </row>
    <row r="656">
      <c r="A656" s="97"/>
      <c r="E656" s="2"/>
      <c r="F656" s="2"/>
      <c r="I656" s="2"/>
      <c r="J656" s="2"/>
    </row>
    <row r="657">
      <c r="A657" s="97"/>
      <c r="E657" s="2"/>
      <c r="F657" s="2"/>
      <c r="I657" s="2"/>
      <c r="J657" s="2"/>
    </row>
    <row r="658">
      <c r="A658" s="97"/>
      <c r="E658" s="2"/>
      <c r="F658" s="2"/>
      <c r="I658" s="2"/>
      <c r="J658" s="2"/>
    </row>
    <row r="659">
      <c r="A659" s="97"/>
      <c r="E659" s="2"/>
      <c r="F659" s="2"/>
      <c r="I659" s="2"/>
      <c r="J659" s="2"/>
    </row>
    <row r="660">
      <c r="A660" s="97"/>
      <c r="E660" s="2"/>
      <c r="F660" s="2"/>
      <c r="I660" s="2"/>
      <c r="J660" s="2"/>
    </row>
    <row r="661">
      <c r="A661" s="97"/>
      <c r="E661" s="2"/>
      <c r="F661" s="2"/>
      <c r="I661" s="2"/>
      <c r="J661" s="2"/>
    </row>
    <row r="662">
      <c r="A662" s="97"/>
      <c r="E662" s="2"/>
      <c r="F662" s="2"/>
      <c r="I662" s="2"/>
      <c r="J662" s="2"/>
    </row>
    <row r="663">
      <c r="A663" s="97"/>
      <c r="E663" s="2"/>
      <c r="F663" s="2"/>
      <c r="I663" s="2"/>
      <c r="J663" s="2"/>
    </row>
    <row r="664">
      <c r="A664" s="97"/>
      <c r="E664" s="2"/>
      <c r="F664" s="2"/>
      <c r="I664" s="2"/>
      <c r="J664" s="2"/>
    </row>
    <row r="665">
      <c r="A665" s="97"/>
      <c r="E665" s="2"/>
      <c r="F665" s="2"/>
      <c r="I665" s="2"/>
      <c r="J665" s="2"/>
    </row>
    <row r="666">
      <c r="A666" s="97"/>
      <c r="E666" s="2"/>
      <c r="F666" s="2"/>
      <c r="I666" s="2"/>
      <c r="J666" s="2"/>
    </row>
    <row r="667">
      <c r="A667" s="97"/>
      <c r="E667" s="2"/>
      <c r="F667" s="2"/>
      <c r="I667" s="2"/>
      <c r="J667" s="2"/>
    </row>
    <row r="668">
      <c r="A668" s="97"/>
      <c r="E668" s="2"/>
      <c r="F668" s="2"/>
      <c r="I668" s="2"/>
      <c r="J668" s="2"/>
    </row>
    <row r="669">
      <c r="A669" s="97"/>
      <c r="E669" s="2"/>
      <c r="F669" s="2"/>
      <c r="I669" s="2"/>
      <c r="J669" s="2"/>
    </row>
    <row r="670">
      <c r="A670" s="97"/>
      <c r="E670" s="2"/>
      <c r="F670" s="2"/>
      <c r="I670" s="2"/>
      <c r="J670" s="2"/>
    </row>
    <row r="671">
      <c r="A671" s="97"/>
      <c r="E671" s="2"/>
      <c r="F671" s="2"/>
      <c r="I671" s="2"/>
      <c r="J671" s="2"/>
    </row>
    <row r="672">
      <c r="A672" s="97"/>
      <c r="E672" s="2"/>
      <c r="F672" s="2"/>
      <c r="I672" s="2"/>
      <c r="J672" s="2"/>
    </row>
    <row r="673">
      <c r="A673" s="97"/>
      <c r="E673" s="2"/>
      <c r="F673" s="2"/>
      <c r="I673" s="2"/>
      <c r="J673" s="2"/>
    </row>
    <row r="674">
      <c r="A674" s="97"/>
      <c r="E674" s="2"/>
      <c r="F674" s="2"/>
      <c r="I674" s="2"/>
      <c r="J674" s="2"/>
    </row>
    <row r="675">
      <c r="A675" s="97"/>
      <c r="E675" s="2"/>
      <c r="F675" s="2"/>
      <c r="I675" s="2"/>
      <c r="J675" s="2"/>
    </row>
    <row r="676">
      <c r="A676" s="97"/>
      <c r="E676" s="2"/>
      <c r="F676" s="2"/>
      <c r="I676" s="2"/>
      <c r="J676" s="2"/>
    </row>
    <row r="677">
      <c r="A677" s="97"/>
      <c r="E677" s="2"/>
      <c r="F677" s="2"/>
      <c r="I677" s="2"/>
      <c r="J677" s="2"/>
    </row>
    <row r="678">
      <c r="A678" s="97"/>
      <c r="E678" s="2"/>
      <c r="F678" s="2"/>
      <c r="I678" s="2"/>
      <c r="J678" s="2"/>
    </row>
    <row r="679">
      <c r="A679" s="97"/>
      <c r="E679" s="2"/>
      <c r="F679" s="2"/>
      <c r="I679" s="2"/>
      <c r="J679" s="2"/>
    </row>
    <row r="680">
      <c r="A680" s="97"/>
      <c r="E680" s="2"/>
      <c r="F680" s="2"/>
      <c r="I680" s="2"/>
      <c r="J680" s="2"/>
    </row>
    <row r="681">
      <c r="A681" s="97"/>
      <c r="E681" s="2"/>
      <c r="F681" s="2"/>
      <c r="I681" s="2"/>
      <c r="J681" s="2"/>
    </row>
    <row r="682">
      <c r="A682" s="97"/>
      <c r="E682" s="2"/>
      <c r="F682" s="2"/>
      <c r="I682" s="2"/>
      <c r="J682" s="2"/>
    </row>
    <row r="683">
      <c r="A683" s="97"/>
      <c r="E683" s="2"/>
      <c r="F683" s="2"/>
      <c r="I683" s="2"/>
      <c r="J683" s="2"/>
    </row>
    <row r="684">
      <c r="A684" s="97"/>
      <c r="E684" s="2"/>
      <c r="F684" s="2"/>
      <c r="I684" s="2"/>
      <c r="J684" s="2"/>
    </row>
    <row r="685">
      <c r="A685" s="97"/>
      <c r="E685" s="2"/>
      <c r="F685" s="2"/>
      <c r="I685" s="2"/>
      <c r="J685" s="2"/>
    </row>
    <row r="686">
      <c r="A686" s="97"/>
      <c r="E686" s="2"/>
      <c r="F686" s="2"/>
      <c r="I686" s="2"/>
      <c r="J686" s="2"/>
    </row>
    <row r="687">
      <c r="A687" s="97"/>
      <c r="E687" s="2"/>
      <c r="F687" s="2"/>
      <c r="I687" s="2"/>
      <c r="J687" s="2"/>
    </row>
    <row r="688">
      <c r="A688" s="97"/>
      <c r="E688" s="2"/>
      <c r="F688" s="2"/>
      <c r="I688" s="2"/>
      <c r="J688" s="2"/>
    </row>
    <row r="689">
      <c r="A689" s="97"/>
      <c r="E689" s="2"/>
      <c r="F689" s="2"/>
      <c r="I689" s="2"/>
      <c r="J689" s="2"/>
    </row>
    <row r="690">
      <c r="A690" s="97"/>
      <c r="E690" s="2"/>
      <c r="F690" s="2"/>
      <c r="I690" s="2"/>
      <c r="J690" s="2"/>
    </row>
    <row r="691">
      <c r="A691" s="97"/>
      <c r="E691" s="2"/>
      <c r="F691" s="2"/>
      <c r="I691" s="2"/>
      <c r="J691" s="2"/>
    </row>
    <row r="692">
      <c r="A692" s="97"/>
      <c r="E692" s="2"/>
      <c r="F692" s="2"/>
      <c r="I692" s="2"/>
      <c r="J692" s="2"/>
    </row>
    <row r="693">
      <c r="A693" s="97"/>
      <c r="E693" s="2"/>
      <c r="F693" s="2"/>
      <c r="I693" s="2"/>
      <c r="J693" s="2"/>
    </row>
    <row r="694">
      <c r="A694" s="97"/>
      <c r="E694" s="2"/>
      <c r="F694" s="2"/>
      <c r="I694" s="2"/>
      <c r="J694" s="2"/>
    </row>
    <row r="695">
      <c r="A695" s="97"/>
      <c r="E695" s="2"/>
      <c r="F695" s="2"/>
      <c r="I695" s="2"/>
      <c r="J695" s="2"/>
    </row>
    <row r="696">
      <c r="A696" s="97"/>
      <c r="E696" s="2"/>
      <c r="F696" s="2"/>
      <c r="I696" s="2"/>
      <c r="J696" s="2"/>
    </row>
    <row r="697">
      <c r="A697" s="97"/>
      <c r="E697" s="2"/>
      <c r="F697" s="2"/>
      <c r="I697" s="2"/>
      <c r="J697" s="2"/>
    </row>
    <row r="698">
      <c r="A698" s="97"/>
      <c r="E698" s="2"/>
      <c r="F698" s="2"/>
      <c r="I698" s="2"/>
      <c r="J698" s="2"/>
    </row>
    <row r="699">
      <c r="A699" s="97"/>
      <c r="E699" s="2"/>
      <c r="F699" s="2"/>
      <c r="I699" s="2"/>
      <c r="J699" s="2"/>
    </row>
    <row r="700">
      <c r="A700" s="97"/>
      <c r="E700" s="2"/>
      <c r="F700" s="2"/>
      <c r="I700" s="2"/>
      <c r="J700" s="2"/>
    </row>
    <row r="701">
      <c r="A701" s="97"/>
      <c r="E701" s="2"/>
      <c r="F701" s="2"/>
      <c r="I701" s="2"/>
      <c r="J701" s="2"/>
    </row>
    <row r="702">
      <c r="A702" s="97"/>
      <c r="E702" s="2"/>
      <c r="F702" s="2"/>
      <c r="I702" s="2"/>
      <c r="J702" s="2"/>
    </row>
    <row r="703">
      <c r="A703" s="97"/>
      <c r="E703" s="2"/>
      <c r="F703" s="2"/>
      <c r="I703" s="2"/>
      <c r="J703" s="2"/>
    </row>
    <row r="704">
      <c r="A704" s="97"/>
      <c r="E704" s="2"/>
      <c r="F704" s="2"/>
      <c r="I704" s="2"/>
      <c r="J704" s="2"/>
    </row>
    <row r="705">
      <c r="A705" s="97"/>
      <c r="E705" s="2"/>
      <c r="F705" s="2"/>
      <c r="I705" s="2"/>
      <c r="J705" s="2"/>
    </row>
    <row r="706">
      <c r="A706" s="97"/>
      <c r="E706" s="2"/>
      <c r="F706" s="2"/>
      <c r="I706" s="2"/>
      <c r="J706" s="2"/>
    </row>
    <row r="707">
      <c r="A707" s="97"/>
      <c r="E707" s="2"/>
      <c r="F707" s="2"/>
      <c r="I707" s="2"/>
      <c r="J707" s="2"/>
    </row>
    <row r="708">
      <c r="A708" s="97"/>
      <c r="E708" s="2"/>
      <c r="F708" s="2"/>
      <c r="I708" s="2"/>
      <c r="J708" s="2"/>
    </row>
    <row r="709">
      <c r="A709" s="97"/>
      <c r="E709" s="2"/>
      <c r="F709" s="2"/>
      <c r="I709" s="2"/>
      <c r="J709" s="2"/>
    </row>
    <row r="710">
      <c r="A710" s="97"/>
      <c r="E710" s="2"/>
      <c r="F710" s="2"/>
      <c r="I710" s="2"/>
      <c r="J710" s="2"/>
    </row>
    <row r="711">
      <c r="A711" s="97"/>
      <c r="E711" s="2"/>
      <c r="F711" s="2"/>
      <c r="I711" s="2"/>
      <c r="J711" s="2"/>
    </row>
    <row r="712">
      <c r="A712" s="97"/>
      <c r="E712" s="2"/>
      <c r="F712" s="2"/>
      <c r="I712" s="2"/>
      <c r="J712" s="2"/>
    </row>
    <row r="713">
      <c r="A713" s="97"/>
      <c r="E713" s="2"/>
      <c r="F713" s="2"/>
      <c r="I713" s="2"/>
      <c r="J713" s="2"/>
    </row>
    <row r="714">
      <c r="A714" s="97"/>
      <c r="E714" s="2"/>
      <c r="F714" s="2"/>
      <c r="I714" s="2"/>
      <c r="J714" s="2"/>
    </row>
    <row r="715">
      <c r="A715" s="97"/>
      <c r="E715" s="2"/>
      <c r="F715" s="2"/>
      <c r="I715" s="2"/>
      <c r="J715" s="2"/>
    </row>
    <row r="716">
      <c r="A716" s="97"/>
      <c r="E716" s="2"/>
      <c r="F716" s="2"/>
      <c r="I716" s="2"/>
      <c r="J716" s="2"/>
    </row>
    <row r="717">
      <c r="A717" s="97"/>
      <c r="E717" s="2"/>
      <c r="F717" s="2"/>
      <c r="I717" s="2"/>
      <c r="J717" s="2"/>
    </row>
    <row r="718">
      <c r="A718" s="97"/>
      <c r="E718" s="2"/>
      <c r="F718" s="2"/>
      <c r="I718" s="2"/>
      <c r="J718" s="2"/>
    </row>
    <row r="719">
      <c r="A719" s="97"/>
      <c r="E719" s="2"/>
      <c r="F719" s="2"/>
      <c r="I719" s="2"/>
      <c r="J719" s="2"/>
    </row>
    <row r="720">
      <c r="A720" s="97"/>
      <c r="E720" s="2"/>
      <c r="F720" s="2"/>
      <c r="I720" s="2"/>
      <c r="J720" s="2"/>
    </row>
    <row r="721">
      <c r="A721" s="97"/>
      <c r="E721" s="2"/>
      <c r="F721" s="2"/>
      <c r="I721" s="2"/>
      <c r="J721" s="2"/>
    </row>
    <row r="722">
      <c r="A722" s="97"/>
      <c r="E722" s="2"/>
      <c r="F722" s="2"/>
      <c r="I722" s="2"/>
      <c r="J722" s="2"/>
    </row>
    <row r="723">
      <c r="A723" s="97"/>
      <c r="E723" s="2"/>
      <c r="F723" s="2"/>
      <c r="I723" s="2"/>
      <c r="J723" s="2"/>
    </row>
    <row r="724">
      <c r="A724" s="97"/>
      <c r="E724" s="2"/>
      <c r="F724" s="2"/>
      <c r="I724" s="2"/>
      <c r="J724" s="2"/>
    </row>
    <row r="725">
      <c r="A725" s="97"/>
      <c r="E725" s="2"/>
      <c r="F725" s="2"/>
      <c r="I725" s="2"/>
      <c r="J725" s="2"/>
    </row>
    <row r="726">
      <c r="A726" s="97"/>
      <c r="E726" s="2"/>
      <c r="F726" s="2"/>
      <c r="I726" s="2"/>
      <c r="J726" s="2"/>
    </row>
    <row r="727">
      <c r="A727" s="97"/>
      <c r="E727" s="2"/>
      <c r="F727" s="2"/>
      <c r="I727" s="2"/>
      <c r="J727" s="2"/>
    </row>
    <row r="728">
      <c r="A728" s="97"/>
      <c r="E728" s="2"/>
      <c r="F728" s="2"/>
      <c r="I728" s="2"/>
      <c r="J728" s="2"/>
    </row>
    <row r="729">
      <c r="A729" s="97"/>
      <c r="E729" s="2"/>
      <c r="F729" s="2"/>
      <c r="I729" s="2"/>
      <c r="J729" s="2"/>
    </row>
    <row r="730">
      <c r="A730" s="97"/>
      <c r="E730" s="2"/>
      <c r="F730" s="2"/>
      <c r="I730" s="2"/>
      <c r="J730" s="2"/>
    </row>
    <row r="731">
      <c r="A731" s="97"/>
      <c r="E731" s="2"/>
      <c r="F731" s="2"/>
      <c r="I731" s="2"/>
      <c r="J731" s="2"/>
    </row>
    <row r="732">
      <c r="A732" s="97"/>
      <c r="E732" s="2"/>
      <c r="F732" s="2"/>
      <c r="I732" s="2"/>
      <c r="J732" s="2"/>
    </row>
    <row r="733">
      <c r="A733" s="97"/>
      <c r="E733" s="2"/>
      <c r="F733" s="2"/>
      <c r="I733" s="2"/>
      <c r="J733" s="2"/>
    </row>
    <row r="734">
      <c r="A734" s="97"/>
      <c r="E734" s="2"/>
      <c r="F734" s="2"/>
      <c r="I734" s="2"/>
      <c r="J734" s="2"/>
    </row>
    <row r="735">
      <c r="A735" s="97"/>
      <c r="E735" s="2"/>
      <c r="F735" s="2"/>
      <c r="I735" s="2"/>
      <c r="J735" s="2"/>
    </row>
    <row r="736">
      <c r="A736" s="97"/>
      <c r="E736" s="2"/>
      <c r="F736" s="2"/>
      <c r="I736" s="2"/>
      <c r="J736" s="2"/>
    </row>
    <row r="737">
      <c r="A737" s="97"/>
      <c r="E737" s="2"/>
      <c r="F737" s="2"/>
      <c r="I737" s="2"/>
      <c r="J737" s="2"/>
    </row>
    <row r="738">
      <c r="A738" s="97"/>
      <c r="E738" s="2"/>
      <c r="F738" s="2"/>
      <c r="I738" s="2"/>
      <c r="J738" s="2"/>
    </row>
    <row r="739">
      <c r="A739" s="97"/>
      <c r="E739" s="2"/>
      <c r="F739" s="2"/>
      <c r="I739" s="2"/>
      <c r="J739" s="2"/>
    </row>
    <row r="740">
      <c r="A740" s="97"/>
      <c r="E740" s="2"/>
      <c r="F740" s="2"/>
      <c r="I740" s="2"/>
      <c r="J740" s="2"/>
    </row>
    <row r="741">
      <c r="A741" s="97"/>
      <c r="E741" s="2"/>
      <c r="F741" s="2"/>
      <c r="I741" s="2"/>
      <c r="J741" s="2"/>
    </row>
    <row r="742">
      <c r="A742" s="97"/>
      <c r="E742" s="2"/>
      <c r="F742" s="2"/>
      <c r="I742" s="2"/>
      <c r="J742" s="2"/>
    </row>
    <row r="743">
      <c r="A743" s="97"/>
      <c r="E743" s="2"/>
      <c r="F743" s="2"/>
      <c r="I743" s="2"/>
      <c r="J743" s="2"/>
    </row>
    <row r="744">
      <c r="A744" s="97"/>
      <c r="E744" s="2"/>
      <c r="F744" s="2"/>
      <c r="I744" s="2"/>
      <c r="J744" s="2"/>
    </row>
    <row r="745">
      <c r="A745" s="97"/>
      <c r="E745" s="2"/>
      <c r="F745" s="2"/>
      <c r="I745" s="2"/>
      <c r="J745" s="2"/>
    </row>
    <row r="746">
      <c r="A746" s="97"/>
      <c r="E746" s="2"/>
      <c r="F746" s="2"/>
      <c r="I746" s="2"/>
      <c r="J746" s="2"/>
    </row>
    <row r="747">
      <c r="A747" s="97"/>
      <c r="E747" s="2"/>
      <c r="F747" s="2"/>
      <c r="I747" s="2"/>
      <c r="J747" s="2"/>
    </row>
    <row r="748">
      <c r="A748" s="97"/>
      <c r="E748" s="2"/>
      <c r="F748" s="2"/>
      <c r="I748" s="2"/>
      <c r="J748" s="2"/>
    </row>
    <row r="749">
      <c r="A749" s="97"/>
      <c r="E749" s="2"/>
      <c r="F749" s="2"/>
      <c r="I749" s="2"/>
      <c r="J749" s="2"/>
    </row>
    <row r="750">
      <c r="A750" s="97"/>
      <c r="E750" s="2"/>
      <c r="F750" s="2"/>
      <c r="I750" s="2"/>
      <c r="J750" s="2"/>
    </row>
    <row r="751">
      <c r="A751" s="97"/>
      <c r="E751" s="2"/>
      <c r="F751" s="2"/>
      <c r="I751" s="2"/>
      <c r="J751" s="2"/>
    </row>
    <row r="752">
      <c r="A752" s="97"/>
      <c r="E752" s="2"/>
      <c r="F752" s="2"/>
      <c r="I752" s="2"/>
      <c r="J752" s="2"/>
    </row>
    <row r="753">
      <c r="A753" s="97"/>
      <c r="E753" s="2"/>
      <c r="F753" s="2"/>
      <c r="I753" s="2"/>
      <c r="J753" s="2"/>
    </row>
    <row r="754">
      <c r="A754" s="97"/>
      <c r="E754" s="2"/>
      <c r="F754" s="2"/>
      <c r="I754" s="2"/>
      <c r="J754" s="2"/>
    </row>
    <row r="755">
      <c r="A755" s="97"/>
      <c r="E755" s="2"/>
      <c r="F755" s="2"/>
      <c r="I755" s="2"/>
      <c r="J755" s="2"/>
    </row>
    <row r="756">
      <c r="A756" s="97"/>
      <c r="E756" s="2"/>
      <c r="F756" s="2"/>
      <c r="I756" s="2"/>
      <c r="J756" s="2"/>
    </row>
    <row r="757">
      <c r="A757" s="97"/>
      <c r="E757" s="2"/>
      <c r="F757" s="2"/>
      <c r="I757" s="2"/>
      <c r="J757" s="2"/>
    </row>
    <row r="758">
      <c r="A758" s="97"/>
      <c r="E758" s="2"/>
      <c r="F758" s="2"/>
      <c r="I758" s="2"/>
      <c r="J758" s="2"/>
    </row>
    <row r="759">
      <c r="A759" s="97"/>
      <c r="E759" s="2"/>
      <c r="F759" s="2"/>
      <c r="I759" s="2"/>
      <c r="J759" s="2"/>
    </row>
    <row r="760">
      <c r="A760" s="97"/>
      <c r="E760" s="2"/>
      <c r="F760" s="2"/>
      <c r="I760" s="2"/>
      <c r="J760" s="2"/>
    </row>
    <row r="761">
      <c r="A761" s="97"/>
      <c r="E761" s="2"/>
      <c r="F761" s="2"/>
      <c r="I761" s="2"/>
      <c r="J761" s="2"/>
    </row>
    <row r="762">
      <c r="A762" s="97"/>
      <c r="E762" s="2"/>
      <c r="F762" s="2"/>
      <c r="I762" s="2"/>
      <c r="J762" s="2"/>
    </row>
    <row r="763">
      <c r="A763" s="97"/>
      <c r="E763" s="2"/>
      <c r="F763" s="2"/>
      <c r="I763" s="2"/>
      <c r="J763" s="2"/>
    </row>
    <row r="764">
      <c r="A764" s="97"/>
      <c r="E764" s="2"/>
      <c r="F764" s="2"/>
      <c r="I764" s="2"/>
      <c r="J764" s="2"/>
    </row>
    <row r="765">
      <c r="A765" s="97"/>
      <c r="E765" s="2"/>
      <c r="F765" s="2"/>
      <c r="I765" s="2"/>
      <c r="J765" s="2"/>
    </row>
    <row r="766">
      <c r="A766" s="97"/>
      <c r="E766" s="2"/>
      <c r="F766" s="2"/>
      <c r="I766" s="2"/>
      <c r="J766" s="2"/>
    </row>
    <row r="767">
      <c r="A767" s="97"/>
      <c r="E767" s="2"/>
      <c r="F767" s="2"/>
      <c r="I767" s="2"/>
      <c r="J767" s="2"/>
    </row>
    <row r="768">
      <c r="A768" s="97"/>
      <c r="E768" s="2"/>
      <c r="F768" s="2"/>
      <c r="I768" s="2"/>
      <c r="J768" s="2"/>
    </row>
    <row r="769">
      <c r="A769" s="97"/>
      <c r="E769" s="2"/>
      <c r="F769" s="2"/>
      <c r="I769" s="2"/>
      <c r="J769" s="2"/>
    </row>
    <row r="770">
      <c r="A770" s="97"/>
      <c r="E770" s="2"/>
      <c r="F770" s="2"/>
      <c r="I770" s="2"/>
      <c r="J770" s="2"/>
    </row>
    <row r="771">
      <c r="A771" s="97"/>
      <c r="E771" s="2"/>
      <c r="F771" s="2"/>
      <c r="I771" s="2"/>
      <c r="J771" s="2"/>
    </row>
    <row r="772">
      <c r="A772" s="97"/>
      <c r="E772" s="2"/>
      <c r="F772" s="2"/>
      <c r="I772" s="2"/>
      <c r="J772" s="2"/>
    </row>
    <row r="773">
      <c r="A773" s="97"/>
      <c r="E773" s="2"/>
      <c r="F773" s="2"/>
      <c r="I773" s="2"/>
      <c r="J773" s="2"/>
    </row>
    <row r="774">
      <c r="A774" s="97"/>
      <c r="E774" s="2"/>
      <c r="F774" s="2"/>
      <c r="I774" s="2"/>
      <c r="J774" s="2"/>
    </row>
    <row r="775">
      <c r="A775" s="97"/>
      <c r="E775" s="2"/>
      <c r="F775" s="2"/>
      <c r="I775" s="2"/>
      <c r="J775" s="2"/>
    </row>
    <row r="776">
      <c r="A776" s="97"/>
      <c r="E776" s="2"/>
      <c r="F776" s="2"/>
      <c r="I776" s="2"/>
      <c r="J776" s="2"/>
    </row>
    <row r="777">
      <c r="A777" s="97"/>
      <c r="E777" s="2"/>
      <c r="F777" s="2"/>
      <c r="I777" s="2"/>
      <c r="J777" s="2"/>
    </row>
    <row r="778">
      <c r="A778" s="97"/>
      <c r="E778" s="2"/>
      <c r="F778" s="2"/>
      <c r="I778" s="2"/>
      <c r="J778" s="2"/>
    </row>
    <row r="779">
      <c r="A779" s="97"/>
      <c r="E779" s="2"/>
      <c r="F779" s="2"/>
      <c r="I779" s="2"/>
      <c r="J779" s="2"/>
    </row>
    <row r="780">
      <c r="A780" s="97"/>
      <c r="E780" s="2"/>
      <c r="F780" s="2"/>
      <c r="I780" s="2"/>
      <c r="J780" s="2"/>
    </row>
    <row r="781">
      <c r="A781" s="97"/>
      <c r="E781" s="2"/>
      <c r="F781" s="2"/>
      <c r="I781" s="2"/>
      <c r="J781" s="2"/>
    </row>
    <row r="782">
      <c r="A782" s="97"/>
      <c r="E782" s="2"/>
      <c r="F782" s="2"/>
      <c r="I782" s="2"/>
      <c r="J782" s="2"/>
    </row>
    <row r="783">
      <c r="A783" s="97"/>
      <c r="E783" s="2"/>
      <c r="F783" s="2"/>
      <c r="I783" s="2"/>
      <c r="J783" s="2"/>
    </row>
    <row r="784">
      <c r="A784" s="97"/>
      <c r="E784" s="2"/>
      <c r="F784" s="2"/>
      <c r="I784" s="2"/>
      <c r="J784" s="2"/>
    </row>
    <row r="785">
      <c r="A785" s="97"/>
      <c r="E785" s="2"/>
      <c r="F785" s="2"/>
      <c r="I785" s="2"/>
      <c r="J785" s="2"/>
    </row>
    <row r="786">
      <c r="A786" s="97"/>
      <c r="E786" s="2"/>
      <c r="F786" s="2"/>
      <c r="I786" s="2"/>
      <c r="J786" s="2"/>
    </row>
    <row r="787">
      <c r="A787" s="97"/>
      <c r="E787" s="2"/>
      <c r="F787" s="2"/>
      <c r="I787" s="2"/>
      <c r="J787" s="2"/>
    </row>
    <row r="788">
      <c r="A788" s="97"/>
      <c r="E788" s="2"/>
      <c r="F788" s="2"/>
      <c r="I788" s="2"/>
      <c r="J788" s="2"/>
    </row>
    <row r="789">
      <c r="A789" s="97"/>
      <c r="E789" s="2"/>
      <c r="F789" s="2"/>
      <c r="I789" s="2"/>
      <c r="J789" s="2"/>
    </row>
    <row r="790">
      <c r="A790" s="97"/>
      <c r="E790" s="2"/>
      <c r="F790" s="2"/>
      <c r="I790" s="2"/>
      <c r="J790" s="2"/>
    </row>
    <row r="791">
      <c r="A791" s="97"/>
      <c r="E791" s="2"/>
      <c r="F791" s="2"/>
      <c r="I791" s="2"/>
      <c r="J791" s="2"/>
    </row>
    <row r="792">
      <c r="A792" s="97"/>
      <c r="E792" s="2"/>
      <c r="F792" s="2"/>
      <c r="I792" s="2"/>
      <c r="J792" s="2"/>
    </row>
    <row r="793">
      <c r="A793" s="97"/>
      <c r="E793" s="2"/>
      <c r="F793" s="2"/>
      <c r="I793" s="2"/>
      <c r="J793" s="2"/>
    </row>
    <row r="794">
      <c r="A794" s="97"/>
      <c r="E794" s="2"/>
      <c r="F794" s="2"/>
      <c r="I794" s="2"/>
      <c r="J794" s="2"/>
    </row>
    <row r="795">
      <c r="A795" s="97"/>
      <c r="E795" s="2"/>
      <c r="F795" s="2"/>
      <c r="I795" s="2"/>
      <c r="J795" s="2"/>
    </row>
    <row r="796">
      <c r="A796" s="97"/>
      <c r="E796" s="2"/>
      <c r="F796" s="2"/>
      <c r="I796" s="2"/>
      <c r="J796" s="2"/>
    </row>
    <row r="797">
      <c r="A797" s="97"/>
      <c r="E797" s="2"/>
      <c r="F797" s="2"/>
      <c r="I797" s="2"/>
      <c r="J797" s="2"/>
    </row>
    <row r="798">
      <c r="A798" s="97"/>
      <c r="E798" s="2"/>
      <c r="F798" s="2"/>
      <c r="I798" s="2"/>
      <c r="J798" s="2"/>
    </row>
    <row r="799">
      <c r="A799" s="97"/>
      <c r="E799" s="2"/>
      <c r="F799" s="2"/>
      <c r="I799" s="2"/>
      <c r="J799" s="2"/>
    </row>
    <row r="800">
      <c r="A800" s="97"/>
      <c r="E800" s="2"/>
      <c r="F800" s="2"/>
      <c r="I800" s="2"/>
      <c r="J800" s="2"/>
    </row>
    <row r="801">
      <c r="A801" s="97"/>
      <c r="E801" s="2"/>
      <c r="F801" s="2"/>
      <c r="I801" s="2"/>
      <c r="J801" s="2"/>
    </row>
    <row r="802">
      <c r="A802" s="97"/>
      <c r="E802" s="2"/>
      <c r="F802" s="2"/>
      <c r="I802" s="2"/>
      <c r="J802" s="2"/>
    </row>
    <row r="803">
      <c r="A803" s="97"/>
      <c r="E803" s="2"/>
      <c r="F803" s="2"/>
      <c r="I803" s="2"/>
      <c r="J803" s="2"/>
    </row>
    <row r="804">
      <c r="A804" s="97"/>
      <c r="E804" s="2"/>
      <c r="F804" s="2"/>
      <c r="I804" s="2"/>
      <c r="J804" s="2"/>
    </row>
    <row r="805">
      <c r="A805" s="97"/>
      <c r="E805" s="2"/>
      <c r="F805" s="2"/>
      <c r="I805" s="2"/>
      <c r="J805" s="2"/>
    </row>
    <row r="806">
      <c r="A806" s="97"/>
      <c r="E806" s="2"/>
      <c r="F806" s="2"/>
      <c r="I806" s="2"/>
      <c r="J806" s="2"/>
    </row>
    <row r="807">
      <c r="A807" s="97"/>
      <c r="E807" s="2"/>
      <c r="F807" s="2"/>
      <c r="I807" s="2"/>
      <c r="J807" s="2"/>
    </row>
    <row r="808">
      <c r="A808" s="97"/>
      <c r="E808" s="2"/>
      <c r="F808" s="2"/>
      <c r="I808" s="2"/>
      <c r="J808" s="2"/>
    </row>
    <row r="809">
      <c r="A809" s="97"/>
      <c r="E809" s="2"/>
      <c r="F809" s="2"/>
      <c r="I809" s="2"/>
      <c r="J809" s="2"/>
    </row>
    <row r="810">
      <c r="A810" s="97"/>
      <c r="E810" s="2"/>
      <c r="F810" s="2"/>
      <c r="I810" s="2"/>
      <c r="J810" s="2"/>
    </row>
    <row r="811">
      <c r="A811" s="97"/>
      <c r="E811" s="2"/>
      <c r="F811" s="2"/>
      <c r="I811" s="2"/>
      <c r="J811" s="2"/>
    </row>
    <row r="812">
      <c r="A812" s="97"/>
      <c r="E812" s="2"/>
      <c r="F812" s="2"/>
      <c r="I812" s="2"/>
      <c r="J812" s="2"/>
    </row>
    <row r="813">
      <c r="A813" s="97"/>
      <c r="E813" s="2"/>
      <c r="F813" s="2"/>
      <c r="I813" s="2"/>
      <c r="J813" s="2"/>
    </row>
    <row r="814">
      <c r="A814" s="97"/>
      <c r="E814" s="2"/>
      <c r="F814" s="2"/>
      <c r="I814" s="2"/>
      <c r="J814" s="2"/>
    </row>
    <row r="815">
      <c r="A815" s="97"/>
      <c r="E815" s="2"/>
      <c r="F815" s="2"/>
      <c r="I815" s="2"/>
      <c r="J815" s="2"/>
    </row>
    <row r="816">
      <c r="A816" s="97"/>
      <c r="E816" s="2"/>
      <c r="F816" s="2"/>
      <c r="I816" s="2"/>
      <c r="J816" s="2"/>
    </row>
    <row r="817">
      <c r="A817" s="97"/>
      <c r="E817" s="2"/>
      <c r="F817" s="2"/>
      <c r="I817" s="2"/>
      <c r="J817" s="2"/>
    </row>
    <row r="818">
      <c r="A818" s="97"/>
      <c r="E818" s="2"/>
      <c r="F818" s="2"/>
      <c r="I818" s="2"/>
      <c r="J818" s="2"/>
    </row>
    <row r="819">
      <c r="A819" s="97"/>
      <c r="E819" s="2"/>
      <c r="F819" s="2"/>
      <c r="I819" s="2"/>
      <c r="J819" s="2"/>
    </row>
    <row r="820">
      <c r="A820" s="97"/>
      <c r="E820" s="2"/>
      <c r="F820" s="2"/>
      <c r="I820" s="2"/>
      <c r="J820" s="2"/>
    </row>
    <row r="821">
      <c r="A821" s="97"/>
      <c r="E821" s="2"/>
      <c r="F821" s="2"/>
      <c r="I821" s="2"/>
      <c r="J821" s="2"/>
    </row>
    <row r="822">
      <c r="A822" s="97"/>
      <c r="E822" s="2"/>
      <c r="F822" s="2"/>
      <c r="I822" s="2"/>
      <c r="J822" s="2"/>
    </row>
    <row r="823">
      <c r="A823" s="97"/>
      <c r="E823" s="2"/>
      <c r="F823" s="2"/>
      <c r="I823" s="2"/>
      <c r="J823" s="2"/>
    </row>
    <row r="824">
      <c r="A824" s="97"/>
      <c r="E824" s="2"/>
      <c r="F824" s="2"/>
      <c r="I824" s="2"/>
      <c r="J824" s="2"/>
    </row>
    <row r="825">
      <c r="A825" s="97"/>
      <c r="E825" s="2"/>
      <c r="F825" s="2"/>
      <c r="I825" s="2"/>
      <c r="J825" s="2"/>
    </row>
    <row r="826">
      <c r="A826" s="97"/>
      <c r="E826" s="2"/>
      <c r="F826" s="2"/>
      <c r="I826" s="2"/>
      <c r="J826" s="2"/>
    </row>
    <row r="827">
      <c r="A827" s="97"/>
      <c r="E827" s="2"/>
      <c r="F827" s="2"/>
      <c r="I827" s="2"/>
      <c r="J827" s="2"/>
    </row>
    <row r="828">
      <c r="A828" s="97"/>
      <c r="E828" s="2"/>
      <c r="F828" s="2"/>
      <c r="I828" s="2"/>
      <c r="J828" s="2"/>
    </row>
    <row r="829">
      <c r="A829" s="97"/>
      <c r="E829" s="2"/>
      <c r="F829" s="2"/>
      <c r="I829" s="2"/>
      <c r="J829" s="2"/>
    </row>
    <row r="830">
      <c r="A830" s="97"/>
      <c r="E830" s="2"/>
      <c r="F830" s="2"/>
      <c r="I830" s="2"/>
      <c r="J830" s="2"/>
    </row>
    <row r="831">
      <c r="A831" s="97"/>
      <c r="E831" s="2"/>
      <c r="F831" s="2"/>
      <c r="I831" s="2"/>
      <c r="J831" s="2"/>
    </row>
    <row r="832">
      <c r="A832" s="97"/>
      <c r="E832" s="2"/>
      <c r="F832" s="2"/>
      <c r="I832" s="2"/>
      <c r="J832" s="2"/>
    </row>
    <row r="833">
      <c r="A833" s="97"/>
      <c r="E833" s="2"/>
      <c r="F833" s="2"/>
      <c r="I833" s="2"/>
      <c r="J833" s="2"/>
    </row>
    <row r="834">
      <c r="A834" s="97"/>
      <c r="E834" s="2"/>
      <c r="F834" s="2"/>
      <c r="I834" s="2"/>
      <c r="J834" s="2"/>
    </row>
    <row r="835">
      <c r="A835" s="97"/>
      <c r="E835" s="2"/>
      <c r="F835" s="2"/>
      <c r="I835" s="2"/>
      <c r="J835" s="2"/>
    </row>
    <row r="836">
      <c r="A836" s="97"/>
      <c r="E836" s="2"/>
      <c r="F836" s="2"/>
      <c r="I836" s="2"/>
      <c r="J836" s="2"/>
    </row>
    <row r="837">
      <c r="A837" s="97"/>
      <c r="E837" s="2"/>
      <c r="F837" s="2"/>
      <c r="I837" s="2"/>
      <c r="J837" s="2"/>
    </row>
    <row r="838">
      <c r="A838" s="97"/>
      <c r="E838" s="2"/>
      <c r="F838" s="2"/>
      <c r="I838" s="2"/>
      <c r="J838" s="2"/>
    </row>
    <row r="839">
      <c r="A839" s="97"/>
      <c r="E839" s="2"/>
      <c r="F839" s="2"/>
      <c r="I839" s="2"/>
      <c r="J839" s="2"/>
    </row>
    <row r="840">
      <c r="A840" s="97"/>
      <c r="E840" s="2"/>
      <c r="F840" s="2"/>
      <c r="I840" s="2"/>
      <c r="J840" s="2"/>
    </row>
    <row r="841">
      <c r="A841" s="97"/>
      <c r="E841" s="2"/>
      <c r="F841" s="2"/>
      <c r="I841" s="2"/>
      <c r="J841" s="2"/>
    </row>
    <row r="842">
      <c r="A842" s="97"/>
      <c r="E842" s="2"/>
      <c r="F842" s="2"/>
      <c r="I842" s="2"/>
      <c r="J842" s="2"/>
    </row>
    <row r="843">
      <c r="A843" s="97"/>
      <c r="E843" s="2"/>
      <c r="F843" s="2"/>
      <c r="I843" s="2"/>
      <c r="J843" s="2"/>
    </row>
    <row r="844">
      <c r="A844" s="97"/>
      <c r="E844" s="2"/>
      <c r="F844" s="2"/>
      <c r="I844" s="2"/>
      <c r="J844" s="2"/>
    </row>
    <row r="845">
      <c r="A845" s="97"/>
      <c r="E845" s="2"/>
      <c r="F845" s="2"/>
      <c r="I845" s="2"/>
      <c r="J845" s="2"/>
    </row>
    <row r="846">
      <c r="A846" s="97"/>
      <c r="E846" s="2"/>
      <c r="F846" s="2"/>
      <c r="I846" s="2"/>
      <c r="J846" s="2"/>
    </row>
    <row r="847">
      <c r="A847" s="97"/>
      <c r="E847" s="2"/>
      <c r="F847" s="2"/>
      <c r="I847" s="2"/>
      <c r="J847" s="2"/>
    </row>
    <row r="848">
      <c r="A848" s="97"/>
      <c r="E848" s="2"/>
      <c r="F848" s="2"/>
      <c r="I848" s="2"/>
      <c r="J848" s="2"/>
    </row>
    <row r="849">
      <c r="A849" s="97"/>
      <c r="E849" s="2"/>
      <c r="F849" s="2"/>
      <c r="I849" s="2"/>
      <c r="J849" s="2"/>
    </row>
    <row r="850">
      <c r="A850" s="97"/>
      <c r="E850" s="2"/>
      <c r="F850" s="2"/>
      <c r="I850" s="2"/>
      <c r="J850" s="2"/>
    </row>
    <row r="851">
      <c r="A851" s="97"/>
      <c r="E851" s="2"/>
      <c r="F851" s="2"/>
      <c r="I851" s="2"/>
      <c r="J851" s="2"/>
    </row>
    <row r="852">
      <c r="A852" s="97"/>
      <c r="E852" s="2"/>
      <c r="F852" s="2"/>
      <c r="I852" s="2"/>
      <c r="J852" s="2"/>
    </row>
    <row r="853">
      <c r="A853" s="97"/>
      <c r="E853" s="2"/>
      <c r="F853" s="2"/>
      <c r="I853" s="2"/>
      <c r="J853" s="2"/>
    </row>
    <row r="854">
      <c r="A854" s="97"/>
      <c r="E854" s="2"/>
      <c r="F854" s="2"/>
      <c r="I854" s="2"/>
      <c r="J854" s="2"/>
    </row>
    <row r="855">
      <c r="A855" s="97"/>
      <c r="E855" s="2"/>
      <c r="F855" s="2"/>
      <c r="I855" s="2"/>
      <c r="J855" s="2"/>
    </row>
    <row r="856">
      <c r="A856" s="97"/>
      <c r="E856" s="2"/>
      <c r="F856" s="2"/>
      <c r="I856" s="2"/>
      <c r="J856" s="2"/>
    </row>
    <row r="857">
      <c r="A857" s="97"/>
      <c r="E857" s="2"/>
      <c r="F857" s="2"/>
      <c r="I857" s="2"/>
      <c r="J857" s="2"/>
    </row>
    <row r="858">
      <c r="A858" s="97"/>
      <c r="E858" s="2"/>
      <c r="F858" s="2"/>
      <c r="I858" s="2"/>
      <c r="J858" s="2"/>
    </row>
    <row r="859">
      <c r="A859" s="97"/>
      <c r="E859" s="2"/>
      <c r="F859" s="2"/>
      <c r="I859" s="2"/>
      <c r="J859" s="2"/>
    </row>
    <row r="860">
      <c r="A860" s="97"/>
      <c r="E860" s="2"/>
      <c r="F860" s="2"/>
      <c r="I860" s="2"/>
      <c r="J860" s="2"/>
    </row>
    <row r="861">
      <c r="A861" s="97"/>
      <c r="E861" s="2"/>
      <c r="F861" s="2"/>
      <c r="I861" s="2"/>
      <c r="J861" s="2"/>
    </row>
    <row r="862">
      <c r="A862" s="97"/>
      <c r="E862" s="2"/>
      <c r="F862" s="2"/>
      <c r="I862" s="2"/>
      <c r="J862" s="2"/>
    </row>
    <row r="863">
      <c r="A863" s="97"/>
      <c r="E863" s="2"/>
      <c r="F863" s="2"/>
      <c r="I863" s="2"/>
      <c r="J863" s="2"/>
    </row>
    <row r="864">
      <c r="A864" s="97"/>
      <c r="E864" s="2"/>
      <c r="F864" s="2"/>
      <c r="I864" s="2"/>
      <c r="J864" s="2"/>
    </row>
    <row r="865">
      <c r="A865" s="97"/>
      <c r="E865" s="2"/>
      <c r="F865" s="2"/>
      <c r="I865" s="2"/>
      <c r="J865" s="2"/>
    </row>
    <row r="866">
      <c r="A866" s="97"/>
      <c r="E866" s="2"/>
      <c r="F866" s="2"/>
      <c r="I866" s="2"/>
      <c r="J866" s="2"/>
    </row>
    <row r="867">
      <c r="A867" s="97"/>
      <c r="E867" s="2"/>
      <c r="F867" s="2"/>
      <c r="I867" s="2"/>
      <c r="J867" s="2"/>
    </row>
    <row r="868">
      <c r="A868" s="97"/>
      <c r="E868" s="2"/>
      <c r="F868" s="2"/>
      <c r="I868" s="2"/>
      <c r="J868" s="2"/>
    </row>
    <row r="869">
      <c r="A869" s="97"/>
      <c r="E869" s="2"/>
      <c r="F869" s="2"/>
      <c r="I869" s="2"/>
      <c r="J869" s="2"/>
    </row>
    <row r="870">
      <c r="A870" s="97"/>
      <c r="E870" s="2"/>
      <c r="F870" s="2"/>
      <c r="I870" s="2"/>
      <c r="J870" s="2"/>
    </row>
    <row r="871">
      <c r="A871" s="97"/>
      <c r="E871" s="2"/>
      <c r="F871" s="2"/>
      <c r="I871" s="2"/>
      <c r="J871" s="2"/>
    </row>
    <row r="872">
      <c r="A872" s="97"/>
      <c r="E872" s="2"/>
      <c r="F872" s="2"/>
      <c r="I872" s="2"/>
      <c r="J872" s="2"/>
    </row>
    <row r="873">
      <c r="A873" s="97"/>
      <c r="E873" s="2"/>
      <c r="F873" s="2"/>
      <c r="I873" s="2"/>
      <c r="J873" s="2"/>
    </row>
    <row r="874">
      <c r="A874" s="97"/>
      <c r="E874" s="2"/>
      <c r="F874" s="2"/>
      <c r="I874" s="2"/>
      <c r="J874" s="2"/>
    </row>
    <row r="875">
      <c r="A875" s="97"/>
      <c r="E875" s="2"/>
      <c r="F875" s="2"/>
      <c r="I875" s="2"/>
      <c r="J875" s="2"/>
    </row>
    <row r="876">
      <c r="A876" s="97"/>
      <c r="E876" s="2"/>
      <c r="F876" s="2"/>
      <c r="I876" s="2"/>
      <c r="J876" s="2"/>
    </row>
    <row r="877">
      <c r="A877" s="97"/>
      <c r="E877" s="2"/>
      <c r="F877" s="2"/>
      <c r="I877" s="2"/>
      <c r="J877" s="2"/>
    </row>
    <row r="878">
      <c r="A878" s="97"/>
      <c r="E878" s="2"/>
      <c r="F878" s="2"/>
      <c r="I878" s="2"/>
      <c r="J878" s="2"/>
    </row>
    <row r="879">
      <c r="A879" s="97"/>
      <c r="E879" s="2"/>
      <c r="F879" s="2"/>
      <c r="I879" s="2"/>
      <c r="J879" s="2"/>
    </row>
    <row r="880">
      <c r="A880" s="97"/>
      <c r="E880" s="2"/>
      <c r="F880" s="2"/>
      <c r="I880" s="2"/>
      <c r="J880" s="2"/>
    </row>
    <row r="881">
      <c r="A881" s="97"/>
      <c r="E881" s="2"/>
      <c r="F881" s="2"/>
      <c r="I881" s="2"/>
      <c r="J881" s="2"/>
    </row>
    <row r="882">
      <c r="A882" s="97"/>
      <c r="E882" s="2"/>
      <c r="F882" s="2"/>
      <c r="I882" s="2"/>
      <c r="J882" s="2"/>
    </row>
    <row r="883">
      <c r="A883" s="97"/>
      <c r="E883" s="2"/>
      <c r="F883" s="2"/>
      <c r="I883" s="2"/>
      <c r="J883" s="2"/>
    </row>
    <row r="884">
      <c r="A884" s="97"/>
      <c r="E884" s="2"/>
      <c r="F884" s="2"/>
      <c r="I884" s="2"/>
      <c r="J884" s="2"/>
    </row>
    <row r="885">
      <c r="A885" s="97"/>
      <c r="E885" s="2"/>
      <c r="F885" s="2"/>
      <c r="I885" s="2"/>
      <c r="J885" s="2"/>
    </row>
    <row r="886">
      <c r="A886" s="97"/>
      <c r="E886" s="2"/>
      <c r="F886" s="2"/>
      <c r="I886" s="2"/>
      <c r="J886" s="2"/>
    </row>
    <row r="887">
      <c r="A887" s="97"/>
      <c r="E887" s="2"/>
      <c r="F887" s="2"/>
      <c r="I887" s="2"/>
      <c r="J887" s="2"/>
    </row>
    <row r="888">
      <c r="A888" s="97"/>
      <c r="E888" s="2"/>
      <c r="F888" s="2"/>
      <c r="I888" s="2"/>
      <c r="J888" s="2"/>
    </row>
    <row r="889">
      <c r="A889" s="97"/>
      <c r="E889" s="2"/>
      <c r="F889" s="2"/>
      <c r="I889" s="2"/>
      <c r="J889" s="2"/>
    </row>
    <row r="890">
      <c r="A890" s="97"/>
      <c r="E890" s="2"/>
      <c r="F890" s="2"/>
      <c r="I890" s="2"/>
      <c r="J890" s="2"/>
    </row>
    <row r="891">
      <c r="A891" s="97"/>
      <c r="E891" s="2"/>
      <c r="F891" s="2"/>
      <c r="I891" s="2"/>
      <c r="J891" s="2"/>
    </row>
    <row r="892">
      <c r="A892" s="97"/>
      <c r="E892" s="2"/>
      <c r="F892" s="2"/>
      <c r="I892" s="2"/>
      <c r="J892" s="2"/>
    </row>
    <row r="893">
      <c r="A893" s="97"/>
      <c r="E893" s="2"/>
      <c r="F893" s="2"/>
      <c r="I893" s="2"/>
      <c r="J893" s="2"/>
    </row>
    <row r="894">
      <c r="A894" s="97"/>
      <c r="E894" s="2"/>
      <c r="F894" s="2"/>
      <c r="I894" s="2"/>
      <c r="J894" s="2"/>
    </row>
    <row r="895">
      <c r="A895" s="97"/>
      <c r="E895" s="2"/>
      <c r="F895" s="2"/>
      <c r="I895" s="2"/>
      <c r="J895" s="2"/>
    </row>
    <row r="896">
      <c r="A896" s="97"/>
      <c r="E896" s="2"/>
      <c r="F896" s="2"/>
      <c r="I896" s="2"/>
      <c r="J896" s="2"/>
    </row>
    <row r="897">
      <c r="A897" s="97"/>
      <c r="E897" s="2"/>
      <c r="F897" s="2"/>
      <c r="I897" s="2"/>
      <c r="J897" s="2"/>
    </row>
    <row r="898">
      <c r="A898" s="97"/>
      <c r="E898" s="2"/>
      <c r="F898" s="2"/>
      <c r="I898" s="2"/>
      <c r="J898" s="2"/>
    </row>
    <row r="899">
      <c r="A899" s="97"/>
      <c r="E899" s="2"/>
      <c r="F899" s="2"/>
      <c r="I899" s="2"/>
      <c r="J899" s="2"/>
    </row>
    <row r="900">
      <c r="A900" s="97"/>
      <c r="E900" s="2"/>
      <c r="F900" s="2"/>
      <c r="I900" s="2"/>
      <c r="J900" s="2"/>
    </row>
    <row r="901">
      <c r="A901" s="97"/>
      <c r="E901" s="2"/>
      <c r="F901" s="2"/>
      <c r="I901" s="2"/>
      <c r="J901" s="2"/>
    </row>
    <row r="902">
      <c r="A902" s="97"/>
      <c r="E902" s="2"/>
      <c r="F902" s="2"/>
      <c r="I902" s="2"/>
      <c r="J902" s="2"/>
    </row>
    <row r="903">
      <c r="A903" s="97"/>
      <c r="E903" s="2"/>
      <c r="F903" s="2"/>
      <c r="I903" s="2"/>
      <c r="J903" s="2"/>
    </row>
    <row r="904">
      <c r="A904" s="97"/>
      <c r="E904" s="2"/>
      <c r="F904" s="2"/>
      <c r="I904" s="2"/>
      <c r="J904" s="2"/>
    </row>
    <row r="905">
      <c r="A905" s="97"/>
      <c r="E905" s="2"/>
      <c r="F905" s="2"/>
      <c r="I905" s="2"/>
      <c r="J905" s="2"/>
    </row>
    <row r="906">
      <c r="A906" s="97"/>
      <c r="E906" s="2"/>
      <c r="F906" s="2"/>
      <c r="I906" s="2"/>
      <c r="J906" s="2"/>
    </row>
    <row r="907">
      <c r="A907" s="97"/>
      <c r="E907" s="2"/>
      <c r="F907" s="2"/>
      <c r="I907" s="2"/>
      <c r="J907" s="2"/>
    </row>
    <row r="908">
      <c r="A908" s="97"/>
      <c r="E908" s="2"/>
      <c r="F908" s="2"/>
      <c r="I908" s="2"/>
      <c r="J908" s="2"/>
    </row>
    <row r="909">
      <c r="A909" s="97"/>
      <c r="E909" s="2"/>
      <c r="F909" s="2"/>
      <c r="I909" s="2"/>
      <c r="J909" s="2"/>
    </row>
    <row r="910">
      <c r="A910" s="97"/>
      <c r="E910" s="2"/>
      <c r="F910" s="2"/>
      <c r="I910" s="2"/>
      <c r="J910" s="2"/>
    </row>
    <row r="911">
      <c r="A911" s="97"/>
      <c r="E911" s="2"/>
      <c r="F911" s="2"/>
      <c r="I911" s="2"/>
      <c r="J911" s="2"/>
    </row>
    <row r="912">
      <c r="A912" s="97"/>
      <c r="E912" s="2"/>
      <c r="F912" s="2"/>
      <c r="I912" s="2"/>
      <c r="J912" s="2"/>
    </row>
    <row r="913">
      <c r="A913" s="97"/>
      <c r="E913" s="2"/>
      <c r="F913" s="2"/>
      <c r="I913" s="2"/>
      <c r="J913" s="2"/>
    </row>
    <row r="914">
      <c r="A914" s="97"/>
      <c r="E914" s="2"/>
      <c r="F914" s="2"/>
      <c r="I914" s="2"/>
      <c r="J914" s="2"/>
    </row>
    <row r="915">
      <c r="A915" s="97"/>
      <c r="E915" s="2"/>
      <c r="F915" s="2"/>
      <c r="I915" s="2"/>
      <c r="J915" s="2"/>
    </row>
    <row r="916">
      <c r="A916" s="97"/>
      <c r="E916" s="2"/>
      <c r="F916" s="2"/>
      <c r="I916" s="2"/>
      <c r="J916" s="2"/>
    </row>
    <row r="917">
      <c r="A917" s="97"/>
      <c r="E917" s="2"/>
      <c r="F917" s="2"/>
      <c r="I917" s="2"/>
      <c r="J917" s="2"/>
    </row>
    <row r="918">
      <c r="A918" s="97"/>
      <c r="E918" s="2"/>
      <c r="F918" s="2"/>
      <c r="I918" s="2"/>
      <c r="J918" s="2"/>
    </row>
    <row r="919">
      <c r="A919" s="97"/>
      <c r="E919" s="2"/>
      <c r="F919" s="2"/>
      <c r="I919" s="2"/>
      <c r="J919" s="2"/>
    </row>
    <row r="920">
      <c r="A920" s="97"/>
      <c r="E920" s="2"/>
      <c r="F920" s="2"/>
      <c r="I920" s="2"/>
      <c r="J920" s="2"/>
    </row>
    <row r="921">
      <c r="A921" s="97"/>
      <c r="E921" s="2"/>
      <c r="F921" s="2"/>
      <c r="I921" s="2"/>
      <c r="J921" s="2"/>
    </row>
    <row r="922">
      <c r="A922" s="97"/>
      <c r="E922" s="2"/>
      <c r="F922" s="2"/>
      <c r="I922" s="2"/>
      <c r="J922" s="2"/>
    </row>
    <row r="923">
      <c r="A923" s="97"/>
      <c r="E923" s="2"/>
      <c r="F923" s="2"/>
      <c r="I923" s="2"/>
      <c r="J923" s="2"/>
    </row>
    <row r="924">
      <c r="A924" s="97"/>
      <c r="E924" s="2"/>
      <c r="F924" s="2"/>
      <c r="I924" s="2"/>
      <c r="J924" s="2"/>
    </row>
    <row r="925">
      <c r="A925" s="97"/>
      <c r="E925" s="2"/>
      <c r="F925" s="2"/>
      <c r="I925" s="2"/>
      <c r="J925" s="2"/>
    </row>
    <row r="926">
      <c r="A926" s="97"/>
      <c r="E926" s="2"/>
      <c r="F926" s="2"/>
      <c r="I926" s="2"/>
      <c r="J926" s="2"/>
    </row>
    <row r="927">
      <c r="A927" s="97"/>
      <c r="E927" s="2"/>
      <c r="F927" s="2"/>
      <c r="I927" s="2"/>
      <c r="J927" s="2"/>
    </row>
    <row r="928">
      <c r="A928" s="97"/>
      <c r="E928" s="2"/>
      <c r="F928" s="2"/>
      <c r="I928" s="2"/>
      <c r="J928" s="2"/>
    </row>
    <row r="929">
      <c r="A929" s="97"/>
      <c r="E929" s="2"/>
      <c r="F929" s="2"/>
      <c r="I929" s="2"/>
      <c r="J929" s="2"/>
    </row>
    <row r="930">
      <c r="A930" s="97"/>
      <c r="E930" s="2"/>
      <c r="F930" s="2"/>
      <c r="I930" s="2"/>
      <c r="J930" s="2"/>
    </row>
    <row r="931">
      <c r="A931" s="97"/>
      <c r="E931" s="2"/>
      <c r="F931" s="2"/>
      <c r="I931" s="2"/>
      <c r="J931" s="2"/>
    </row>
    <row r="932">
      <c r="A932" s="97"/>
      <c r="E932" s="2"/>
      <c r="F932" s="2"/>
      <c r="I932" s="2"/>
      <c r="J932" s="2"/>
    </row>
    <row r="933">
      <c r="A933" s="97"/>
      <c r="E933" s="2"/>
      <c r="F933" s="2"/>
      <c r="I933" s="2"/>
      <c r="J933" s="2"/>
    </row>
    <row r="934">
      <c r="A934" s="97"/>
      <c r="E934" s="2"/>
      <c r="F934" s="2"/>
      <c r="I934" s="2"/>
      <c r="J934" s="2"/>
    </row>
    <row r="935">
      <c r="A935" s="97"/>
      <c r="E935" s="2"/>
      <c r="F935" s="2"/>
      <c r="I935" s="2"/>
      <c r="J935" s="2"/>
    </row>
    <row r="936">
      <c r="A936" s="97"/>
      <c r="E936" s="2"/>
      <c r="F936" s="2"/>
      <c r="I936" s="2"/>
      <c r="J936" s="2"/>
    </row>
    <row r="937">
      <c r="A937" s="97"/>
      <c r="E937" s="2"/>
      <c r="F937" s="2"/>
      <c r="I937" s="2"/>
      <c r="J937" s="2"/>
    </row>
    <row r="938">
      <c r="A938" s="97"/>
      <c r="E938" s="2"/>
      <c r="F938" s="2"/>
      <c r="I938" s="2"/>
      <c r="J938" s="2"/>
    </row>
    <row r="939">
      <c r="A939" s="97"/>
      <c r="E939" s="2"/>
      <c r="F939" s="2"/>
      <c r="I939" s="2"/>
      <c r="J939" s="2"/>
    </row>
    <row r="940">
      <c r="A940" s="97"/>
      <c r="E940" s="2"/>
      <c r="F940" s="2"/>
      <c r="I940" s="2"/>
      <c r="J940" s="2"/>
    </row>
    <row r="941">
      <c r="A941" s="97"/>
      <c r="E941" s="2"/>
      <c r="F941" s="2"/>
      <c r="I941" s="2"/>
      <c r="J941" s="2"/>
    </row>
    <row r="942">
      <c r="A942" s="97"/>
      <c r="E942" s="2"/>
      <c r="F942" s="2"/>
      <c r="I942" s="2"/>
      <c r="J942" s="2"/>
    </row>
    <row r="943">
      <c r="A943" s="97"/>
      <c r="E943" s="2"/>
      <c r="F943" s="2"/>
      <c r="I943" s="2"/>
      <c r="J943" s="2"/>
    </row>
    <row r="944">
      <c r="A944" s="97"/>
      <c r="E944" s="2"/>
      <c r="F944" s="2"/>
      <c r="I944" s="2"/>
      <c r="J944" s="2"/>
    </row>
    <row r="945">
      <c r="A945" s="97"/>
      <c r="E945" s="2"/>
      <c r="F945" s="2"/>
      <c r="I945" s="2"/>
      <c r="J945" s="2"/>
    </row>
    <row r="946">
      <c r="A946" s="97"/>
      <c r="E946" s="2"/>
      <c r="F946" s="2"/>
      <c r="I946" s="2"/>
      <c r="J946" s="2"/>
    </row>
    <row r="947">
      <c r="A947" s="97"/>
      <c r="E947" s="2"/>
      <c r="F947" s="2"/>
      <c r="I947" s="2"/>
      <c r="J947" s="2"/>
    </row>
    <row r="948">
      <c r="A948" s="97"/>
      <c r="E948" s="2"/>
      <c r="F948" s="2"/>
      <c r="I948" s="2"/>
      <c r="J948" s="2"/>
    </row>
    <row r="949">
      <c r="A949" s="97"/>
      <c r="E949" s="2"/>
      <c r="F949" s="2"/>
      <c r="I949" s="2"/>
      <c r="J949" s="2"/>
    </row>
    <row r="950">
      <c r="A950" s="97"/>
      <c r="E950" s="2"/>
      <c r="F950" s="2"/>
      <c r="I950" s="2"/>
      <c r="J950" s="2"/>
    </row>
    <row r="951">
      <c r="A951" s="97"/>
      <c r="E951" s="2"/>
      <c r="F951" s="2"/>
      <c r="I951" s="2"/>
      <c r="J951" s="2"/>
    </row>
    <row r="952">
      <c r="A952" s="97"/>
      <c r="E952" s="2"/>
      <c r="F952" s="2"/>
      <c r="I952" s="2"/>
      <c r="J952" s="2"/>
    </row>
    <row r="953">
      <c r="A953" s="97"/>
      <c r="E953" s="2"/>
      <c r="F953" s="2"/>
      <c r="I953" s="2"/>
      <c r="J953" s="2"/>
    </row>
    <row r="954">
      <c r="A954" s="97"/>
      <c r="E954" s="2"/>
      <c r="F954" s="2"/>
      <c r="I954" s="2"/>
      <c r="J954" s="2"/>
    </row>
    <row r="955">
      <c r="A955" s="97"/>
      <c r="E955" s="2"/>
      <c r="F955" s="2"/>
      <c r="I955" s="2"/>
      <c r="J955" s="2"/>
    </row>
    <row r="956">
      <c r="A956" s="97"/>
      <c r="E956" s="2"/>
      <c r="F956" s="2"/>
      <c r="I956" s="2"/>
      <c r="J956" s="2"/>
    </row>
    <row r="957">
      <c r="A957" s="97"/>
      <c r="E957" s="2"/>
      <c r="F957" s="2"/>
      <c r="I957" s="2"/>
      <c r="J957" s="2"/>
    </row>
    <row r="958">
      <c r="A958" s="97"/>
      <c r="E958" s="2"/>
      <c r="F958" s="2"/>
      <c r="I958" s="2"/>
      <c r="J958" s="2"/>
    </row>
    <row r="959">
      <c r="A959" s="97"/>
      <c r="E959" s="2"/>
      <c r="F959" s="2"/>
      <c r="I959" s="2"/>
      <c r="J959" s="2"/>
    </row>
    <row r="960">
      <c r="A960" s="97"/>
      <c r="E960" s="2"/>
      <c r="F960" s="2"/>
      <c r="I960" s="2"/>
      <c r="J960" s="2"/>
    </row>
    <row r="961">
      <c r="A961" s="97"/>
      <c r="E961" s="2"/>
      <c r="F961" s="2"/>
      <c r="I961" s="2"/>
      <c r="J961" s="2"/>
    </row>
    <row r="962">
      <c r="A962" s="97"/>
      <c r="E962" s="2"/>
      <c r="F962" s="2"/>
      <c r="I962" s="2"/>
      <c r="J962" s="2"/>
    </row>
    <row r="963">
      <c r="A963" s="97"/>
      <c r="E963" s="2"/>
      <c r="F963" s="2"/>
      <c r="I963" s="2"/>
      <c r="J963" s="2"/>
    </row>
    <row r="964">
      <c r="A964" s="97"/>
      <c r="E964" s="2"/>
      <c r="F964" s="2"/>
      <c r="I964" s="2"/>
      <c r="J964" s="2"/>
    </row>
    <row r="965">
      <c r="A965" s="97"/>
      <c r="E965" s="2"/>
      <c r="F965" s="2"/>
      <c r="I965" s="2"/>
      <c r="J965" s="2"/>
    </row>
    <row r="966">
      <c r="A966" s="97"/>
      <c r="E966" s="2"/>
      <c r="F966" s="2"/>
      <c r="I966" s="2"/>
      <c r="J966" s="2"/>
    </row>
    <row r="967">
      <c r="A967" s="97"/>
      <c r="E967" s="2"/>
      <c r="F967" s="2"/>
      <c r="I967" s="2"/>
      <c r="J967" s="2"/>
    </row>
    <row r="968">
      <c r="A968" s="97"/>
      <c r="E968" s="2"/>
      <c r="F968" s="2"/>
      <c r="I968" s="2"/>
      <c r="J968" s="2"/>
    </row>
    <row r="969">
      <c r="A969" s="97"/>
      <c r="E969" s="2"/>
      <c r="F969" s="2"/>
      <c r="I969" s="2"/>
      <c r="J969" s="2"/>
    </row>
    <row r="970">
      <c r="A970" s="97"/>
      <c r="E970" s="2"/>
      <c r="F970" s="2"/>
      <c r="I970" s="2"/>
      <c r="J970" s="2"/>
    </row>
    <row r="971">
      <c r="A971" s="97"/>
      <c r="E971" s="2"/>
      <c r="F971" s="2"/>
      <c r="I971" s="2"/>
      <c r="J971" s="2"/>
    </row>
    <row r="972">
      <c r="A972" s="97"/>
      <c r="E972" s="2"/>
      <c r="F972" s="2"/>
      <c r="I972" s="2"/>
      <c r="J972" s="2"/>
    </row>
    <row r="973">
      <c r="A973" s="97"/>
      <c r="E973" s="2"/>
      <c r="F973" s="2"/>
      <c r="I973" s="2"/>
      <c r="J973" s="2"/>
    </row>
    <row r="974">
      <c r="A974" s="97"/>
      <c r="E974" s="2"/>
      <c r="F974" s="2"/>
      <c r="I974" s="2"/>
      <c r="J974" s="2"/>
    </row>
    <row r="975">
      <c r="A975" s="97"/>
      <c r="E975" s="2"/>
      <c r="F975" s="2"/>
      <c r="I975" s="2"/>
      <c r="J975" s="2"/>
    </row>
    <row r="976">
      <c r="A976" s="97"/>
      <c r="E976" s="2"/>
      <c r="F976" s="2"/>
      <c r="I976" s="2"/>
      <c r="J976" s="2"/>
    </row>
    <row r="977">
      <c r="A977" s="97"/>
      <c r="E977" s="2"/>
      <c r="F977" s="2"/>
      <c r="I977" s="2"/>
      <c r="J977" s="2"/>
    </row>
    <row r="978">
      <c r="A978" s="97"/>
      <c r="E978" s="2"/>
      <c r="F978" s="2"/>
      <c r="I978" s="2"/>
      <c r="J978" s="2"/>
    </row>
    <row r="979">
      <c r="A979" s="97"/>
      <c r="E979" s="2"/>
      <c r="F979" s="2"/>
      <c r="I979" s="2"/>
      <c r="J979" s="2"/>
    </row>
    <row r="980">
      <c r="A980" s="97"/>
      <c r="E980" s="2"/>
      <c r="F980" s="2"/>
      <c r="I980" s="2"/>
      <c r="J980" s="2"/>
    </row>
    <row r="981">
      <c r="A981" s="97"/>
      <c r="E981" s="2"/>
      <c r="F981" s="2"/>
      <c r="I981" s="2"/>
      <c r="J981" s="2"/>
    </row>
    <row r="982">
      <c r="A982" s="97"/>
      <c r="E982" s="2"/>
      <c r="F982" s="2"/>
      <c r="I982" s="2"/>
      <c r="J982" s="2"/>
    </row>
    <row r="983">
      <c r="A983" s="97"/>
      <c r="E983" s="2"/>
      <c r="F983" s="2"/>
      <c r="I983" s="2"/>
      <c r="J983" s="2"/>
    </row>
    <row r="984">
      <c r="A984" s="97"/>
      <c r="E984" s="2"/>
      <c r="F984" s="2"/>
      <c r="I984" s="2"/>
      <c r="J984" s="2"/>
    </row>
    <row r="985">
      <c r="A985" s="97"/>
      <c r="E985" s="2"/>
      <c r="F985" s="2"/>
      <c r="I985" s="2"/>
      <c r="J985" s="2"/>
    </row>
    <row r="986">
      <c r="A986" s="97"/>
      <c r="E986" s="2"/>
      <c r="F986" s="2"/>
      <c r="I986" s="2"/>
      <c r="J986" s="2"/>
    </row>
    <row r="987">
      <c r="A987" s="97"/>
      <c r="E987" s="2"/>
      <c r="F987" s="2"/>
      <c r="I987" s="2"/>
      <c r="J987" s="2"/>
    </row>
    <row r="988">
      <c r="A988" s="97"/>
      <c r="E988" s="2"/>
      <c r="F988" s="2"/>
      <c r="I988" s="2"/>
      <c r="J988" s="2"/>
    </row>
    <row r="989">
      <c r="A989" s="97"/>
      <c r="E989" s="2"/>
      <c r="F989" s="2"/>
      <c r="I989" s="2"/>
      <c r="J989" s="2"/>
    </row>
    <row r="990">
      <c r="A990" s="97"/>
      <c r="E990" s="2"/>
      <c r="F990" s="2"/>
      <c r="I990" s="2"/>
      <c r="J990" s="2"/>
    </row>
    <row r="991">
      <c r="A991" s="97"/>
      <c r="E991" s="2"/>
      <c r="F991" s="2"/>
      <c r="I991" s="2"/>
      <c r="J991" s="2"/>
    </row>
    <row r="992">
      <c r="A992" s="97"/>
      <c r="E992" s="2"/>
      <c r="F992" s="2"/>
      <c r="I992" s="2"/>
      <c r="J992" s="2"/>
    </row>
    <row r="993">
      <c r="A993" s="97"/>
      <c r="E993" s="2"/>
      <c r="F993" s="2"/>
      <c r="I993" s="2"/>
      <c r="J993" s="2"/>
    </row>
    <row r="994">
      <c r="A994" s="97"/>
      <c r="E994" s="2"/>
      <c r="F994" s="2"/>
      <c r="I994" s="2"/>
      <c r="J994" s="2"/>
    </row>
    <row r="995">
      <c r="A995" s="97"/>
      <c r="E995" s="2"/>
      <c r="F995" s="2"/>
      <c r="I995" s="2"/>
      <c r="J995" s="2"/>
    </row>
    <row r="996">
      <c r="A996" s="97"/>
      <c r="E996" s="2"/>
      <c r="F996" s="2"/>
      <c r="I996" s="2"/>
      <c r="J996" s="2"/>
    </row>
    <row r="997">
      <c r="A997" s="97"/>
      <c r="E997" s="2"/>
      <c r="F997" s="2"/>
      <c r="I997" s="2"/>
      <c r="J997" s="2"/>
    </row>
    <row r="998">
      <c r="A998" s="97"/>
      <c r="E998" s="2"/>
      <c r="F998" s="2"/>
      <c r="I998" s="2"/>
      <c r="J998" s="2"/>
    </row>
    <row r="999">
      <c r="A999" s="97"/>
      <c r="E999" s="2"/>
      <c r="F999" s="2"/>
      <c r="I999" s="2"/>
      <c r="J999" s="2"/>
    </row>
    <row r="1000">
      <c r="A1000" s="97"/>
      <c r="E1000" s="2"/>
      <c r="F1000" s="2"/>
      <c r="I1000" s="2"/>
      <c r="J1000" s="2"/>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1.38"/>
    <col customWidth="1" min="2" max="2" width="14.5"/>
    <col customWidth="1" min="3" max="3" width="9.75"/>
    <col customWidth="1" min="4" max="4" width="13.0"/>
    <col customWidth="1" min="5" max="5" width="13.38"/>
    <col customWidth="1" min="6" max="6" width="14.5"/>
    <col customWidth="1" min="7" max="7" width="13.13"/>
    <col customWidth="1" min="8" max="8" width="14.63"/>
    <col customWidth="1" min="9" max="9" width="17.75"/>
  </cols>
  <sheetData>
    <row r="1" ht="22.5" customHeight="1">
      <c r="A1" s="101" t="s">
        <v>5</v>
      </c>
      <c r="B1" s="101" t="s">
        <v>6</v>
      </c>
      <c r="C1" s="101" t="s">
        <v>86</v>
      </c>
      <c r="D1" s="102" t="s">
        <v>87</v>
      </c>
      <c r="E1" s="101" t="s">
        <v>88</v>
      </c>
      <c r="F1" s="101" t="s">
        <v>89</v>
      </c>
      <c r="G1" s="102" t="s">
        <v>90</v>
      </c>
      <c r="H1" s="102" t="s">
        <v>91</v>
      </c>
      <c r="I1" s="103" t="s">
        <v>43</v>
      </c>
    </row>
    <row r="2" ht="22.5" customHeight="1">
      <c r="A2" s="104" t="s">
        <v>92</v>
      </c>
      <c r="B2" s="104" t="s">
        <v>93</v>
      </c>
      <c r="C2" s="104"/>
      <c r="D2" s="104">
        <v>0.0</v>
      </c>
      <c r="E2" s="105">
        <f>SUMIF(Sales!B:B, A2, Sales!K:K)</f>
        <v>0</v>
      </c>
      <c r="F2" s="105">
        <f>SUMIF(Sales!B:B, A2, Sales!D:D)</f>
        <v>0</v>
      </c>
      <c r="G2" s="106">
        <f t="shared" ref="G2:G56" si="1">E2-F2</f>
        <v>0</v>
      </c>
      <c r="H2" s="107"/>
      <c r="I2" s="108">
        <f>SUMIF(Sales!C:C,B2,Sales!I:I)</f>
        <v>0</v>
      </c>
    </row>
    <row r="3" ht="22.5" customHeight="1">
      <c r="A3" s="104" t="s">
        <v>19</v>
      </c>
      <c r="B3" s="104" t="s">
        <v>19</v>
      </c>
      <c r="C3" s="104"/>
      <c r="D3" s="104">
        <v>0.0</v>
      </c>
      <c r="E3" s="105">
        <f>SUMIF(Sales!B:B, A3, Sales!K:K)</f>
        <v>10</v>
      </c>
      <c r="F3" s="105">
        <f>SUMIF(Sales!B:B, A3, Sales!D:D)</f>
        <v>14</v>
      </c>
      <c r="G3" s="106">
        <f t="shared" si="1"/>
        <v>-4</v>
      </c>
      <c r="H3" s="107"/>
      <c r="I3" s="108">
        <f>SUMIF(Sales!C:C,B3,Sales!I:I)</f>
        <v>1875</v>
      </c>
    </row>
    <row r="4" ht="22.5" customHeight="1">
      <c r="A4" s="109" t="s">
        <v>94</v>
      </c>
      <c r="B4" s="109" t="s">
        <v>8</v>
      </c>
      <c r="D4" s="109">
        <v>500.0</v>
      </c>
      <c r="E4" s="105">
        <f>SUMIF(Sales!B:B, A4, Sales!K:K)</f>
        <v>0</v>
      </c>
      <c r="F4" s="105">
        <f>SUMIF(Sales!B:B, A4, Sales!D:D)</f>
        <v>0</v>
      </c>
      <c r="G4" s="106">
        <f t="shared" si="1"/>
        <v>0</v>
      </c>
      <c r="I4" s="108">
        <f>SUMIF(Sales!C:C,B4,Sales!I:I)</f>
        <v>0</v>
      </c>
    </row>
    <row r="5" ht="22.5" customHeight="1">
      <c r="A5" s="109" t="s">
        <v>33</v>
      </c>
      <c r="B5" s="109" t="s">
        <v>96</v>
      </c>
      <c r="C5" s="109">
        <v>600.0</v>
      </c>
      <c r="D5" s="109">
        <v>4.0</v>
      </c>
      <c r="E5" s="105">
        <f>SUMIF(Sales!B:B, A5, Sales!K:K)</f>
        <v>134</v>
      </c>
      <c r="F5" s="105">
        <f>SUMIF(Sales!B:B, A5, Sales!D:D)</f>
        <v>186</v>
      </c>
      <c r="G5" s="106">
        <f t="shared" si="1"/>
        <v>-52</v>
      </c>
      <c r="H5" s="109">
        <v>100.0</v>
      </c>
      <c r="I5" s="108">
        <f>SUMIF(Sales!C:C,B5,Sales!I:I)</f>
        <v>660</v>
      </c>
    </row>
    <row r="6" ht="22.5" customHeight="1">
      <c r="A6" s="109" t="s">
        <v>62</v>
      </c>
      <c r="B6" s="109" t="s">
        <v>97</v>
      </c>
      <c r="D6" s="109">
        <v>125.0</v>
      </c>
      <c r="E6" s="105">
        <f>SUMIF(Sales!B:B, A6, Sales!K:K)</f>
        <v>1</v>
      </c>
      <c r="F6" s="105">
        <f>SUMIF(Sales!B:B, A6, Sales!D:D)</f>
        <v>1</v>
      </c>
      <c r="G6" s="106">
        <f t="shared" si="1"/>
        <v>0</v>
      </c>
      <c r="I6" s="108">
        <f>SUMIF(Sales!C:C,B6,Sales!I:I)</f>
        <v>200</v>
      </c>
    </row>
    <row r="7" ht="22.5" customHeight="1">
      <c r="A7" s="109" t="s">
        <v>59</v>
      </c>
      <c r="B7" s="109" t="s">
        <v>98</v>
      </c>
      <c r="D7" s="109">
        <v>100.0</v>
      </c>
      <c r="E7" s="105">
        <f>SUMIF(Sales!B:B, A7, Sales!K:K)</f>
        <v>0</v>
      </c>
      <c r="F7" s="105">
        <f>SUMIF(Sales!B:B, A7, Sales!D:D)</f>
        <v>4</v>
      </c>
      <c r="G7" s="106">
        <f t="shared" si="1"/>
        <v>-4</v>
      </c>
      <c r="I7" s="108">
        <f>SUMIF(Sales!C:C,B7,Sales!I:I)</f>
        <v>600</v>
      </c>
    </row>
    <row r="8" ht="22.5" customHeight="1">
      <c r="A8" s="109" t="s">
        <v>29</v>
      </c>
      <c r="B8" s="109" t="s">
        <v>99</v>
      </c>
      <c r="D8" s="109">
        <v>15.0</v>
      </c>
      <c r="E8" s="105">
        <f>SUMIF(Sales!B:B, A8, Sales!K:K)</f>
        <v>11</v>
      </c>
      <c r="F8" s="105">
        <f>SUMIF(Sales!B:B, A8, Sales!D:D)</f>
        <v>30</v>
      </c>
      <c r="G8" s="106">
        <f t="shared" si="1"/>
        <v>-19</v>
      </c>
      <c r="I8" s="108">
        <f>SUMIF(Sales!C:C,B8,Sales!I:I)</f>
        <v>450</v>
      </c>
    </row>
    <row r="9" ht="22.5" customHeight="1">
      <c r="A9" s="104" t="s">
        <v>64</v>
      </c>
      <c r="B9" s="104" t="s">
        <v>100</v>
      </c>
      <c r="C9" s="104"/>
      <c r="D9" s="104">
        <v>20.0</v>
      </c>
      <c r="E9" s="105">
        <f>SUMIF(Sales!B:B, A9, Sales!K:K)</f>
        <v>0</v>
      </c>
      <c r="F9" s="105">
        <f>SUMIF(Sales!B:B, A9, Sales!D:D)</f>
        <v>1</v>
      </c>
      <c r="G9" s="106">
        <f t="shared" si="1"/>
        <v>-1</v>
      </c>
      <c r="H9" s="107"/>
      <c r="I9" s="108">
        <f>SUMIF(Sales!C:C,B9,Sales!I:I)</f>
        <v>120</v>
      </c>
    </row>
    <row r="10" ht="22.5" customHeight="1">
      <c r="A10" s="109" t="s">
        <v>35</v>
      </c>
      <c r="B10" s="109" t="s">
        <v>101</v>
      </c>
      <c r="D10" s="109">
        <v>20.0</v>
      </c>
      <c r="E10" s="105">
        <f>SUMIF(Sales!B:B, A10, Sales!K:K)</f>
        <v>50</v>
      </c>
      <c r="F10" s="105">
        <f>SUMIF(Sales!B:B, A10, Sales!D:D)</f>
        <v>64</v>
      </c>
      <c r="G10" s="106">
        <f t="shared" si="1"/>
        <v>-14</v>
      </c>
      <c r="I10" s="108">
        <f>SUMIF(Sales!C:C,B10,Sales!I:I)</f>
        <v>1500</v>
      </c>
    </row>
    <row r="11" ht="22.5" customHeight="1">
      <c r="A11" s="109" t="s">
        <v>73</v>
      </c>
      <c r="B11" s="109" t="s">
        <v>102</v>
      </c>
      <c r="D11" s="109">
        <v>500.0</v>
      </c>
      <c r="E11" s="105">
        <f>SUMIF(Sales!B:B, A11, Sales!K:K)</f>
        <v>1</v>
      </c>
      <c r="F11" s="105">
        <f>SUMIF(Sales!B:B, A11, Sales!D:D)</f>
        <v>1</v>
      </c>
      <c r="G11" s="106">
        <f t="shared" si="1"/>
        <v>0</v>
      </c>
      <c r="I11" s="108">
        <f>SUMIF(Sales!C:C,B11,Sales!I:I)</f>
        <v>0</v>
      </c>
    </row>
    <row r="12" ht="22.5" customHeight="1">
      <c r="A12" s="104" t="s">
        <v>47</v>
      </c>
      <c r="B12" s="104" t="s">
        <v>103</v>
      </c>
      <c r="C12" s="104"/>
      <c r="D12" s="104">
        <v>300.0</v>
      </c>
      <c r="E12" s="105">
        <f>SUMIF(Sales!B:B, A12, Sales!K:K)</f>
        <v>1</v>
      </c>
      <c r="F12" s="105">
        <f>SUMIF(Sales!B:B, A12, Sales!D:D)</f>
        <v>2</v>
      </c>
      <c r="G12" s="106">
        <f t="shared" si="1"/>
        <v>-1</v>
      </c>
      <c r="H12" s="107"/>
      <c r="I12" s="108">
        <f>SUMIF(Sales!C:C,B12,Sales!I:I)</f>
        <v>300</v>
      </c>
    </row>
    <row r="13" ht="22.5" customHeight="1">
      <c r="A13" s="104" t="s">
        <v>104</v>
      </c>
      <c r="B13" s="104" t="s">
        <v>105</v>
      </c>
      <c r="C13" s="104"/>
      <c r="D13" s="104">
        <v>200.0</v>
      </c>
      <c r="E13" s="105">
        <f>SUMIF(Sales!B:B, A13, Sales!K:K)</f>
        <v>0</v>
      </c>
      <c r="F13" s="105">
        <f>SUMIF(Sales!B:B, A13, Sales!D:D)</f>
        <v>0</v>
      </c>
      <c r="G13" s="106">
        <f t="shared" si="1"/>
        <v>0</v>
      </c>
      <c r="I13" s="108">
        <f>SUMIF(Sales!C:C,B13,Sales!I:I)</f>
        <v>0</v>
      </c>
    </row>
    <row r="14" ht="22.5" customHeight="1">
      <c r="A14" s="109" t="s">
        <v>106</v>
      </c>
      <c r="B14" s="109" t="s">
        <v>107</v>
      </c>
      <c r="D14" s="109">
        <v>5.0</v>
      </c>
      <c r="E14" s="105">
        <f>SUMIF(Sales!B:B, A14, Sales!K:K)</f>
        <v>0</v>
      </c>
      <c r="F14" s="105">
        <f>SUMIF(Sales!B:B, A14, Sales!D:D)</f>
        <v>0</v>
      </c>
      <c r="G14" s="106">
        <f t="shared" si="1"/>
        <v>0</v>
      </c>
      <c r="I14" s="108">
        <f>SUMIF(Sales!C:C,B14,Sales!I:I)</f>
        <v>0</v>
      </c>
    </row>
    <row r="15" ht="22.5" customHeight="1">
      <c r="A15" s="109" t="s">
        <v>52</v>
      </c>
      <c r="B15" s="109" t="s">
        <v>108</v>
      </c>
      <c r="D15" s="109">
        <v>500.0</v>
      </c>
      <c r="E15" s="105">
        <f>SUMIF(Sales!B:B, A15, Sales!K:K)</f>
        <v>2</v>
      </c>
      <c r="F15" s="105">
        <f>SUMIF(Sales!B:B, A15, Sales!D:D)</f>
        <v>2</v>
      </c>
      <c r="G15" s="106">
        <f t="shared" si="1"/>
        <v>0</v>
      </c>
      <c r="I15" s="108">
        <f>SUMIF(Sales!C:C,B15,Sales!I:I)</f>
        <v>500</v>
      </c>
    </row>
    <row r="16" ht="22.5" customHeight="1">
      <c r="A16" s="104" t="s">
        <v>109</v>
      </c>
      <c r="B16" s="104" t="s">
        <v>110</v>
      </c>
      <c r="C16" s="104"/>
      <c r="D16" s="104">
        <v>200.0</v>
      </c>
      <c r="E16" s="105">
        <f>SUMIF(Sales!B:B, A16, Sales!K:K)</f>
        <v>0</v>
      </c>
      <c r="F16" s="105">
        <f>SUMIF(Sales!B:B, A16, Sales!D:D)</f>
        <v>0</v>
      </c>
      <c r="G16" s="106">
        <f t="shared" si="1"/>
        <v>0</v>
      </c>
      <c r="I16" s="108">
        <f>SUMIF(Sales!C:C,B16,Sales!I:I)</f>
        <v>0</v>
      </c>
    </row>
    <row r="17" ht="22.5" customHeight="1">
      <c r="A17" s="104" t="s">
        <v>72</v>
      </c>
      <c r="B17" s="104" t="s">
        <v>111</v>
      </c>
      <c r="C17" s="104"/>
      <c r="D17" s="104">
        <v>30.0</v>
      </c>
      <c r="E17" s="105">
        <f>SUMIF(Sales!B:B, A17, Sales!K:K)</f>
        <v>5</v>
      </c>
      <c r="F17" s="105">
        <f>SUMIF(Sales!B:B, A17, Sales!D:D)</f>
        <v>5</v>
      </c>
      <c r="G17" s="106">
        <f t="shared" si="1"/>
        <v>0</v>
      </c>
      <c r="I17" s="108">
        <f>SUMIF(Sales!C:C,B17,Sales!I:I)</f>
        <v>150</v>
      </c>
    </row>
    <row r="18" ht="22.5" customHeight="1">
      <c r="A18" s="109" t="s">
        <v>40</v>
      </c>
      <c r="B18" s="109" t="s">
        <v>112</v>
      </c>
      <c r="D18" s="109">
        <v>300.0</v>
      </c>
      <c r="E18" s="105">
        <f>SUMIF(Sales!B:B, A18, Sales!K:K)</f>
        <v>2</v>
      </c>
      <c r="F18" s="105">
        <f>SUMIF(Sales!B:B, A18, Sales!D:D)</f>
        <v>2</v>
      </c>
      <c r="G18" s="106">
        <f t="shared" si="1"/>
        <v>0</v>
      </c>
      <c r="I18" s="108">
        <f>SUMIF(Sales!C:C,B18,Sales!I:I)</f>
        <v>300</v>
      </c>
    </row>
    <row r="19" ht="22.5" customHeight="1">
      <c r="A19" s="109" t="s">
        <v>77</v>
      </c>
      <c r="B19" s="109" t="s">
        <v>113</v>
      </c>
      <c r="D19" s="109">
        <v>150.0</v>
      </c>
      <c r="E19" s="105">
        <f>SUMIF(Sales!B:B, A19, Sales!K:K)</f>
        <v>2</v>
      </c>
      <c r="F19" s="105">
        <f>SUMIF(Sales!B:B, A19, Sales!D:D)</f>
        <v>3</v>
      </c>
      <c r="G19" s="106">
        <f t="shared" si="1"/>
        <v>-1</v>
      </c>
      <c r="I19" s="108">
        <f>SUMIF(Sales!C:C,B19,Sales!I:I)</f>
        <v>450</v>
      </c>
    </row>
    <row r="20" ht="22.5" customHeight="1">
      <c r="A20" s="104" t="s">
        <v>114</v>
      </c>
      <c r="B20" s="104" t="s">
        <v>115</v>
      </c>
      <c r="C20" s="104"/>
      <c r="D20" s="104">
        <v>100.0</v>
      </c>
      <c r="E20" s="105">
        <f>SUMIF(Sales!B:B, A20, Sales!K:K)</f>
        <v>0</v>
      </c>
      <c r="F20" s="105">
        <f>SUMIF(Sales!B:B, A20, Sales!D:D)</f>
        <v>0</v>
      </c>
      <c r="G20" s="106">
        <f t="shared" si="1"/>
        <v>0</v>
      </c>
      <c r="H20" s="107"/>
      <c r="I20" s="108">
        <f>SUMIF(Sales!C:C,B20,Sales!I:I)</f>
        <v>0</v>
      </c>
    </row>
    <row r="21" ht="22.5" customHeight="1">
      <c r="A21" s="104" t="s">
        <v>116</v>
      </c>
      <c r="B21" s="104" t="s">
        <v>117</v>
      </c>
      <c r="C21" s="104"/>
      <c r="D21" s="104">
        <v>20.0</v>
      </c>
      <c r="E21" s="105">
        <f>SUMIF(Sales!B:B, A21, Sales!K:K)</f>
        <v>0</v>
      </c>
      <c r="F21" s="105">
        <f>SUMIF(Sales!B:B, A21, Sales!D:D)</f>
        <v>0</v>
      </c>
      <c r="G21" s="106">
        <f t="shared" si="1"/>
        <v>0</v>
      </c>
      <c r="H21" s="107"/>
      <c r="I21" s="108">
        <f>SUMIF(Sales!C:C,B21,Sales!I:I)</f>
        <v>0</v>
      </c>
    </row>
    <row r="22" ht="22.5" customHeight="1">
      <c r="A22" s="104" t="s">
        <v>63</v>
      </c>
      <c r="B22" s="104" t="s">
        <v>118</v>
      </c>
      <c r="C22" s="104"/>
      <c r="D22" s="104">
        <v>100.0</v>
      </c>
      <c r="E22" s="105">
        <f>SUMIF(Sales!B:B, A22, Sales!K:K)</f>
        <v>1</v>
      </c>
      <c r="F22" s="105">
        <f>SUMIF(Sales!B:B, A22, Sales!D:D)</f>
        <v>1</v>
      </c>
      <c r="G22" s="106">
        <f t="shared" si="1"/>
        <v>0</v>
      </c>
      <c r="H22" s="107"/>
      <c r="I22" s="108">
        <f>SUMIF(Sales!C:C,B22,Sales!I:I)</f>
        <v>100</v>
      </c>
    </row>
    <row r="23" ht="22.5" customHeight="1">
      <c r="A23" s="104" t="s">
        <v>119</v>
      </c>
      <c r="B23" s="104" t="s">
        <v>120</v>
      </c>
      <c r="C23" s="104"/>
      <c r="D23" s="104">
        <v>30.0</v>
      </c>
      <c r="E23" s="105">
        <f>SUMIF(Sales!B:B, A23, Sales!K:K)</f>
        <v>0</v>
      </c>
      <c r="F23" s="105">
        <f>SUMIF(Sales!B:B, A23, Sales!D:D)</f>
        <v>0</v>
      </c>
      <c r="G23" s="106">
        <f t="shared" si="1"/>
        <v>0</v>
      </c>
      <c r="I23" s="108">
        <f>SUMIF(Sales!C:C,B23,Sales!I:I)</f>
        <v>0</v>
      </c>
    </row>
    <row r="24" ht="22.5" customHeight="1">
      <c r="A24" s="104" t="s">
        <v>69</v>
      </c>
      <c r="B24" s="104" t="s">
        <v>121</v>
      </c>
      <c r="C24" s="104"/>
      <c r="D24" s="104">
        <v>10.0</v>
      </c>
      <c r="E24" s="105">
        <f>SUMIF(Sales!B:B, A24, Sales!K:K)</f>
        <v>9</v>
      </c>
      <c r="F24" s="105">
        <f>SUMIF(Sales!B:B, A24, Sales!D:D)</f>
        <v>16</v>
      </c>
      <c r="G24" s="106">
        <f t="shared" si="1"/>
        <v>-7</v>
      </c>
      <c r="I24" s="108">
        <f>SUMIF(Sales!C:C,B24,Sales!I:I)</f>
        <v>240</v>
      </c>
    </row>
    <row r="25" ht="22.5" customHeight="1">
      <c r="A25" s="109" t="s">
        <v>122</v>
      </c>
      <c r="B25" s="109" t="s">
        <v>123</v>
      </c>
      <c r="D25" s="109">
        <v>25.0</v>
      </c>
      <c r="E25" s="105">
        <f>SUMIF(Sales!B:B, A25, Sales!K:K)</f>
        <v>0</v>
      </c>
      <c r="F25" s="105">
        <f>SUMIF(Sales!B:B, A25, Sales!D:D)</f>
        <v>0</v>
      </c>
      <c r="G25" s="106">
        <f t="shared" si="1"/>
        <v>0</v>
      </c>
      <c r="I25" s="108">
        <f>SUMIF(Sales!C:C,B25,Sales!I:I)</f>
        <v>0</v>
      </c>
    </row>
    <row r="26" ht="22.5" customHeight="1">
      <c r="A26" s="109" t="s">
        <v>50</v>
      </c>
      <c r="B26" s="109" t="s">
        <v>124</v>
      </c>
      <c r="D26" s="109">
        <v>10.0</v>
      </c>
      <c r="E26" s="105">
        <f>SUMIF(Sales!B:B, A26, Sales!K:K)</f>
        <v>1</v>
      </c>
      <c r="F26" s="105">
        <f>SUMIF(Sales!B:B, A26, Sales!D:D)</f>
        <v>10</v>
      </c>
      <c r="G26" s="106">
        <f t="shared" si="1"/>
        <v>-9</v>
      </c>
      <c r="I26" s="108">
        <f>SUMIF(Sales!C:C,B26,Sales!I:I)</f>
        <v>100</v>
      </c>
    </row>
    <row r="27" ht="22.5" customHeight="1">
      <c r="A27" s="109" t="s">
        <v>54</v>
      </c>
      <c r="B27" s="109" t="s">
        <v>127</v>
      </c>
      <c r="D27" s="109">
        <v>700.0</v>
      </c>
      <c r="E27" s="105">
        <f>SUMIF(Sales!B:B, A27, Sales!K:K)</f>
        <v>1</v>
      </c>
      <c r="F27" s="105">
        <f>SUMIF(Sales!B:B, A27, Sales!D:D)</f>
        <v>1</v>
      </c>
      <c r="G27" s="106">
        <f t="shared" si="1"/>
        <v>0</v>
      </c>
      <c r="I27" s="108">
        <f>SUMIF(Sales!C:C,B27,Sales!I:I)</f>
        <v>700</v>
      </c>
    </row>
    <row r="28" ht="22.5" customHeight="1">
      <c r="A28" s="109" t="s">
        <v>136</v>
      </c>
      <c r="B28" s="109" t="s">
        <v>138</v>
      </c>
      <c r="D28" s="109">
        <v>30.0</v>
      </c>
      <c r="E28" s="105">
        <f>SUMIF(Sales!B:B, A28, Sales!K:K)</f>
        <v>0</v>
      </c>
      <c r="F28" s="105">
        <f>SUMIF(Sales!B:B, A28, Sales!D:D)</f>
        <v>0</v>
      </c>
      <c r="G28" s="106">
        <f t="shared" si="1"/>
        <v>0</v>
      </c>
      <c r="I28" s="108">
        <f>SUMIF(Sales!C:C,B28,Sales!I:I)</f>
        <v>0</v>
      </c>
    </row>
    <row r="29" ht="22.5" customHeight="1">
      <c r="A29" s="109" t="s">
        <v>139</v>
      </c>
      <c r="B29" s="109" t="s">
        <v>140</v>
      </c>
      <c r="D29" s="109">
        <v>5.0</v>
      </c>
      <c r="E29" s="105">
        <f>SUMIF(Sales!B:B, A29, Sales!K:K)</f>
        <v>0</v>
      </c>
      <c r="F29" s="105">
        <f>SUMIF(Sales!B:B, A29, Sales!D:D)</f>
        <v>0</v>
      </c>
      <c r="G29" s="106">
        <f t="shared" si="1"/>
        <v>0</v>
      </c>
      <c r="I29" s="108">
        <f>SUMIF(Sales!C:C,B29,Sales!I:I)</f>
        <v>0</v>
      </c>
    </row>
    <row r="30" ht="22.5" customHeight="1">
      <c r="A30" s="109" t="s">
        <v>142</v>
      </c>
      <c r="B30" s="109" t="s">
        <v>143</v>
      </c>
      <c r="D30" s="109">
        <v>10.0</v>
      </c>
      <c r="E30" s="105">
        <f>SUMIF(Sales!B:B, A30, Sales!K:K)</f>
        <v>0</v>
      </c>
      <c r="F30" s="105">
        <f>SUMIF(Sales!B:B, A30, Sales!D:D)</f>
        <v>0</v>
      </c>
      <c r="G30" s="106">
        <f t="shared" si="1"/>
        <v>0</v>
      </c>
      <c r="I30" s="108">
        <f>SUMIF(Sales!C:C,B30,Sales!I:I)</f>
        <v>0</v>
      </c>
    </row>
    <row r="31" ht="22.5" customHeight="1">
      <c r="A31" s="109" t="s">
        <v>147</v>
      </c>
      <c r="B31" s="109" t="s">
        <v>148</v>
      </c>
      <c r="D31" s="109">
        <v>10.0</v>
      </c>
      <c r="E31" s="105">
        <f>SUMIF(Sales!B:B, A31, Sales!K:K)</f>
        <v>0</v>
      </c>
      <c r="F31" s="105">
        <f>SUMIF(Sales!B:B, A31, Sales!D:D)</f>
        <v>0</v>
      </c>
      <c r="G31" s="106">
        <f t="shared" si="1"/>
        <v>0</v>
      </c>
      <c r="I31" s="108">
        <f>SUMIF(Sales!C:C,B31,Sales!I:I)</f>
        <v>0</v>
      </c>
    </row>
    <row r="32" ht="22.5" customHeight="1">
      <c r="A32" s="109" t="s">
        <v>151</v>
      </c>
      <c r="B32" s="109" t="s">
        <v>152</v>
      </c>
      <c r="D32" s="109">
        <v>30.0</v>
      </c>
      <c r="E32" s="105">
        <f>SUMIF(Sales!B:B, A32, Sales!K:K)</f>
        <v>0</v>
      </c>
      <c r="F32" s="105">
        <f>SUMIF(Sales!B:B, A32, Sales!D:D)</f>
        <v>0</v>
      </c>
      <c r="G32" s="106">
        <f t="shared" si="1"/>
        <v>0</v>
      </c>
      <c r="I32" s="108">
        <f>SUMIF(Sales!C:C,B32,Sales!I:I)</f>
        <v>0</v>
      </c>
    </row>
    <row r="33" ht="22.5" customHeight="1">
      <c r="A33" s="109" t="s">
        <v>154</v>
      </c>
      <c r="B33" s="109" t="s">
        <v>156</v>
      </c>
      <c r="D33" s="109">
        <v>200.0</v>
      </c>
      <c r="E33" s="105">
        <f>SUMIF(Sales!B:B, A33, Sales!K:K)</f>
        <v>0</v>
      </c>
      <c r="F33" s="105">
        <f>SUMIF(Sales!B:B, A33, Sales!D:D)</f>
        <v>0</v>
      </c>
      <c r="G33" s="106">
        <f t="shared" si="1"/>
        <v>0</v>
      </c>
      <c r="I33" s="108">
        <f>SUMIF(Sales!C:C,B33,Sales!I:I)</f>
        <v>0</v>
      </c>
    </row>
    <row r="34" ht="22.5" customHeight="1">
      <c r="A34" s="109" t="s">
        <v>157</v>
      </c>
      <c r="B34" s="109" t="s">
        <v>158</v>
      </c>
      <c r="D34" s="109">
        <v>400.0</v>
      </c>
      <c r="E34" s="105">
        <f>SUMIF(Sales!B:B, A34, Sales!K:K)</f>
        <v>0</v>
      </c>
      <c r="F34" s="105">
        <f>SUMIF(Sales!B:B, A34, Sales!D:D)</f>
        <v>0</v>
      </c>
      <c r="G34" s="106">
        <f t="shared" si="1"/>
        <v>0</v>
      </c>
      <c r="I34" s="108">
        <f>SUMIF(Sales!C:C,B34,Sales!I:I)</f>
        <v>0</v>
      </c>
    </row>
    <row r="35" ht="22.5" customHeight="1">
      <c r="A35" s="109" t="s">
        <v>162</v>
      </c>
      <c r="B35" s="109" t="s">
        <v>163</v>
      </c>
      <c r="D35" s="109">
        <v>200.0</v>
      </c>
      <c r="E35" s="105">
        <f>SUMIF(Sales!B:B, A35, Sales!K:K)</f>
        <v>0</v>
      </c>
      <c r="F35" s="105">
        <f>SUMIF(Sales!B:B, A35, Sales!D:D)</f>
        <v>0</v>
      </c>
      <c r="G35" s="106">
        <f t="shared" si="1"/>
        <v>0</v>
      </c>
      <c r="I35" s="108">
        <f>SUMIF(Sales!C:C,B35,Sales!I:I)</f>
        <v>0</v>
      </c>
    </row>
    <row r="36" ht="22.5" customHeight="1">
      <c r="A36" s="109" t="s">
        <v>32</v>
      </c>
      <c r="B36" s="109" t="s">
        <v>168</v>
      </c>
      <c r="D36" s="109">
        <v>200.0</v>
      </c>
      <c r="E36" s="105">
        <f>SUMIF(Sales!B:B, A36, Sales!K:K)</f>
        <v>1</v>
      </c>
      <c r="F36" s="105">
        <f>SUMIF(Sales!B:B, A36, Sales!D:D)</f>
        <v>1</v>
      </c>
      <c r="G36" s="106">
        <f t="shared" si="1"/>
        <v>0</v>
      </c>
      <c r="I36" s="108">
        <f>SUMIF(Sales!C:C,B36,Sales!I:I)</f>
        <v>800</v>
      </c>
    </row>
    <row r="37" ht="22.5" customHeight="1">
      <c r="A37" s="109" t="s">
        <v>172</v>
      </c>
      <c r="B37" s="109" t="s">
        <v>173</v>
      </c>
      <c r="D37" s="109">
        <v>500.0</v>
      </c>
      <c r="E37" s="105">
        <f>SUMIF(Sales!B:B, A37, Sales!K:K)</f>
        <v>0</v>
      </c>
      <c r="F37" s="105">
        <f>SUMIF(Sales!B:B, A37, Sales!D:D)</f>
        <v>0</v>
      </c>
      <c r="G37" s="106">
        <f t="shared" si="1"/>
        <v>0</v>
      </c>
      <c r="I37" s="108">
        <f>SUMIF(Sales!C:C,B37,Sales!I:I)</f>
        <v>0</v>
      </c>
    </row>
    <row r="38" ht="22.5" customHeight="1">
      <c r="A38" s="104" t="s">
        <v>174</v>
      </c>
      <c r="B38" s="104" t="s">
        <v>152</v>
      </c>
      <c r="C38" s="104"/>
      <c r="D38" s="104">
        <v>40.0</v>
      </c>
      <c r="E38" s="105">
        <f>SUMIF(Sales!B:B, A38, Sales!K:K)</f>
        <v>0</v>
      </c>
      <c r="F38" s="105">
        <f>SUMIF(Sales!B:B, A38, Sales!D:D)</f>
        <v>0</v>
      </c>
      <c r="G38" s="106">
        <f t="shared" si="1"/>
        <v>0</v>
      </c>
      <c r="I38" s="108">
        <f>SUMIF(Sales!C:C,B38,Sales!I:I)</f>
        <v>0</v>
      </c>
    </row>
    <row r="39" ht="22.5" customHeight="1">
      <c r="A39" s="104" t="s">
        <v>57</v>
      </c>
      <c r="B39" s="104" t="s">
        <v>181</v>
      </c>
      <c r="C39" s="104"/>
      <c r="D39" s="104">
        <v>50.0</v>
      </c>
      <c r="E39" s="105">
        <f>SUMIF(Sales!B:B, A39, Sales!K:K)</f>
        <v>1</v>
      </c>
      <c r="F39" s="105">
        <f>SUMIF(Sales!B:B, A39, Sales!D:D)</f>
        <v>5</v>
      </c>
      <c r="G39" s="106">
        <f t="shared" si="1"/>
        <v>-4</v>
      </c>
      <c r="I39" s="108">
        <f>SUMIF(Sales!C:C,B39,Sales!I:I)</f>
        <v>250</v>
      </c>
    </row>
    <row r="40" ht="22.5" customHeight="1">
      <c r="A40" s="104" t="s">
        <v>186</v>
      </c>
      <c r="B40" s="104" t="s">
        <v>36</v>
      </c>
      <c r="C40" s="104"/>
      <c r="D40" s="104">
        <v>0.0</v>
      </c>
      <c r="E40" s="105">
        <f>SUMIF(Sales!B:B, A40, Sales!K:K)</f>
        <v>0</v>
      </c>
      <c r="F40" s="105">
        <f>SUMIF(Sales!B:B, A40, Sales!D:D)</f>
        <v>0</v>
      </c>
      <c r="G40" s="106">
        <f t="shared" si="1"/>
        <v>0</v>
      </c>
      <c r="I40" s="108">
        <f>SUMIF(Sales!C:C,B40,Sales!I:I)</f>
        <v>0</v>
      </c>
    </row>
    <row r="41" ht="22.5" customHeight="1">
      <c r="A41" s="104" t="s">
        <v>192</v>
      </c>
      <c r="B41" s="104" t="s">
        <v>143</v>
      </c>
      <c r="C41" s="104"/>
      <c r="D41" s="104">
        <v>10.0</v>
      </c>
      <c r="E41" s="105">
        <f>SUMIF(Sales!B:B, A41, Sales!K:K)</f>
        <v>0</v>
      </c>
      <c r="F41" s="105">
        <f>SUMIF(Sales!B:B, A41, Sales!D:D)</f>
        <v>0</v>
      </c>
      <c r="G41" s="106">
        <f t="shared" si="1"/>
        <v>0</v>
      </c>
      <c r="I41" s="108">
        <f>SUMIF(Sales!C:C,B41,Sales!I:I)</f>
        <v>0</v>
      </c>
    </row>
    <row r="42" ht="22.5" customHeight="1">
      <c r="A42" s="104" t="s">
        <v>67</v>
      </c>
      <c r="B42" s="104" t="s">
        <v>196</v>
      </c>
      <c r="C42" s="104"/>
      <c r="D42" s="104">
        <v>30.0</v>
      </c>
      <c r="E42" s="105">
        <f>SUMIF(Sales!B:B, A42, Sales!K:K)</f>
        <v>1</v>
      </c>
      <c r="F42" s="105">
        <f>SUMIF(Sales!B:B, A42, Sales!D:D)</f>
        <v>2</v>
      </c>
      <c r="G42" s="106">
        <f t="shared" si="1"/>
        <v>-1</v>
      </c>
      <c r="I42" s="108">
        <f>SUMIF(Sales!C:C,B42,Sales!I:I)</f>
        <v>100</v>
      </c>
    </row>
    <row r="43" ht="22.5" customHeight="1">
      <c r="A43" s="104" t="s">
        <v>200</v>
      </c>
      <c r="B43" s="104" t="s">
        <v>201</v>
      </c>
      <c r="C43" s="104"/>
      <c r="D43" s="104">
        <v>100.0</v>
      </c>
      <c r="E43" s="105">
        <f>SUMIF(Sales!B:B, A43, Sales!K:K)</f>
        <v>0</v>
      </c>
      <c r="F43" s="105">
        <f>SUMIF(Sales!B:B, A43, Sales!D:D)</f>
        <v>0</v>
      </c>
      <c r="G43" s="106">
        <f t="shared" si="1"/>
        <v>0</v>
      </c>
      <c r="I43" s="108">
        <f>SUMIF(Sales!C:C,B43,Sales!I:I)</f>
        <v>0</v>
      </c>
    </row>
    <row r="44" ht="22.5" customHeight="1">
      <c r="A44" s="104" t="s">
        <v>38</v>
      </c>
      <c r="B44" s="104" t="s">
        <v>204</v>
      </c>
      <c r="C44" s="104"/>
      <c r="D44" s="104">
        <v>1.0</v>
      </c>
      <c r="E44" s="105">
        <f>SUMIF(Sales!B:B, A44, Sales!K:K)</f>
        <v>201</v>
      </c>
      <c r="F44" s="105">
        <f>SUMIF(Sales!B:B, A44, Sales!D:D)</f>
        <v>250</v>
      </c>
      <c r="G44" s="106">
        <f t="shared" si="1"/>
        <v>-49</v>
      </c>
      <c r="I44" s="108">
        <f>SUMIF(Sales!C:C,B44,Sales!I:I)</f>
        <v>790</v>
      </c>
    </row>
    <row r="45" ht="22.5" customHeight="1">
      <c r="A45" s="104" t="s">
        <v>207</v>
      </c>
      <c r="B45" s="104" t="s">
        <v>208</v>
      </c>
      <c r="C45" s="104"/>
      <c r="D45" s="104">
        <v>300.0</v>
      </c>
      <c r="E45" s="105">
        <f>SUMIF(Sales!B:B, A45, Sales!K:K)</f>
        <v>0</v>
      </c>
      <c r="F45" s="105">
        <f>SUMIF(Sales!B:B, A45, Sales!D:D)</f>
        <v>0</v>
      </c>
      <c r="G45" s="106">
        <f t="shared" si="1"/>
        <v>0</v>
      </c>
      <c r="I45" s="108">
        <f>SUMIF(Sales!C:C,B45,Sales!I:I)</f>
        <v>0</v>
      </c>
    </row>
    <row r="46" ht="22.5" customHeight="1">
      <c r="A46" s="104" t="s">
        <v>210</v>
      </c>
      <c r="B46" s="104" t="s">
        <v>211</v>
      </c>
      <c r="C46" s="104"/>
      <c r="D46" s="104">
        <v>100.0</v>
      </c>
      <c r="E46" s="105">
        <f>SUMIF(Sales!B:B, A46, Sales!K:K)</f>
        <v>0</v>
      </c>
      <c r="F46" s="105">
        <f>SUMIF(Sales!B:B, A46, Sales!D:D)</f>
        <v>0</v>
      </c>
      <c r="G46" s="106">
        <f t="shared" si="1"/>
        <v>0</v>
      </c>
      <c r="H46" s="107"/>
      <c r="I46" s="108">
        <f>SUMIF(Sales!C:C,B46,Sales!I:I)</f>
        <v>0</v>
      </c>
    </row>
    <row r="47" ht="22.5" customHeight="1">
      <c r="A47" s="104" t="s">
        <v>213</v>
      </c>
      <c r="B47" s="104" t="s">
        <v>214</v>
      </c>
      <c r="C47" s="104"/>
      <c r="D47" s="104">
        <v>100.0</v>
      </c>
      <c r="E47" s="105">
        <f>SUMIF(Sales!B:B, A47, Sales!K:K)</f>
        <v>0</v>
      </c>
      <c r="F47" s="105">
        <f>SUMIF(Sales!B:B, A47, Sales!D:D)</f>
        <v>0</v>
      </c>
      <c r="G47" s="106">
        <f t="shared" si="1"/>
        <v>0</v>
      </c>
      <c r="H47" s="107"/>
      <c r="I47" s="108">
        <f>SUMIF(Sales!C:C,B47,Sales!I:I)</f>
        <v>0</v>
      </c>
    </row>
    <row r="48" ht="22.5" customHeight="1">
      <c r="A48" s="104" t="s">
        <v>217</v>
      </c>
      <c r="B48" s="104" t="s">
        <v>218</v>
      </c>
      <c r="C48" s="104"/>
      <c r="D48" s="104">
        <v>300.0</v>
      </c>
      <c r="E48" s="105">
        <f>SUMIF(Sales!B:B, A48, Sales!K:K)</f>
        <v>0</v>
      </c>
      <c r="F48" s="105">
        <f>SUMIF(Sales!B:B, A48, Sales!D:D)</f>
        <v>0</v>
      </c>
      <c r="G48" s="106">
        <f t="shared" si="1"/>
        <v>0</v>
      </c>
      <c r="H48" s="107"/>
      <c r="I48" s="108">
        <f>SUMIF(Sales!C:C,B48,Sales!I:I)</f>
        <v>0</v>
      </c>
    </row>
    <row r="49" ht="22.5" customHeight="1">
      <c r="A49" s="104" t="s">
        <v>223</v>
      </c>
      <c r="B49" s="104" t="s">
        <v>225</v>
      </c>
      <c r="C49" s="104"/>
      <c r="D49" s="104">
        <v>30.0</v>
      </c>
      <c r="E49" s="105">
        <f>SUMIF(Sales!B:B, A49, Sales!K:K)</f>
        <v>0</v>
      </c>
      <c r="F49" s="105">
        <f>SUMIF(Sales!B:B, A49, Sales!D:D)</f>
        <v>0</v>
      </c>
      <c r="G49" s="106">
        <f t="shared" si="1"/>
        <v>0</v>
      </c>
      <c r="H49" s="107"/>
      <c r="I49" s="108">
        <f>SUMIF(Sales!C:C,B49,Sales!I:I)</f>
        <v>0</v>
      </c>
    </row>
    <row r="50" ht="22.5" customHeight="1">
      <c r="A50" s="104" t="s">
        <v>70</v>
      </c>
      <c r="B50" s="104" t="s">
        <v>228</v>
      </c>
      <c r="C50" s="104"/>
      <c r="D50" s="104">
        <v>50.0</v>
      </c>
      <c r="E50" s="105">
        <f>SUMIF(Sales!B:B, A50, Sales!K:K)</f>
        <v>2</v>
      </c>
      <c r="F50" s="105">
        <f>SUMIF(Sales!B:B, A50, Sales!D:D)</f>
        <v>2</v>
      </c>
      <c r="G50" s="106">
        <f t="shared" si="1"/>
        <v>0</v>
      </c>
      <c r="H50" s="107"/>
      <c r="I50" s="108">
        <f>SUMIF(Sales!C:C,B50,Sales!I:I)</f>
        <v>50</v>
      </c>
    </row>
    <row r="51" ht="22.5" customHeight="1">
      <c r="A51" s="104" t="s">
        <v>230</v>
      </c>
      <c r="B51" s="104" t="s">
        <v>230</v>
      </c>
      <c r="C51" s="104"/>
      <c r="D51" s="104">
        <v>10.0</v>
      </c>
      <c r="E51" s="105">
        <f>SUMIF(Sales!B:B, A51, Sales!K:K)</f>
        <v>0</v>
      </c>
      <c r="F51" s="105">
        <f>SUMIF(Sales!B:B, A51, Sales!D:D)</f>
        <v>0</v>
      </c>
      <c r="G51" s="106">
        <f t="shared" si="1"/>
        <v>0</v>
      </c>
      <c r="H51" s="107"/>
      <c r="I51" s="108">
        <f>SUMIF(Sales!C:C,B51,Sales!I:I)</f>
        <v>0</v>
      </c>
    </row>
    <row r="52" ht="22.5" customHeight="1">
      <c r="A52" s="104" t="s">
        <v>233</v>
      </c>
      <c r="B52" s="104" t="s">
        <v>233</v>
      </c>
      <c r="C52" s="104"/>
      <c r="D52" s="104">
        <v>0.0</v>
      </c>
      <c r="E52" s="105">
        <f>SUMIF(Sales!B:B, A52, Sales!K:K)</f>
        <v>0</v>
      </c>
      <c r="F52" s="105">
        <f>SUMIF(Sales!B:B, A52, Sales!D:D)</f>
        <v>0</v>
      </c>
      <c r="G52" s="106">
        <f t="shared" si="1"/>
        <v>0</v>
      </c>
      <c r="H52" s="107"/>
      <c r="I52" s="108">
        <f>SUMIF(Sales!C:C,B52,Sales!I:I)</f>
        <v>0</v>
      </c>
    </row>
    <row r="53" ht="22.5" customHeight="1">
      <c r="A53" s="104" t="s">
        <v>61</v>
      </c>
      <c r="B53" s="104" t="s">
        <v>237</v>
      </c>
      <c r="C53" s="104"/>
      <c r="D53" s="104">
        <v>30.0</v>
      </c>
      <c r="E53" s="121">
        <f>SUMIF(Sales!B:B, A53, Sales!K:K)</f>
        <v>10</v>
      </c>
      <c r="F53" s="121">
        <f>SUMIF(Sales!B:B, A53, Sales!D:D)</f>
        <v>11</v>
      </c>
      <c r="G53" s="107">
        <f t="shared" si="1"/>
        <v>-1</v>
      </c>
      <c r="H53" s="107"/>
      <c r="I53" s="108">
        <f>SUMIF(Sales!C:C,B53,Sales!I:I)</f>
        <v>5000</v>
      </c>
    </row>
    <row r="54" ht="22.5" customHeight="1">
      <c r="A54" s="104" t="s">
        <v>240</v>
      </c>
      <c r="B54" s="104" t="s">
        <v>242</v>
      </c>
      <c r="C54" s="104"/>
      <c r="D54" s="104">
        <v>0.0</v>
      </c>
      <c r="E54" s="121">
        <f>SUMIF(Sales!B:B, A54, Sales!K:K)</f>
        <v>0</v>
      </c>
      <c r="F54" s="121">
        <f>SUMIF(Sales!B:B, A54, Sales!D:D)</f>
        <v>0</v>
      </c>
      <c r="G54" s="107">
        <f t="shared" si="1"/>
        <v>0</v>
      </c>
      <c r="H54" s="107"/>
      <c r="I54" s="108">
        <f>SUMIF(Sales!C:C,B54,Sales!I:I)</f>
        <v>0</v>
      </c>
    </row>
    <row r="55" ht="22.5" customHeight="1">
      <c r="A55" s="104" t="s">
        <v>245</v>
      </c>
      <c r="B55" s="104" t="s">
        <v>246</v>
      </c>
      <c r="C55" s="104"/>
      <c r="D55" s="104">
        <v>50.0</v>
      </c>
      <c r="E55" s="121">
        <f>SUMIF(Sales!B:B, A55, Sales!K:K)</f>
        <v>0</v>
      </c>
      <c r="F55" s="121">
        <f>SUMIF(Sales!B:B, A55, Sales!D:D)</f>
        <v>0</v>
      </c>
      <c r="G55" s="107">
        <f t="shared" si="1"/>
        <v>0</v>
      </c>
      <c r="H55" s="107"/>
      <c r="I55" s="122">
        <f>SUMIF(Sales!C:C,B55,Sales!I:I)</f>
        <v>0</v>
      </c>
    </row>
    <row r="56" ht="22.5" customHeight="1">
      <c r="A56" s="104" t="s">
        <v>247</v>
      </c>
      <c r="B56" s="104" t="s">
        <v>208</v>
      </c>
      <c r="C56" s="104"/>
      <c r="D56" s="104">
        <v>300.0</v>
      </c>
      <c r="E56" s="121">
        <f>SUMIF(Sales!B:B, A56, Sales!K:K)</f>
        <v>0</v>
      </c>
      <c r="F56" s="121">
        <f>SUMIF(Sales!B:B, A56, Sales!D:D)</f>
        <v>0</v>
      </c>
      <c r="G56" s="107">
        <f t="shared" si="1"/>
        <v>0</v>
      </c>
      <c r="H56" s="107"/>
      <c r="I56" s="122">
        <f>SUMIF(Sales!C:C,B56,Sales!I:I)</f>
        <v>0</v>
      </c>
    </row>
    <row r="57">
      <c r="I57" s="2"/>
    </row>
    <row r="58">
      <c r="I58" s="2"/>
    </row>
    <row r="59">
      <c r="I59" s="2"/>
    </row>
    <row r="60">
      <c r="I60" s="2"/>
    </row>
    <row r="61">
      <c r="I61" s="2"/>
    </row>
    <row r="62">
      <c r="I62" s="2"/>
    </row>
    <row r="63">
      <c r="I63" s="2"/>
    </row>
    <row r="64">
      <c r="I64" s="2"/>
    </row>
    <row r="65">
      <c r="I65" s="2"/>
    </row>
    <row r="66">
      <c r="I66" s="2"/>
    </row>
    <row r="67">
      <c r="I67" s="2"/>
    </row>
    <row r="68">
      <c r="I68" s="2"/>
    </row>
    <row r="69">
      <c r="I69" s="2"/>
    </row>
    <row r="70">
      <c r="I70" s="2"/>
    </row>
    <row r="71">
      <c r="I71" s="2"/>
    </row>
    <row r="72">
      <c r="I72" s="2"/>
    </row>
    <row r="73">
      <c r="I73" s="2"/>
    </row>
    <row r="74">
      <c r="I74" s="2"/>
    </row>
    <row r="75">
      <c r="I75" s="2"/>
    </row>
    <row r="76">
      <c r="I76" s="2"/>
    </row>
    <row r="77">
      <c r="I77" s="2"/>
    </row>
    <row r="78">
      <c r="I78" s="2"/>
    </row>
    <row r="79">
      <c r="I79" s="2"/>
    </row>
    <row r="80">
      <c r="I80" s="2"/>
    </row>
    <row r="81">
      <c r="I81" s="2"/>
    </row>
    <row r="82">
      <c r="I82" s="2"/>
    </row>
    <row r="83">
      <c r="I83" s="2"/>
    </row>
    <row r="84">
      <c r="I84" s="2"/>
    </row>
    <row r="85">
      <c r="I85" s="2"/>
    </row>
    <row r="86">
      <c r="I86" s="2"/>
    </row>
    <row r="87">
      <c r="I87" s="2"/>
    </row>
    <row r="88">
      <c r="I88" s="2"/>
    </row>
    <row r="89">
      <c r="I89" s="2"/>
    </row>
    <row r="90">
      <c r="I90" s="2"/>
    </row>
    <row r="91">
      <c r="I91" s="2"/>
    </row>
    <row r="92">
      <c r="I92" s="2"/>
    </row>
    <row r="93">
      <c r="I93" s="2"/>
    </row>
    <row r="94">
      <c r="I94" s="2"/>
    </row>
    <row r="95">
      <c r="I95" s="2"/>
    </row>
    <row r="96">
      <c r="I96" s="2"/>
    </row>
    <row r="97">
      <c r="I97" s="2"/>
    </row>
    <row r="98">
      <c r="I98" s="2"/>
    </row>
    <row r="99">
      <c r="I99" s="2"/>
    </row>
    <row r="100">
      <c r="I100" s="2"/>
    </row>
    <row r="101">
      <c r="I101" s="2"/>
    </row>
    <row r="102">
      <c r="I102" s="2"/>
    </row>
    <row r="103">
      <c r="I103" s="2"/>
    </row>
    <row r="104">
      <c r="I104" s="2"/>
    </row>
    <row r="105">
      <c r="I105" s="2"/>
    </row>
    <row r="106">
      <c r="I106" s="2"/>
    </row>
    <row r="107">
      <c r="I107" s="2"/>
    </row>
    <row r="108">
      <c r="I108" s="2"/>
    </row>
    <row r="109">
      <c r="I109" s="2"/>
    </row>
    <row r="110">
      <c r="I110" s="2"/>
    </row>
    <row r="111">
      <c r="I111" s="2"/>
    </row>
    <row r="112">
      <c r="I112" s="2"/>
    </row>
    <row r="113">
      <c r="I113" s="2"/>
    </row>
    <row r="114">
      <c r="I114" s="2"/>
    </row>
    <row r="115">
      <c r="I115" s="2"/>
    </row>
    <row r="116">
      <c r="I116" s="2"/>
    </row>
    <row r="117">
      <c r="I117" s="2"/>
    </row>
    <row r="118">
      <c r="I118" s="2"/>
    </row>
    <row r="119">
      <c r="I119" s="2"/>
    </row>
    <row r="120">
      <c r="I120" s="2"/>
    </row>
    <row r="121">
      <c r="I121" s="2"/>
    </row>
    <row r="122">
      <c r="I122" s="2"/>
    </row>
    <row r="123">
      <c r="I123" s="2"/>
    </row>
    <row r="124">
      <c r="I124" s="2"/>
    </row>
    <row r="125">
      <c r="I125" s="2"/>
    </row>
    <row r="126">
      <c r="I126" s="2"/>
    </row>
    <row r="127">
      <c r="I127" s="2"/>
    </row>
    <row r="128">
      <c r="I128" s="2"/>
    </row>
    <row r="129">
      <c r="I129" s="2"/>
    </row>
    <row r="130">
      <c r="I130" s="2"/>
    </row>
    <row r="131">
      <c r="I131" s="2"/>
    </row>
    <row r="132">
      <c r="I132" s="2"/>
    </row>
    <row r="133">
      <c r="I133" s="2"/>
    </row>
    <row r="134">
      <c r="I134" s="2"/>
    </row>
    <row r="135">
      <c r="I135" s="2"/>
    </row>
    <row r="136">
      <c r="I136" s="2"/>
    </row>
    <row r="137">
      <c r="I137" s="2"/>
    </row>
    <row r="138">
      <c r="I138" s="2"/>
    </row>
    <row r="139">
      <c r="I139" s="2"/>
    </row>
    <row r="140">
      <c r="I140" s="2"/>
    </row>
    <row r="141">
      <c r="I141" s="2"/>
    </row>
    <row r="142">
      <c r="I142" s="2"/>
    </row>
    <row r="143">
      <c r="I143" s="2"/>
    </row>
    <row r="144">
      <c r="I144" s="2"/>
    </row>
    <row r="145">
      <c r="I145" s="2"/>
    </row>
    <row r="146">
      <c r="I146" s="2"/>
    </row>
    <row r="147">
      <c r="I147" s="2"/>
    </row>
    <row r="148">
      <c r="I148" s="2"/>
    </row>
    <row r="149">
      <c r="I149" s="2"/>
    </row>
    <row r="150">
      <c r="I150" s="2"/>
    </row>
    <row r="151">
      <c r="I151" s="2"/>
    </row>
    <row r="152">
      <c r="I152" s="2"/>
    </row>
    <row r="153">
      <c r="I153" s="2"/>
    </row>
    <row r="154">
      <c r="I154" s="2"/>
    </row>
    <row r="155">
      <c r="I155" s="2"/>
    </row>
    <row r="156">
      <c r="I156" s="2"/>
    </row>
    <row r="157">
      <c r="I157" s="2"/>
    </row>
    <row r="158">
      <c r="I158" s="2"/>
    </row>
    <row r="159">
      <c r="I159" s="2"/>
    </row>
    <row r="160">
      <c r="I160" s="2"/>
    </row>
    <row r="161">
      <c r="I161" s="2"/>
    </row>
    <row r="162">
      <c r="I162" s="2"/>
    </row>
    <row r="163">
      <c r="I163" s="2"/>
    </row>
    <row r="164">
      <c r="I164" s="2"/>
    </row>
    <row r="165">
      <c r="I165" s="2"/>
    </row>
    <row r="166">
      <c r="I166" s="2"/>
    </row>
    <row r="167">
      <c r="I167" s="2"/>
    </row>
    <row r="168">
      <c r="I168" s="2"/>
    </row>
    <row r="169">
      <c r="I169" s="2"/>
    </row>
    <row r="170">
      <c r="I170" s="2"/>
    </row>
    <row r="171">
      <c r="I171" s="2"/>
    </row>
    <row r="172">
      <c r="I172" s="2"/>
    </row>
    <row r="173">
      <c r="I173" s="2"/>
    </row>
    <row r="174">
      <c r="I174" s="2"/>
    </row>
    <row r="175">
      <c r="I175" s="2"/>
    </row>
    <row r="176">
      <c r="I176" s="2"/>
    </row>
    <row r="177">
      <c r="I177" s="2"/>
    </row>
    <row r="178">
      <c r="I178" s="2"/>
    </row>
    <row r="179">
      <c r="I179" s="2"/>
    </row>
    <row r="180">
      <c r="I180" s="2"/>
    </row>
    <row r="181">
      <c r="I181" s="2"/>
    </row>
    <row r="182">
      <c r="I182" s="2"/>
    </row>
    <row r="183">
      <c r="I183" s="2"/>
    </row>
    <row r="184">
      <c r="I184" s="2"/>
    </row>
    <row r="185">
      <c r="I185" s="2"/>
    </row>
    <row r="186">
      <c r="I186" s="2"/>
    </row>
    <row r="187">
      <c r="I187" s="2"/>
    </row>
    <row r="188">
      <c r="I188" s="2"/>
    </row>
    <row r="189">
      <c r="I189" s="2"/>
    </row>
    <row r="190">
      <c r="I190" s="2"/>
    </row>
    <row r="191">
      <c r="I191" s="2"/>
    </row>
    <row r="192">
      <c r="I192" s="2"/>
    </row>
    <row r="193">
      <c r="I193" s="2"/>
    </row>
    <row r="194">
      <c r="I194" s="2"/>
    </row>
    <row r="195">
      <c r="I195" s="2"/>
    </row>
    <row r="196">
      <c r="I196" s="2"/>
    </row>
    <row r="197">
      <c r="I197" s="2"/>
    </row>
    <row r="198">
      <c r="I198" s="2"/>
    </row>
    <row r="199">
      <c r="I199" s="2"/>
    </row>
    <row r="200">
      <c r="I200" s="2"/>
    </row>
    <row r="201">
      <c r="I201" s="2"/>
    </row>
    <row r="202">
      <c r="I202" s="2"/>
    </row>
    <row r="203">
      <c r="I203" s="2"/>
    </row>
    <row r="204">
      <c r="I204" s="2"/>
    </row>
    <row r="205">
      <c r="I205" s="2"/>
    </row>
    <row r="206">
      <c r="I206" s="2"/>
    </row>
    <row r="207">
      <c r="I207" s="2"/>
    </row>
    <row r="208">
      <c r="I208" s="2"/>
    </row>
    <row r="209">
      <c r="I209" s="2"/>
    </row>
    <row r="210">
      <c r="I210" s="2"/>
    </row>
    <row r="211">
      <c r="I211" s="2"/>
    </row>
    <row r="212">
      <c r="I212" s="2"/>
    </row>
    <row r="213">
      <c r="I213" s="2"/>
    </row>
    <row r="214">
      <c r="I214" s="2"/>
    </row>
    <row r="215">
      <c r="I215" s="2"/>
    </row>
    <row r="216">
      <c r="I216" s="2"/>
    </row>
    <row r="217">
      <c r="I217" s="2"/>
    </row>
    <row r="218">
      <c r="I218" s="2"/>
    </row>
    <row r="219">
      <c r="I219" s="2"/>
    </row>
    <row r="220">
      <c r="I220" s="2"/>
    </row>
    <row r="221">
      <c r="I221" s="2"/>
    </row>
    <row r="222">
      <c r="I222" s="2"/>
    </row>
    <row r="223">
      <c r="I223" s="2"/>
    </row>
    <row r="224">
      <c r="I224" s="2"/>
    </row>
    <row r="225">
      <c r="I225" s="2"/>
    </row>
    <row r="226">
      <c r="I226" s="2"/>
    </row>
    <row r="227">
      <c r="I227" s="2"/>
    </row>
    <row r="228">
      <c r="I228" s="2"/>
    </row>
    <row r="229">
      <c r="I229" s="2"/>
    </row>
    <row r="230">
      <c r="I230" s="2"/>
    </row>
    <row r="231">
      <c r="I231" s="2"/>
    </row>
    <row r="232">
      <c r="I232" s="2"/>
    </row>
    <row r="233">
      <c r="I233" s="2"/>
    </row>
    <row r="234">
      <c r="I234" s="2"/>
    </row>
    <row r="235">
      <c r="I235" s="2"/>
    </row>
    <row r="236">
      <c r="I236" s="2"/>
    </row>
    <row r="237">
      <c r="I237" s="2"/>
    </row>
    <row r="238">
      <c r="I238" s="2"/>
    </row>
    <row r="239">
      <c r="I239" s="2"/>
    </row>
    <row r="240">
      <c r="I240" s="2"/>
    </row>
    <row r="241">
      <c r="I241" s="2"/>
    </row>
    <row r="242">
      <c r="I242" s="2"/>
    </row>
    <row r="243">
      <c r="I243" s="2"/>
    </row>
    <row r="244">
      <c r="I244" s="2"/>
    </row>
    <row r="245">
      <c r="I245" s="2"/>
    </row>
    <row r="246">
      <c r="I246" s="2"/>
    </row>
    <row r="247">
      <c r="I247" s="2"/>
    </row>
    <row r="248">
      <c r="I248" s="2"/>
    </row>
    <row r="249">
      <c r="I249" s="2"/>
    </row>
    <row r="250">
      <c r="I250" s="2"/>
    </row>
    <row r="251">
      <c r="I251" s="2"/>
    </row>
    <row r="252">
      <c r="I252" s="2"/>
    </row>
    <row r="253">
      <c r="I253" s="2"/>
    </row>
    <row r="254">
      <c r="I254" s="2"/>
    </row>
    <row r="255">
      <c r="I255" s="2"/>
    </row>
    <row r="256">
      <c r="I256" s="2"/>
    </row>
    <row r="257">
      <c r="I257" s="2"/>
    </row>
    <row r="258">
      <c r="I258" s="2"/>
    </row>
    <row r="259">
      <c r="I259" s="2"/>
    </row>
    <row r="260">
      <c r="I260" s="2"/>
    </row>
    <row r="261">
      <c r="I261" s="2"/>
    </row>
    <row r="262">
      <c r="I262" s="2"/>
    </row>
    <row r="263">
      <c r="I263" s="2"/>
    </row>
    <row r="264">
      <c r="I264" s="2"/>
    </row>
    <row r="265">
      <c r="I265" s="2"/>
    </row>
    <row r="266">
      <c r="I266" s="2"/>
    </row>
    <row r="267">
      <c r="I267" s="2"/>
    </row>
    <row r="268">
      <c r="I268" s="2"/>
    </row>
    <row r="269">
      <c r="I269" s="2"/>
    </row>
    <row r="270">
      <c r="I270" s="2"/>
    </row>
    <row r="271">
      <c r="I271" s="2"/>
    </row>
    <row r="272">
      <c r="I272" s="2"/>
    </row>
    <row r="273">
      <c r="I273" s="2"/>
    </row>
    <row r="274">
      <c r="I274" s="2"/>
    </row>
    <row r="275">
      <c r="I275" s="2"/>
    </row>
    <row r="276">
      <c r="I276" s="2"/>
    </row>
    <row r="277">
      <c r="I277" s="2"/>
    </row>
    <row r="278">
      <c r="I278" s="2"/>
    </row>
    <row r="279">
      <c r="I279" s="2"/>
    </row>
    <row r="280">
      <c r="I280" s="2"/>
    </row>
    <row r="281">
      <c r="I281" s="2"/>
    </row>
    <row r="282">
      <c r="I282" s="2"/>
    </row>
    <row r="283">
      <c r="I283" s="2"/>
    </row>
    <row r="284">
      <c r="I284" s="2"/>
    </row>
    <row r="285">
      <c r="I285" s="2"/>
    </row>
    <row r="286">
      <c r="I286" s="2"/>
    </row>
    <row r="287">
      <c r="I287" s="2"/>
    </row>
    <row r="288">
      <c r="I288" s="2"/>
    </row>
    <row r="289">
      <c r="I289" s="2"/>
    </row>
    <row r="290">
      <c r="I290" s="2"/>
    </row>
    <row r="291">
      <c r="I291" s="2"/>
    </row>
    <row r="292">
      <c r="I292" s="2"/>
    </row>
    <row r="293">
      <c r="I293" s="2"/>
    </row>
    <row r="294">
      <c r="I294" s="2"/>
    </row>
    <row r="295">
      <c r="I295" s="2"/>
    </row>
    <row r="296">
      <c r="I296" s="2"/>
    </row>
    <row r="297">
      <c r="I297" s="2"/>
    </row>
    <row r="298">
      <c r="I298" s="2"/>
    </row>
    <row r="299">
      <c r="I299" s="2"/>
    </row>
    <row r="300">
      <c r="I300" s="2"/>
    </row>
    <row r="301">
      <c r="I301" s="2"/>
    </row>
    <row r="302">
      <c r="I302" s="2"/>
    </row>
    <row r="303">
      <c r="I303" s="2"/>
    </row>
    <row r="304">
      <c r="I304" s="2"/>
    </row>
    <row r="305">
      <c r="I305" s="2"/>
    </row>
    <row r="306">
      <c r="I306" s="2"/>
    </row>
    <row r="307">
      <c r="I307" s="2"/>
    </row>
    <row r="308">
      <c r="I308" s="2"/>
    </row>
    <row r="309">
      <c r="I309" s="2"/>
    </row>
    <row r="310">
      <c r="I310" s="2"/>
    </row>
    <row r="311">
      <c r="I311" s="2"/>
    </row>
    <row r="312">
      <c r="I312" s="2"/>
    </row>
    <row r="313">
      <c r="I313" s="2"/>
    </row>
    <row r="314">
      <c r="I314" s="2"/>
    </row>
    <row r="315">
      <c r="I315" s="2"/>
    </row>
    <row r="316">
      <c r="I316" s="2"/>
    </row>
    <row r="317">
      <c r="I317" s="2"/>
    </row>
    <row r="318">
      <c r="I318" s="2"/>
    </row>
    <row r="319">
      <c r="I319" s="2"/>
    </row>
    <row r="320">
      <c r="I320" s="2"/>
    </row>
    <row r="321">
      <c r="I321" s="2"/>
    </row>
    <row r="322">
      <c r="I322" s="2"/>
    </row>
    <row r="323">
      <c r="I323" s="2"/>
    </row>
    <row r="324">
      <c r="I324" s="2"/>
    </row>
    <row r="325">
      <c r="I325" s="2"/>
    </row>
    <row r="326">
      <c r="I326" s="2"/>
    </row>
    <row r="327">
      <c r="I327" s="2"/>
    </row>
    <row r="328">
      <c r="I328" s="2"/>
    </row>
    <row r="329">
      <c r="I329" s="2"/>
    </row>
    <row r="330">
      <c r="I330" s="2"/>
    </row>
    <row r="331">
      <c r="I331" s="2"/>
    </row>
    <row r="332">
      <c r="I332" s="2"/>
    </row>
    <row r="333">
      <c r="I333" s="2"/>
    </row>
    <row r="334">
      <c r="I334" s="2"/>
    </row>
    <row r="335">
      <c r="I335" s="2"/>
    </row>
    <row r="336">
      <c r="I336" s="2"/>
    </row>
    <row r="337">
      <c r="I337" s="2"/>
    </row>
    <row r="338">
      <c r="I338" s="2"/>
    </row>
    <row r="339">
      <c r="I339" s="2"/>
    </row>
    <row r="340">
      <c r="I340" s="2"/>
    </row>
    <row r="341">
      <c r="I341" s="2"/>
    </row>
    <row r="342">
      <c r="I342" s="2"/>
    </row>
    <row r="343">
      <c r="I343" s="2"/>
    </row>
    <row r="344">
      <c r="I344" s="2"/>
    </row>
    <row r="345">
      <c r="I345" s="2"/>
    </row>
    <row r="346">
      <c r="I346" s="2"/>
    </row>
    <row r="347">
      <c r="I347" s="2"/>
    </row>
    <row r="348">
      <c r="I348" s="2"/>
    </row>
    <row r="349">
      <c r="I349" s="2"/>
    </row>
    <row r="350">
      <c r="I350" s="2"/>
    </row>
    <row r="351">
      <c r="I351" s="2"/>
    </row>
    <row r="352">
      <c r="I352" s="2"/>
    </row>
    <row r="353">
      <c r="I353" s="2"/>
    </row>
    <row r="354">
      <c r="I354" s="2"/>
    </row>
    <row r="355">
      <c r="I355" s="2"/>
    </row>
    <row r="356">
      <c r="I356" s="2"/>
    </row>
    <row r="357">
      <c r="I357" s="2"/>
    </row>
    <row r="358">
      <c r="I358" s="2"/>
    </row>
    <row r="359">
      <c r="I359" s="2"/>
    </row>
    <row r="360">
      <c r="I360" s="2"/>
    </row>
    <row r="361">
      <c r="I361" s="2"/>
    </row>
    <row r="362">
      <c r="I362" s="2"/>
    </row>
    <row r="363">
      <c r="I363" s="2"/>
    </row>
    <row r="364">
      <c r="I364" s="2"/>
    </row>
    <row r="365">
      <c r="I365" s="2"/>
    </row>
    <row r="366">
      <c r="I366" s="2"/>
    </row>
    <row r="367">
      <c r="I367" s="2"/>
    </row>
    <row r="368">
      <c r="I368" s="2"/>
    </row>
    <row r="369">
      <c r="I369" s="2"/>
    </row>
    <row r="370">
      <c r="I370" s="2"/>
    </row>
    <row r="371">
      <c r="I371" s="2"/>
    </row>
    <row r="372">
      <c r="I372" s="2"/>
    </row>
    <row r="373">
      <c r="I373" s="2"/>
    </row>
    <row r="374">
      <c r="I374" s="2"/>
    </row>
    <row r="375">
      <c r="I375" s="2"/>
    </row>
    <row r="376">
      <c r="I376" s="2"/>
    </row>
    <row r="377">
      <c r="I377" s="2"/>
    </row>
    <row r="378">
      <c r="I378" s="2"/>
    </row>
    <row r="379">
      <c r="I379" s="2"/>
    </row>
    <row r="380">
      <c r="I380" s="2"/>
    </row>
    <row r="381">
      <c r="I381" s="2"/>
    </row>
    <row r="382">
      <c r="I382" s="2"/>
    </row>
    <row r="383">
      <c r="I383" s="2"/>
    </row>
    <row r="384">
      <c r="I384" s="2"/>
    </row>
    <row r="385">
      <c r="I385" s="2"/>
    </row>
    <row r="386">
      <c r="I386" s="2"/>
    </row>
    <row r="387">
      <c r="I387" s="2"/>
    </row>
    <row r="388">
      <c r="I388" s="2"/>
    </row>
    <row r="389">
      <c r="I389" s="2"/>
    </row>
    <row r="390">
      <c r="I390" s="2"/>
    </row>
    <row r="391">
      <c r="I391" s="2"/>
    </row>
    <row r="392">
      <c r="I392" s="2"/>
    </row>
    <row r="393">
      <c r="I393" s="2"/>
    </row>
    <row r="394">
      <c r="I394" s="2"/>
    </row>
    <row r="395">
      <c r="I395" s="2"/>
    </row>
    <row r="396">
      <c r="I396" s="2"/>
    </row>
    <row r="397">
      <c r="I397" s="2"/>
    </row>
    <row r="398">
      <c r="I398" s="2"/>
    </row>
    <row r="399">
      <c r="I399" s="2"/>
    </row>
    <row r="400">
      <c r="I400" s="2"/>
    </row>
    <row r="401">
      <c r="I401" s="2"/>
    </row>
    <row r="402">
      <c r="I402" s="2"/>
    </row>
    <row r="403">
      <c r="I403" s="2"/>
    </row>
    <row r="404">
      <c r="I404" s="2"/>
    </row>
    <row r="405">
      <c r="I405" s="2"/>
    </row>
    <row r="406">
      <c r="I406" s="2"/>
    </row>
    <row r="407">
      <c r="I407" s="2"/>
    </row>
    <row r="408">
      <c r="I408" s="2"/>
    </row>
    <row r="409">
      <c r="I409" s="2"/>
    </row>
    <row r="410">
      <c r="I410" s="2"/>
    </row>
    <row r="411">
      <c r="I411" s="2"/>
    </row>
    <row r="412">
      <c r="I412" s="2"/>
    </row>
    <row r="413">
      <c r="I413" s="2"/>
    </row>
    <row r="414">
      <c r="I414" s="2"/>
    </row>
    <row r="415">
      <c r="I415" s="2"/>
    </row>
    <row r="416">
      <c r="I416" s="2"/>
    </row>
    <row r="417">
      <c r="I417" s="2"/>
    </row>
    <row r="418">
      <c r="I418" s="2"/>
    </row>
    <row r="419">
      <c r="I419" s="2"/>
    </row>
    <row r="420">
      <c r="I420" s="2"/>
    </row>
    <row r="421">
      <c r="I421" s="2"/>
    </row>
    <row r="422">
      <c r="I422" s="2"/>
    </row>
    <row r="423">
      <c r="I423" s="2"/>
    </row>
    <row r="424">
      <c r="I424" s="2"/>
    </row>
    <row r="425">
      <c r="I425" s="2"/>
    </row>
    <row r="426">
      <c r="I426" s="2"/>
    </row>
    <row r="427">
      <c r="I427" s="2"/>
    </row>
    <row r="428">
      <c r="I428" s="2"/>
    </row>
    <row r="429">
      <c r="I429" s="2"/>
    </row>
    <row r="430">
      <c r="I430" s="2"/>
    </row>
    <row r="431">
      <c r="I431" s="2"/>
    </row>
    <row r="432">
      <c r="I432" s="2"/>
    </row>
    <row r="433">
      <c r="I433" s="2"/>
    </row>
    <row r="434">
      <c r="I434" s="2"/>
    </row>
    <row r="435">
      <c r="I435" s="2"/>
    </row>
    <row r="436">
      <c r="I436" s="2"/>
    </row>
    <row r="437">
      <c r="I437" s="2"/>
    </row>
    <row r="438">
      <c r="I438" s="2"/>
    </row>
    <row r="439">
      <c r="I439" s="2"/>
    </row>
    <row r="440">
      <c r="I440" s="2"/>
    </row>
    <row r="441">
      <c r="I441" s="2"/>
    </row>
    <row r="442">
      <c r="I442" s="2"/>
    </row>
    <row r="443">
      <c r="I443" s="2"/>
    </row>
    <row r="444">
      <c r="I444" s="2"/>
    </row>
    <row r="445">
      <c r="I445" s="2"/>
    </row>
    <row r="446">
      <c r="I446" s="2"/>
    </row>
    <row r="447">
      <c r="I447" s="2"/>
    </row>
    <row r="448">
      <c r="I448" s="2"/>
    </row>
    <row r="449">
      <c r="I449" s="2"/>
    </row>
    <row r="450">
      <c r="I450" s="2"/>
    </row>
    <row r="451">
      <c r="I451" s="2"/>
    </row>
    <row r="452">
      <c r="I452" s="2"/>
    </row>
    <row r="453">
      <c r="I453" s="2"/>
    </row>
    <row r="454">
      <c r="I454" s="2"/>
    </row>
    <row r="455">
      <c r="I455" s="2"/>
    </row>
    <row r="456">
      <c r="I456" s="2"/>
    </row>
    <row r="457">
      <c r="I457" s="2"/>
    </row>
    <row r="458">
      <c r="I458" s="2"/>
    </row>
    <row r="459">
      <c r="I459" s="2"/>
    </row>
    <row r="460">
      <c r="I460" s="2"/>
    </row>
    <row r="461">
      <c r="I461" s="2"/>
    </row>
    <row r="462">
      <c r="I462" s="2"/>
    </row>
    <row r="463">
      <c r="I463" s="2"/>
    </row>
    <row r="464">
      <c r="I464" s="2"/>
    </row>
    <row r="465">
      <c r="I465" s="2"/>
    </row>
    <row r="466">
      <c r="I466" s="2"/>
    </row>
    <row r="467">
      <c r="I467" s="2"/>
    </row>
    <row r="468">
      <c r="I468" s="2"/>
    </row>
    <row r="469">
      <c r="I469" s="2"/>
    </row>
    <row r="470">
      <c r="I470" s="2"/>
    </row>
    <row r="471">
      <c r="I471" s="2"/>
    </row>
    <row r="472">
      <c r="I472" s="2"/>
    </row>
    <row r="473">
      <c r="I473" s="2"/>
    </row>
    <row r="474">
      <c r="I474" s="2"/>
    </row>
    <row r="475">
      <c r="I475" s="2"/>
    </row>
    <row r="476">
      <c r="I476" s="2"/>
    </row>
    <row r="477">
      <c r="I477" s="2"/>
    </row>
    <row r="478">
      <c r="I478" s="2"/>
    </row>
    <row r="479">
      <c r="I479" s="2"/>
    </row>
    <row r="480">
      <c r="I480" s="2"/>
    </row>
    <row r="481">
      <c r="I481" s="2"/>
    </row>
    <row r="482">
      <c r="I482" s="2"/>
    </row>
    <row r="483">
      <c r="I483" s="2"/>
    </row>
    <row r="484">
      <c r="I484" s="2"/>
    </row>
    <row r="485">
      <c r="I485" s="2"/>
    </row>
    <row r="486">
      <c r="I486" s="2"/>
    </row>
    <row r="487">
      <c r="I487" s="2"/>
    </row>
    <row r="488">
      <c r="I488" s="2"/>
    </row>
    <row r="489">
      <c r="I489" s="2"/>
    </row>
    <row r="490">
      <c r="I490" s="2"/>
    </row>
    <row r="491">
      <c r="I491" s="2"/>
    </row>
    <row r="492">
      <c r="I492" s="2"/>
    </row>
    <row r="493">
      <c r="I493" s="2"/>
    </row>
    <row r="494">
      <c r="I494" s="2"/>
    </row>
    <row r="495">
      <c r="I495" s="2"/>
    </row>
    <row r="496">
      <c r="I496" s="2"/>
    </row>
    <row r="497">
      <c r="I497" s="2"/>
    </row>
    <row r="498">
      <c r="I498" s="2"/>
    </row>
    <row r="499">
      <c r="I499" s="2"/>
    </row>
    <row r="500">
      <c r="I500" s="2"/>
    </row>
    <row r="501">
      <c r="I501" s="2"/>
    </row>
    <row r="502">
      <c r="I502" s="2"/>
    </row>
    <row r="503">
      <c r="I503" s="2"/>
    </row>
    <row r="504">
      <c r="I504" s="2"/>
    </row>
    <row r="505">
      <c r="I505" s="2"/>
    </row>
    <row r="506">
      <c r="I506" s="2"/>
    </row>
    <row r="507">
      <c r="I507" s="2"/>
    </row>
    <row r="508">
      <c r="I508" s="2"/>
    </row>
    <row r="509">
      <c r="I509" s="2"/>
    </row>
    <row r="510">
      <c r="I510" s="2"/>
    </row>
    <row r="511">
      <c r="I511" s="2"/>
    </row>
    <row r="512">
      <c r="I512" s="2"/>
    </row>
    <row r="513">
      <c r="I513" s="2"/>
    </row>
    <row r="514">
      <c r="I514" s="2"/>
    </row>
    <row r="515">
      <c r="I515" s="2"/>
    </row>
    <row r="516">
      <c r="I516" s="2"/>
    </row>
    <row r="517">
      <c r="I517" s="2"/>
    </row>
    <row r="518">
      <c r="I518" s="2"/>
    </row>
    <row r="519">
      <c r="I519" s="2"/>
    </row>
    <row r="520">
      <c r="I520" s="2"/>
    </row>
    <row r="521">
      <c r="I521" s="2"/>
    </row>
    <row r="522">
      <c r="I522" s="2"/>
    </row>
    <row r="523">
      <c r="I523" s="2"/>
    </row>
    <row r="524">
      <c r="I524" s="2"/>
    </row>
    <row r="525">
      <c r="I525" s="2"/>
    </row>
    <row r="526">
      <c r="I526" s="2"/>
    </row>
    <row r="527">
      <c r="I527" s="2"/>
    </row>
    <row r="528">
      <c r="I528" s="2"/>
    </row>
    <row r="529">
      <c r="I529" s="2"/>
    </row>
    <row r="530">
      <c r="I530" s="2"/>
    </row>
    <row r="531">
      <c r="I531" s="2"/>
    </row>
    <row r="532">
      <c r="I532" s="2"/>
    </row>
    <row r="533">
      <c r="I533" s="2"/>
    </row>
    <row r="534">
      <c r="I534" s="2"/>
    </row>
    <row r="535">
      <c r="I535" s="2"/>
    </row>
    <row r="536">
      <c r="I536" s="2"/>
    </row>
    <row r="537">
      <c r="I537" s="2"/>
    </row>
    <row r="538">
      <c r="I538" s="2"/>
    </row>
    <row r="539">
      <c r="I539" s="2"/>
    </row>
    <row r="540">
      <c r="I540" s="2"/>
    </row>
    <row r="541">
      <c r="I541" s="2"/>
    </row>
    <row r="542">
      <c r="I542" s="2"/>
    </row>
    <row r="543">
      <c r="I543" s="2"/>
    </row>
    <row r="544">
      <c r="I544" s="2"/>
    </row>
    <row r="545">
      <c r="I545" s="2"/>
    </row>
    <row r="546">
      <c r="I546" s="2"/>
    </row>
    <row r="547">
      <c r="I547" s="2"/>
    </row>
    <row r="548">
      <c r="I548" s="2"/>
    </row>
    <row r="549">
      <c r="I549" s="2"/>
    </row>
    <row r="550">
      <c r="I550" s="2"/>
    </row>
    <row r="551">
      <c r="I551" s="2"/>
    </row>
    <row r="552">
      <c r="I552" s="2"/>
    </row>
    <row r="553">
      <c r="I553" s="2"/>
    </row>
    <row r="554">
      <c r="I554" s="2"/>
    </row>
    <row r="555">
      <c r="I555" s="2"/>
    </row>
    <row r="556">
      <c r="I556" s="2"/>
    </row>
    <row r="557">
      <c r="I557" s="2"/>
    </row>
    <row r="558">
      <c r="I558" s="2"/>
    </row>
    <row r="559">
      <c r="I559" s="2"/>
    </row>
    <row r="560">
      <c r="I560" s="2"/>
    </row>
    <row r="561">
      <c r="I561" s="2"/>
    </row>
    <row r="562">
      <c r="I562" s="2"/>
    </row>
    <row r="563">
      <c r="I563" s="2"/>
    </row>
    <row r="564">
      <c r="I564" s="2"/>
    </row>
    <row r="565">
      <c r="I565" s="2"/>
    </row>
    <row r="566">
      <c r="I566" s="2"/>
    </row>
    <row r="567">
      <c r="I567" s="2"/>
    </row>
    <row r="568">
      <c r="I568" s="2"/>
    </row>
    <row r="569">
      <c r="I569" s="2"/>
    </row>
    <row r="570">
      <c r="I570" s="2"/>
    </row>
    <row r="571">
      <c r="I571" s="2"/>
    </row>
    <row r="572">
      <c r="I572" s="2"/>
    </row>
    <row r="573">
      <c r="I573" s="2"/>
    </row>
    <row r="574">
      <c r="I574" s="2"/>
    </row>
    <row r="575">
      <c r="I575" s="2"/>
    </row>
    <row r="576">
      <c r="I576" s="2"/>
    </row>
    <row r="577">
      <c r="I577" s="2"/>
    </row>
    <row r="578">
      <c r="I578" s="2"/>
    </row>
    <row r="579">
      <c r="I579" s="2"/>
    </row>
    <row r="580">
      <c r="I580" s="2"/>
    </row>
    <row r="581">
      <c r="I581" s="2"/>
    </row>
    <row r="582">
      <c r="I582" s="2"/>
    </row>
    <row r="583">
      <c r="I583" s="2"/>
    </row>
    <row r="584">
      <c r="I584" s="2"/>
    </row>
    <row r="585">
      <c r="I585" s="2"/>
    </row>
    <row r="586">
      <c r="I586" s="2"/>
    </row>
    <row r="587">
      <c r="I587" s="2"/>
    </row>
    <row r="588">
      <c r="I588" s="2"/>
    </row>
    <row r="589">
      <c r="I589" s="2"/>
    </row>
    <row r="590">
      <c r="I590" s="2"/>
    </row>
    <row r="591">
      <c r="I591" s="2"/>
    </row>
    <row r="592">
      <c r="I592" s="2"/>
    </row>
    <row r="593">
      <c r="I593" s="2"/>
    </row>
    <row r="594">
      <c r="I594" s="2"/>
    </row>
    <row r="595">
      <c r="I595" s="2"/>
    </row>
    <row r="596">
      <c r="I596" s="2"/>
    </row>
    <row r="597">
      <c r="I597" s="2"/>
    </row>
    <row r="598">
      <c r="I598" s="2"/>
    </row>
    <row r="599">
      <c r="I599" s="2"/>
    </row>
    <row r="600">
      <c r="I600" s="2"/>
    </row>
    <row r="601">
      <c r="I601" s="2"/>
    </row>
    <row r="602">
      <c r="I602" s="2"/>
    </row>
    <row r="603">
      <c r="I603" s="2"/>
    </row>
    <row r="604">
      <c r="I604" s="2"/>
    </row>
    <row r="605">
      <c r="I605" s="2"/>
    </row>
    <row r="606">
      <c r="I606" s="2"/>
    </row>
    <row r="607">
      <c r="I607" s="2"/>
    </row>
    <row r="608">
      <c r="I608" s="2"/>
    </row>
    <row r="609">
      <c r="I609" s="2"/>
    </row>
    <row r="610">
      <c r="I610" s="2"/>
    </row>
    <row r="611">
      <c r="I611" s="2"/>
    </row>
    <row r="612">
      <c r="I612" s="2"/>
    </row>
    <row r="613">
      <c r="I613" s="2"/>
    </row>
    <row r="614">
      <c r="I614" s="2"/>
    </row>
    <row r="615">
      <c r="I615" s="2"/>
    </row>
    <row r="616">
      <c r="I616" s="2"/>
    </row>
    <row r="617">
      <c r="I617" s="2"/>
    </row>
    <row r="618">
      <c r="I618" s="2"/>
    </row>
    <row r="619">
      <c r="I619" s="2"/>
    </row>
    <row r="620">
      <c r="I620" s="2"/>
    </row>
    <row r="621">
      <c r="I621" s="2"/>
    </row>
    <row r="622">
      <c r="I622" s="2"/>
    </row>
    <row r="623">
      <c r="I623" s="2"/>
    </row>
    <row r="624">
      <c r="I624" s="2"/>
    </row>
    <row r="625">
      <c r="I625" s="2"/>
    </row>
    <row r="626">
      <c r="I626" s="2"/>
    </row>
    <row r="627">
      <c r="I627" s="2"/>
    </row>
    <row r="628">
      <c r="I628" s="2"/>
    </row>
    <row r="629">
      <c r="I629" s="2"/>
    </row>
    <row r="630">
      <c r="I630" s="2"/>
    </row>
    <row r="631">
      <c r="I631" s="2"/>
    </row>
    <row r="632">
      <c r="I632" s="2"/>
    </row>
    <row r="633">
      <c r="I633" s="2"/>
    </row>
    <row r="634">
      <c r="I634" s="2"/>
    </row>
    <row r="635">
      <c r="I635" s="2"/>
    </row>
    <row r="636">
      <c r="I636" s="2"/>
    </row>
    <row r="637">
      <c r="I637" s="2"/>
    </row>
    <row r="638">
      <c r="I638" s="2"/>
    </row>
    <row r="639">
      <c r="I639" s="2"/>
    </row>
    <row r="640">
      <c r="I640" s="2"/>
    </row>
    <row r="641">
      <c r="I641" s="2"/>
    </row>
    <row r="642">
      <c r="I642" s="2"/>
    </row>
    <row r="643">
      <c r="I643" s="2"/>
    </row>
    <row r="644">
      <c r="I644" s="2"/>
    </row>
    <row r="645">
      <c r="I645" s="2"/>
    </row>
    <row r="646">
      <c r="I646" s="2"/>
    </row>
    <row r="647">
      <c r="I647" s="2"/>
    </row>
    <row r="648">
      <c r="I648" s="2"/>
    </row>
    <row r="649">
      <c r="I649" s="2"/>
    </row>
    <row r="650">
      <c r="I650" s="2"/>
    </row>
    <row r="651">
      <c r="I651" s="2"/>
    </row>
    <row r="652">
      <c r="I652" s="2"/>
    </row>
    <row r="653">
      <c r="I653" s="2"/>
    </row>
    <row r="654">
      <c r="I654" s="2"/>
    </row>
    <row r="655">
      <c r="I655" s="2"/>
    </row>
    <row r="656">
      <c r="I656" s="2"/>
    </row>
    <row r="657">
      <c r="I657" s="2"/>
    </row>
    <row r="658">
      <c r="I658" s="2"/>
    </row>
    <row r="659">
      <c r="I659" s="2"/>
    </row>
    <row r="660">
      <c r="I660" s="2"/>
    </row>
    <row r="661">
      <c r="I661" s="2"/>
    </row>
    <row r="662">
      <c r="I662" s="2"/>
    </row>
    <row r="663">
      <c r="I663" s="2"/>
    </row>
    <row r="664">
      <c r="I664" s="2"/>
    </row>
    <row r="665">
      <c r="I665" s="2"/>
    </row>
    <row r="666">
      <c r="I666" s="2"/>
    </row>
    <row r="667">
      <c r="I667" s="2"/>
    </row>
    <row r="668">
      <c r="I668" s="2"/>
    </row>
    <row r="669">
      <c r="I669" s="2"/>
    </row>
    <row r="670">
      <c r="I670" s="2"/>
    </row>
    <row r="671">
      <c r="I671" s="2"/>
    </row>
    <row r="672">
      <c r="I672" s="2"/>
    </row>
    <row r="673">
      <c r="I673" s="2"/>
    </row>
    <row r="674">
      <c r="I674" s="2"/>
    </row>
    <row r="675">
      <c r="I675" s="2"/>
    </row>
    <row r="676">
      <c r="I676" s="2"/>
    </row>
    <row r="677">
      <c r="I677" s="2"/>
    </row>
    <row r="678">
      <c r="I678" s="2"/>
    </row>
    <row r="679">
      <c r="I679" s="2"/>
    </row>
    <row r="680">
      <c r="I680" s="2"/>
    </row>
    <row r="681">
      <c r="I681" s="2"/>
    </row>
    <row r="682">
      <c r="I682" s="2"/>
    </row>
    <row r="683">
      <c r="I683" s="2"/>
    </row>
    <row r="684">
      <c r="I684" s="2"/>
    </row>
    <row r="685">
      <c r="I685" s="2"/>
    </row>
    <row r="686">
      <c r="I686" s="2"/>
    </row>
    <row r="687">
      <c r="I687" s="2"/>
    </row>
    <row r="688">
      <c r="I688" s="2"/>
    </row>
    <row r="689">
      <c r="I689" s="2"/>
    </row>
    <row r="690">
      <c r="I690" s="2"/>
    </row>
    <row r="691">
      <c r="I691" s="2"/>
    </row>
    <row r="692">
      <c r="I692" s="2"/>
    </row>
    <row r="693">
      <c r="I693" s="2"/>
    </row>
    <row r="694">
      <c r="I694" s="2"/>
    </row>
    <row r="695">
      <c r="I695" s="2"/>
    </row>
    <row r="696">
      <c r="I696" s="2"/>
    </row>
    <row r="697">
      <c r="I697" s="2"/>
    </row>
    <row r="698">
      <c r="I698" s="2"/>
    </row>
    <row r="699">
      <c r="I699" s="2"/>
    </row>
    <row r="700">
      <c r="I700" s="2"/>
    </row>
    <row r="701">
      <c r="I701" s="2"/>
    </row>
    <row r="702">
      <c r="I702" s="2"/>
    </row>
    <row r="703">
      <c r="I703" s="2"/>
    </row>
    <row r="704">
      <c r="I704" s="2"/>
    </row>
    <row r="705">
      <c r="I705" s="2"/>
    </row>
    <row r="706">
      <c r="I706" s="2"/>
    </row>
    <row r="707">
      <c r="I707" s="2"/>
    </row>
    <row r="708">
      <c r="I708" s="2"/>
    </row>
    <row r="709">
      <c r="I709" s="2"/>
    </row>
    <row r="710">
      <c r="I710" s="2"/>
    </row>
    <row r="711">
      <c r="I711" s="2"/>
    </row>
    <row r="712">
      <c r="I712" s="2"/>
    </row>
    <row r="713">
      <c r="I713" s="2"/>
    </row>
    <row r="714">
      <c r="I714" s="2"/>
    </row>
    <row r="715">
      <c r="I715" s="2"/>
    </row>
    <row r="716">
      <c r="I716" s="2"/>
    </row>
    <row r="717">
      <c r="I717" s="2"/>
    </row>
    <row r="718">
      <c r="I718" s="2"/>
    </row>
    <row r="719">
      <c r="I719" s="2"/>
    </row>
    <row r="720">
      <c r="I720" s="2"/>
    </row>
    <row r="721">
      <c r="I721" s="2"/>
    </row>
    <row r="722">
      <c r="I722" s="2"/>
    </row>
    <row r="723">
      <c r="I723" s="2"/>
    </row>
    <row r="724">
      <c r="I724" s="2"/>
    </row>
    <row r="725">
      <c r="I725" s="2"/>
    </row>
    <row r="726">
      <c r="I726" s="2"/>
    </row>
    <row r="727">
      <c r="I727" s="2"/>
    </row>
    <row r="728">
      <c r="I728" s="2"/>
    </row>
    <row r="729">
      <c r="I729" s="2"/>
    </row>
    <row r="730">
      <c r="I730" s="2"/>
    </row>
    <row r="731">
      <c r="I731" s="2"/>
    </row>
    <row r="732">
      <c r="I732" s="2"/>
    </row>
    <row r="733">
      <c r="I733" s="2"/>
    </row>
    <row r="734">
      <c r="I734" s="2"/>
    </row>
    <row r="735">
      <c r="I735" s="2"/>
    </row>
    <row r="736">
      <c r="I736" s="2"/>
    </row>
    <row r="737">
      <c r="I737" s="2"/>
    </row>
    <row r="738">
      <c r="I738" s="2"/>
    </row>
    <row r="739">
      <c r="I739" s="2"/>
    </row>
    <row r="740">
      <c r="I740" s="2"/>
    </row>
    <row r="741">
      <c r="I741" s="2"/>
    </row>
    <row r="742">
      <c r="I742" s="2"/>
    </row>
    <row r="743">
      <c r="I743" s="2"/>
    </row>
    <row r="744">
      <c r="I744" s="2"/>
    </row>
    <row r="745">
      <c r="I745" s="2"/>
    </row>
    <row r="746">
      <c r="I746" s="2"/>
    </row>
    <row r="747">
      <c r="I747" s="2"/>
    </row>
    <row r="748">
      <c r="I748" s="2"/>
    </row>
    <row r="749">
      <c r="I749" s="2"/>
    </row>
    <row r="750">
      <c r="I750" s="2"/>
    </row>
    <row r="751">
      <c r="I751" s="2"/>
    </row>
    <row r="752">
      <c r="I752" s="2"/>
    </row>
    <row r="753">
      <c r="I753" s="2"/>
    </row>
    <row r="754">
      <c r="I754" s="2"/>
    </row>
    <row r="755">
      <c r="I755" s="2"/>
    </row>
    <row r="756">
      <c r="I756" s="2"/>
    </row>
    <row r="757">
      <c r="I757" s="2"/>
    </row>
    <row r="758">
      <c r="I758" s="2"/>
    </row>
    <row r="759">
      <c r="I759" s="2"/>
    </row>
    <row r="760">
      <c r="I760" s="2"/>
    </row>
    <row r="761">
      <c r="I761" s="2"/>
    </row>
    <row r="762">
      <c r="I762" s="2"/>
    </row>
    <row r="763">
      <c r="I763" s="2"/>
    </row>
    <row r="764">
      <c r="I764" s="2"/>
    </row>
    <row r="765">
      <c r="I765" s="2"/>
    </row>
    <row r="766">
      <c r="I766" s="2"/>
    </row>
    <row r="767">
      <c r="I767" s="2"/>
    </row>
    <row r="768">
      <c r="I768" s="2"/>
    </row>
    <row r="769">
      <c r="I769" s="2"/>
    </row>
    <row r="770">
      <c r="I770" s="2"/>
    </row>
    <row r="771">
      <c r="I771" s="2"/>
    </row>
    <row r="772">
      <c r="I772" s="2"/>
    </row>
    <row r="773">
      <c r="I773" s="2"/>
    </row>
    <row r="774">
      <c r="I774" s="2"/>
    </row>
    <row r="775">
      <c r="I775" s="2"/>
    </row>
    <row r="776">
      <c r="I776" s="2"/>
    </row>
    <row r="777">
      <c r="I777" s="2"/>
    </row>
    <row r="778">
      <c r="I778" s="2"/>
    </row>
    <row r="779">
      <c r="I779" s="2"/>
    </row>
    <row r="780">
      <c r="I780" s="2"/>
    </row>
    <row r="781">
      <c r="I781" s="2"/>
    </row>
    <row r="782">
      <c r="I782" s="2"/>
    </row>
    <row r="783">
      <c r="I783" s="2"/>
    </row>
    <row r="784">
      <c r="I784" s="2"/>
    </row>
    <row r="785">
      <c r="I785" s="2"/>
    </row>
    <row r="786">
      <c r="I786" s="2"/>
    </row>
    <row r="787">
      <c r="I787" s="2"/>
    </row>
    <row r="788">
      <c r="I788" s="2"/>
    </row>
    <row r="789">
      <c r="I789" s="2"/>
    </row>
    <row r="790">
      <c r="I790" s="2"/>
    </row>
    <row r="791">
      <c r="I791" s="2"/>
    </row>
    <row r="792">
      <c r="I792" s="2"/>
    </row>
    <row r="793">
      <c r="I793" s="2"/>
    </row>
    <row r="794">
      <c r="I794" s="2"/>
    </row>
    <row r="795">
      <c r="I795" s="2"/>
    </row>
    <row r="796">
      <c r="I796" s="2"/>
    </row>
    <row r="797">
      <c r="I797" s="2"/>
    </row>
    <row r="798">
      <c r="I798" s="2"/>
    </row>
    <row r="799">
      <c r="I799" s="2"/>
    </row>
    <row r="800">
      <c r="I800" s="2"/>
    </row>
    <row r="801">
      <c r="I801" s="2"/>
    </row>
    <row r="802">
      <c r="I802" s="2"/>
    </row>
    <row r="803">
      <c r="I803" s="2"/>
    </row>
    <row r="804">
      <c r="I804" s="2"/>
    </row>
    <row r="805">
      <c r="I805" s="2"/>
    </row>
    <row r="806">
      <c r="I806" s="2"/>
    </row>
    <row r="807">
      <c r="I807" s="2"/>
    </row>
    <row r="808">
      <c r="I808" s="2"/>
    </row>
    <row r="809">
      <c r="I809" s="2"/>
    </row>
    <row r="810">
      <c r="I810" s="2"/>
    </row>
    <row r="811">
      <c r="I811" s="2"/>
    </row>
    <row r="812">
      <c r="I812" s="2"/>
    </row>
    <row r="813">
      <c r="I813" s="2"/>
    </row>
    <row r="814">
      <c r="I814" s="2"/>
    </row>
    <row r="815">
      <c r="I815" s="2"/>
    </row>
    <row r="816">
      <c r="I816" s="2"/>
    </row>
    <row r="817">
      <c r="I817" s="2"/>
    </row>
    <row r="818">
      <c r="I818" s="2"/>
    </row>
    <row r="819">
      <c r="I819" s="2"/>
    </row>
    <row r="820">
      <c r="I820" s="2"/>
    </row>
    <row r="821">
      <c r="I821" s="2"/>
    </row>
    <row r="822">
      <c r="I822" s="2"/>
    </row>
    <row r="823">
      <c r="I823" s="2"/>
    </row>
    <row r="824">
      <c r="I824" s="2"/>
    </row>
    <row r="825">
      <c r="I825" s="2"/>
    </row>
    <row r="826">
      <c r="I826" s="2"/>
    </row>
    <row r="827">
      <c r="I827" s="2"/>
    </row>
    <row r="828">
      <c r="I828" s="2"/>
    </row>
    <row r="829">
      <c r="I829" s="2"/>
    </row>
    <row r="830">
      <c r="I830" s="2"/>
    </row>
    <row r="831">
      <c r="I831" s="2"/>
    </row>
    <row r="832">
      <c r="I832" s="2"/>
    </row>
    <row r="833">
      <c r="I833" s="2"/>
    </row>
    <row r="834">
      <c r="I834" s="2"/>
    </row>
    <row r="835">
      <c r="I835" s="2"/>
    </row>
    <row r="836">
      <c r="I836" s="2"/>
    </row>
    <row r="837">
      <c r="I837" s="2"/>
    </row>
    <row r="838">
      <c r="I838" s="2"/>
    </row>
    <row r="839">
      <c r="I839" s="2"/>
    </row>
    <row r="840">
      <c r="I840" s="2"/>
    </row>
    <row r="841">
      <c r="I841" s="2"/>
    </row>
    <row r="842">
      <c r="I842" s="2"/>
    </row>
    <row r="843">
      <c r="I843" s="2"/>
    </row>
    <row r="844">
      <c r="I844" s="2"/>
    </row>
    <row r="845">
      <c r="I845" s="2"/>
    </row>
    <row r="846">
      <c r="I846" s="2"/>
    </row>
    <row r="847">
      <c r="I847" s="2"/>
    </row>
    <row r="848">
      <c r="I848" s="2"/>
    </row>
    <row r="849">
      <c r="I849" s="2"/>
    </row>
    <row r="850">
      <c r="I850" s="2"/>
    </row>
    <row r="851">
      <c r="I851" s="2"/>
    </row>
    <row r="852">
      <c r="I852" s="2"/>
    </row>
    <row r="853">
      <c r="I853" s="2"/>
    </row>
    <row r="854">
      <c r="I854" s="2"/>
    </row>
    <row r="855">
      <c r="I855" s="2"/>
    </row>
    <row r="856">
      <c r="I856" s="2"/>
    </row>
    <row r="857">
      <c r="I857" s="2"/>
    </row>
    <row r="858">
      <c r="I858" s="2"/>
    </row>
    <row r="859">
      <c r="I859" s="2"/>
    </row>
    <row r="860">
      <c r="I860" s="2"/>
    </row>
    <row r="861">
      <c r="I861" s="2"/>
    </row>
    <row r="862">
      <c r="I862" s="2"/>
    </row>
    <row r="863">
      <c r="I863" s="2"/>
    </row>
    <row r="864">
      <c r="I864" s="2"/>
    </row>
    <row r="865">
      <c r="I865" s="2"/>
    </row>
    <row r="866">
      <c r="I866" s="2"/>
    </row>
    <row r="867">
      <c r="I867" s="2"/>
    </row>
    <row r="868">
      <c r="I868" s="2"/>
    </row>
    <row r="869">
      <c r="I869" s="2"/>
    </row>
    <row r="870">
      <c r="I870" s="2"/>
    </row>
    <row r="871">
      <c r="I871" s="2"/>
    </row>
    <row r="872">
      <c r="I872" s="2"/>
    </row>
    <row r="873">
      <c r="I873" s="2"/>
    </row>
    <row r="874">
      <c r="I874" s="2"/>
    </row>
    <row r="875">
      <c r="I875" s="2"/>
    </row>
    <row r="876">
      <c r="I876" s="2"/>
    </row>
    <row r="877">
      <c r="I877" s="2"/>
    </row>
    <row r="878">
      <c r="I878" s="2"/>
    </row>
    <row r="879">
      <c r="I879" s="2"/>
    </row>
    <row r="880">
      <c r="I880" s="2"/>
    </row>
    <row r="881">
      <c r="I881" s="2"/>
    </row>
    <row r="882">
      <c r="I882" s="2"/>
    </row>
    <row r="883">
      <c r="I883" s="2"/>
    </row>
    <row r="884">
      <c r="I884" s="2"/>
    </row>
    <row r="885">
      <c r="I885" s="2"/>
    </row>
    <row r="886">
      <c r="I886" s="2"/>
    </row>
    <row r="887">
      <c r="I887" s="2"/>
    </row>
    <row r="888">
      <c r="I888" s="2"/>
    </row>
    <row r="889">
      <c r="I889" s="2"/>
    </row>
    <row r="890">
      <c r="I890" s="2"/>
    </row>
    <row r="891">
      <c r="I891" s="2"/>
    </row>
    <row r="892">
      <c r="I892" s="2"/>
    </row>
    <row r="893">
      <c r="I893" s="2"/>
    </row>
    <row r="894">
      <c r="I894" s="2"/>
    </row>
    <row r="895">
      <c r="I895" s="2"/>
    </row>
    <row r="896">
      <c r="I896" s="2"/>
    </row>
    <row r="897">
      <c r="I897" s="2"/>
    </row>
    <row r="898">
      <c r="I898" s="2"/>
    </row>
    <row r="899">
      <c r="I899" s="2"/>
    </row>
    <row r="900">
      <c r="I900" s="2"/>
    </row>
    <row r="901">
      <c r="I901" s="2"/>
    </row>
    <row r="902">
      <c r="I902" s="2"/>
    </row>
    <row r="903">
      <c r="I903" s="2"/>
    </row>
    <row r="904">
      <c r="I904" s="2"/>
    </row>
    <row r="905">
      <c r="I905" s="2"/>
    </row>
    <row r="906">
      <c r="I906" s="2"/>
    </row>
    <row r="907">
      <c r="I907" s="2"/>
    </row>
    <row r="908">
      <c r="I908" s="2"/>
    </row>
    <row r="909">
      <c r="I909" s="2"/>
    </row>
    <row r="910">
      <c r="I910" s="2"/>
    </row>
    <row r="911">
      <c r="I911" s="2"/>
    </row>
    <row r="912">
      <c r="I912" s="2"/>
    </row>
    <row r="913">
      <c r="I913" s="2"/>
    </row>
    <row r="914">
      <c r="I914" s="2"/>
    </row>
    <row r="915">
      <c r="I915" s="2"/>
    </row>
    <row r="916">
      <c r="I916" s="2"/>
    </row>
    <row r="917">
      <c r="I917" s="2"/>
    </row>
    <row r="918">
      <c r="I918" s="2"/>
    </row>
    <row r="919">
      <c r="I919" s="2"/>
    </row>
    <row r="920">
      <c r="I920" s="2"/>
    </row>
    <row r="921">
      <c r="I921" s="2"/>
    </row>
    <row r="922">
      <c r="I922" s="2"/>
    </row>
    <row r="923">
      <c r="I923" s="2"/>
    </row>
    <row r="924">
      <c r="I924" s="2"/>
    </row>
    <row r="925">
      <c r="I925" s="2"/>
    </row>
    <row r="926">
      <c r="I926" s="2"/>
    </row>
    <row r="927">
      <c r="I927" s="2"/>
    </row>
    <row r="928">
      <c r="I928" s="2"/>
    </row>
    <row r="929">
      <c r="I929" s="2"/>
    </row>
    <row r="930">
      <c r="I930" s="2"/>
    </row>
    <row r="931">
      <c r="I931" s="2"/>
    </row>
    <row r="932">
      <c r="I932" s="2"/>
    </row>
    <row r="933">
      <c r="I933" s="2"/>
    </row>
    <row r="934">
      <c r="I934" s="2"/>
    </row>
    <row r="935">
      <c r="I935" s="2"/>
    </row>
    <row r="936">
      <c r="I936" s="2"/>
    </row>
    <row r="937">
      <c r="I937" s="2"/>
    </row>
    <row r="938">
      <c r="I938" s="2"/>
    </row>
    <row r="939">
      <c r="I939" s="2"/>
    </row>
    <row r="940">
      <c r="I940" s="2"/>
    </row>
    <row r="941">
      <c r="I941" s="2"/>
    </row>
    <row r="942">
      <c r="I942" s="2"/>
    </row>
    <row r="943">
      <c r="I943" s="2"/>
    </row>
    <row r="944">
      <c r="I944" s="2"/>
    </row>
    <row r="945">
      <c r="I945" s="2"/>
    </row>
    <row r="946">
      <c r="I946" s="2"/>
    </row>
    <row r="947">
      <c r="I947" s="2"/>
    </row>
    <row r="948">
      <c r="I948" s="2"/>
    </row>
    <row r="949">
      <c r="I949" s="2"/>
    </row>
    <row r="950">
      <c r="I950" s="2"/>
    </row>
    <row r="951">
      <c r="I951" s="2"/>
    </row>
    <row r="952">
      <c r="I952" s="2"/>
    </row>
    <row r="953">
      <c r="I953" s="2"/>
    </row>
    <row r="954">
      <c r="I954" s="2"/>
    </row>
    <row r="955">
      <c r="I955" s="2"/>
    </row>
    <row r="956">
      <c r="I956" s="2"/>
    </row>
    <row r="957">
      <c r="I957" s="2"/>
    </row>
    <row r="958">
      <c r="I958" s="2"/>
    </row>
    <row r="959">
      <c r="I959" s="2"/>
    </row>
    <row r="960">
      <c r="I960" s="2"/>
    </row>
    <row r="961">
      <c r="I961" s="2"/>
    </row>
    <row r="962">
      <c r="I962" s="2"/>
    </row>
    <row r="963">
      <c r="I963" s="2"/>
    </row>
    <row r="964">
      <c r="I964" s="2"/>
    </row>
    <row r="965">
      <c r="I965" s="2"/>
    </row>
    <row r="966">
      <c r="I966" s="2"/>
    </row>
    <row r="967">
      <c r="I967" s="2"/>
    </row>
    <row r="968">
      <c r="I968" s="2"/>
    </row>
    <row r="969">
      <c r="I969" s="2"/>
    </row>
    <row r="970">
      <c r="I970" s="2"/>
    </row>
    <row r="971">
      <c r="I971" s="2"/>
    </row>
    <row r="972">
      <c r="I972" s="2"/>
    </row>
    <row r="973">
      <c r="I973" s="2"/>
    </row>
    <row r="974">
      <c r="I974" s="2"/>
    </row>
    <row r="975">
      <c r="I975" s="2"/>
    </row>
    <row r="976">
      <c r="I976" s="2"/>
    </row>
    <row r="977">
      <c r="I977" s="2"/>
    </row>
    <row r="978">
      <c r="I978" s="2"/>
    </row>
    <row r="979">
      <c r="I979" s="2"/>
    </row>
    <row r="980">
      <c r="I980" s="2"/>
    </row>
    <row r="981">
      <c r="I981" s="2"/>
    </row>
    <row r="982">
      <c r="I982" s="2"/>
    </row>
    <row r="983">
      <c r="I983" s="2"/>
    </row>
    <row r="984">
      <c r="I984" s="2"/>
    </row>
    <row r="985">
      <c r="I985" s="2"/>
    </row>
    <row r="986">
      <c r="I986" s="2"/>
    </row>
    <row r="987">
      <c r="I987" s="2"/>
    </row>
    <row r="988">
      <c r="I988" s="2"/>
    </row>
    <row r="989">
      <c r="I989" s="2"/>
    </row>
    <row r="990">
      <c r="I990" s="2"/>
    </row>
    <row r="991">
      <c r="I991" s="2"/>
    </row>
    <row r="992">
      <c r="I992" s="2"/>
    </row>
    <row r="993">
      <c r="I993" s="2"/>
    </row>
    <row r="994">
      <c r="I994" s="2"/>
    </row>
    <row r="995">
      <c r="I995" s="2"/>
    </row>
    <row r="996">
      <c r="I996" s="2"/>
    </row>
    <row r="997">
      <c r="I997" s="2"/>
    </row>
    <row r="998">
      <c r="I998" s="2"/>
    </row>
    <row r="999">
      <c r="I999" s="2"/>
    </row>
    <row r="1000">
      <c r="I1000" s="2"/>
    </row>
  </sheetData>
  <conditionalFormatting sqref="G2:G52">
    <cfRule type="cellIs" dxfId="12" priority="1" operator="lessThan">
      <formula>0</formula>
    </cfRule>
  </conditionalFormatting>
  <conditionalFormatting sqref="H8">
    <cfRule type="notContainsBlanks" dxfId="13" priority="2">
      <formula>LEN(TRIM(H8))&gt;0</formula>
    </cfRule>
  </conditionalFormatting>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16.75"/>
    <col customWidth="1" min="3" max="3" width="15.88"/>
    <col customWidth="1" hidden="1" min="4" max="4" width="18.13"/>
    <col customWidth="1" hidden="1" min="5" max="5" width="19.0"/>
    <col hidden="1" min="6" max="6" width="12.63"/>
    <col customWidth="1" hidden="1" min="7" max="7" width="13.38"/>
    <col customWidth="1" min="8" max="8" width="18.25"/>
    <col customWidth="1" min="9" max="9" width="14.75"/>
    <col customWidth="1" min="11" max="11" width="21.13"/>
  </cols>
  <sheetData>
    <row r="1" ht="22.5" customHeight="1">
      <c r="A1" s="113" t="s">
        <v>125</v>
      </c>
      <c r="B1" s="113" t="s">
        <v>126</v>
      </c>
      <c r="C1" s="113" t="s">
        <v>128</v>
      </c>
      <c r="D1" s="113" t="s">
        <v>129</v>
      </c>
      <c r="E1" s="113" t="s">
        <v>130</v>
      </c>
      <c r="F1" s="113" t="s">
        <v>131</v>
      </c>
      <c r="G1" s="113" t="s">
        <v>132</v>
      </c>
      <c r="H1" s="113" t="s">
        <v>133</v>
      </c>
      <c r="I1" s="114" t="s">
        <v>134</v>
      </c>
    </row>
    <row r="2" ht="22.5" customHeight="1">
      <c r="A2" s="109" t="s">
        <v>53</v>
      </c>
      <c r="B2" s="109" t="s">
        <v>135</v>
      </c>
      <c r="C2" s="115" t="s">
        <v>137</v>
      </c>
      <c r="H2" s="116">
        <f>SUMIF(Sales!G:G,A2,Sales!J:J)-SUMIF(Sales!G:G,A2,Sales!I:I)</f>
        <v>-1250</v>
      </c>
      <c r="I2" s="117"/>
    </row>
    <row r="3" ht="22.5" customHeight="1">
      <c r="A3" s="109" t="s">
        <v>44</v>
      </c>
      <c r="B3" s="109" t="s">
        <v>141</v>
      </c>
      <c r="C3" s="115" t="s">
        <v>137</v>
      </c>
      <c r="H3" s="116">
        <f>SUMIF(Sales!G:G,A3,Sales!J:J)-SUMIF(Sales!G:G,A3,Sales!I:I)</f>
        <v>750</v>
      </c>
      <c r="I3" s="104" t="s">
        <v>144</v>
      </c>
    </row>
    <row r="4" ht="22.5" customHeight="1">
      <c r="A4" s="109" t="s">
        <v>28</v>
      </c>
      <c r="B4" s="109" t="s">
        <v>145</v>
      </c>
      <c r="C4" s="115" t="s">
        <v>146</v>
      </c>
      <c r="H4" s="116">
        <f>SUMIF(Sales!G:G,A4,Sales!J:J)-SUMIF(Sales!G:G,A4,Sales!I:I)</f>
        <v>550</v>
      </c>
      <c r="I4" s="117"/>
    </row>
    <row r="5" ht="22.5" customHeight="1">
      <c r="A5" s="109" t="s">
        <v>34</v>
      </c>
      <c r="B5" s="109" t="s">
        <v>149</v>
      </c>
      <c r="C5" s="115" t="s">
        <v>137</v>
      </c>
      <c r="H5" s="116">
        <f>SUMIF(Sales!G:G,A5,Sales!J:J)-SUMIF(Sales!G:G,A5,Sales!I:I)</f>
        <v>360</v>
      </c>
      <c r="I5" s="104" t="s">
        <v>150</v>
      </c>
    </row>
    <row r="6" ht="22.5" customHeight="1">
      <c r="A6" s="109" t="s">
        <v>42</v>
      </c>
      <c r="B6" s="109" t="s">
        <v>42</v>
      </c>
      <c r="C6" s="115" t="s">
        <v>146</v>
      </c>
      <c r="H6" s="116">
        <f>SUMIF(Sales!G:G,A6,Sales!J:J)-SUMIF(Sales!G:G,A6,Sales!I:I)</f>
        <v>130</v>
      </c>
      <c r="I6" s="107"/>
    </row>
    <row r="7" ht="22.5" customHeight="1">
      <c r="A7" s="109" t="s">
        <v>153</v>
      </c>
      <c r="B7" s="104" t="s">
        <v>155</v>
      </c>
      <c r="C7" s="118" t="s">
        <v>137</v>
      </c>
      <c r="D7" s="107"/>
      <c r="E7" s="107"/>
      <c r="F7" s="107"/>
      <c r="G7" s="107"/>
      <c r="H7" s="116">
        <f>SUMIF(Sales!G:G,A7,Sales!J:J)-SUMIF(Sales!G:G,A7,Sales!I:I)</f>
        <v>0</v>
      </c>
      <c r="I7" s="104" t="s">
        <v>159</v>
      </c>
    </row>
    <row r="8" ht="22.5" customHeight="1">
      <c r="A8" s="109" t="s">
        <v>160</v>
      </c>
      <c r="B8" s="109" t="s">
        <v>161</v>
      </c>
      <c r="C8" s="115" t="s">
        <v>137</v>
      </c>
      <c r="H8" s="116">
        <f>SUMIF(Sales!G:G,A8,Sales!J:J)-SUMIF(Sales!G:G,A8,Sales!I:I)</f>
        <v>0</v>
      </c>
      <c r="I8" s="104" t="s">
        <v>164</v>
      </c>
    </row>
    <row r="9" ht="22.5" customHeight="1">
      <c r="A9" s="109" t="s">
        <v>165</v>
      </c>
      <c r="B9" s="109" t="s">
        <v>166</v>
      </c>
      <c r="C9" s="115" t="s">
        <v>137</v>
      </c>
      <c r="H9" s="116">
        <f>SUMIF(Sales!G:G,A9,Sales!J:J)-SUMIF(Sales!G:G,A9,Sales!I:I)</f>
        <v>0</v>
      </c>
      <c r="I9" s="104" t="s">
        <v>167</v>
      </c>
    </row>
    <row r="10" ht="22.5" customHeight="1">
      <c r="A10" s="109" t="s">
        <v>84</v>
      </c>
      <c r="B10" s="109" t="s">
        <v>169</v>
      </c>
      <c r="C10" s="115" t="s">
        <v>137</v>
      </c>
      <c r="H10" s="116">
        <f>SUMIF(Sales!G:G,A10,Sales!J:J)-SUMIF(Sales!G:G,A10,Sales!I:I)</f>
        <v>-600</v>
      </c>
      <c r="I10" s="104" t="s">
        <v>170</v>
      </c>
    </row>
    <row r="11" ht="22.5" customHeight="1">
      <c r="A11" s="104" t="s">
        <v>171</v>
      </c>
      <c r="B11" s="104" t="s">
        <v>171</v>
      </c>
      <c r="C11" s="118" t="s">
        <v>137</v>
      </c>
      <c r="D11" s="107"/>
      <c r="E11" s="107"/>
      <c r="F11" s="107"/>
      <c r="G11" s="107"/>
      <c r="H11" s="116">
        <f>SUMIF(Sales!G:G,A11,Sales!J:J)-SUMIF(Sales!G:G,A11,Sales!I:I)</f>
        <v>0</v>
      </c>
      <c r="I11" s="117"/>
    </row>
    <row r="12" ht="22.5" customHeight="1">
      <c r="A12" s="109" t="s">
        <v>175</v>
      </c>
      <c r="B12" s="109" t="s">
        <v>176</v>
      </c>
      <c r="C12" s="115" t="s">
        <v>146</v>
      </c>
      <c r="H12" s="116">
        <f>SUMIF(Sales!G:G,A12,Sales!J:J)-SUMIF(Sales!G:G,A12,Sales!I:I)</f>
        <v>0</v>
      </c>
      <c r="I12" s="104" t="s">
        <v>177</v>
      </c>
      <c r="J12" s="18" t="s">
        <v>178</v>
      </c>
    </row>
    <row r="13" ht="22.5" customHeight="1">
      <c r="A13" s="109" t="s">
        <v>179</v>
      </c>
      <c r="B13" s="109" t="s">
        <v>180</v>
      </c>
      <c r="C13" s="115" t="s">
        <v>137</v>
      </c>
      <c r="H13" s="116">
        <f>SUMIF(Sales!G:G,A13,Sales!J:J)-SUMIF(Sales!G:G,A13,Sales!I:I)</f>
        <v>0</v>
      </c>
      <c r="I13" s="104" t="s">
        <v>182</v>
      </c>
    </row>
    <row r="14" ht="22.5" customHeight="1">
      <c r="A14" s="109" t="s">
        <v>183</v>
      </c>
      <c r="B14" s="109" t="s">
        <v>184</v>
      </c>
      <c r="C14" s="115" t="s">
        <v>137</v>
      </c>
      <c r="H14" s="116">
        <f>SUMIF(Sales!G:G,A14,Sales!J:J)-SUMIF(Sales!G:G,A14,Sales!I:I)</f>
        <v>0</v>
      </c>
      <c r="I14" s="104" t="s">
        <v>185</v>
      </c>
    </row>
    <row r="15" ht="22.5" customHeight="1">
      <c r="A15" s="109" t="s">
        <v>187</v>
      </c>
      <c r="B15" s="109" t="s">
        <v>188</v>
      </c>
      <c r="C15" s="115" t="s">
        <v>146</v>
      </c>
      <c r="H15" s="116">
        <f>SUMIF(Sales!G:G,A15,Sales!J:J)-SUMIF(Sales!G:G,A15,Sales!I:I)</f>
        <v>0</v>
      </c>
      <c r="I15" s="104" t="s">
        <v>189</v>
      </c>
    </row>
    <row r="16" ht="22.5" customHeight="1">
      <c r="A16" s="104" t="s">
        <v>190</v>
      </c>
      <c r="B16" s="104" t="s">
        <v>191</v>
      </c>
      <c r="C16" s="118" t="s">
        <v>137</v>
      </c>
      <c r="D16" s="107"/>
      <c r="E16" s="107"/>
      <c r="F16" s="107"/>
      <c r="G16" s="107"/>
      <c r="H16" s="116">
        <f>SUMIF(Sales!G:G,A16,Sales!J:J)-SUMIF(Sales!G:G,A16,Sales!I:I)</f>
        <v>0</v>
      </c>
      <c r="I16" s="104" t="s">
        <v>193</v>
      </c>
    </row>
    <row r="17" ht="22.5" customHeight="1">
      <c r="A17" s="104" t="s">
        <v>194</v>
      </c>
      <c r="B17" s="104" t="s">
        <v>195</v>
      </c>
      <c r="C17" s="118" t="s">
        <v>137</v>
      </c>
      <c r="D17" s="107"/>
      <c r="E17" s="107"/>
      <c r="F17" s="107"/>
      <c r="G17" s="107"/>
      <c r="H17" s="116">
        <f>SUMIF(Sales!G:G,A17,Sales!J:J)-SUMIF(Sales!G:G,A17,Sales!I:I)</f>
        <v>0</v>
      </c>
      <c r="I17" s="104" t="s">
        <v>197</v>
      </c>
    </row>
    <row r="18" ht="22.5" customHeight="1">
      <c r="A18" s="104" t="s">
        <v>198</v>
      </c>
      <c r="B18" s="104" t="s">
        <v>199</v>
      </c>
      <c r="C18" s="118" t="s">
        <v>137</v>
      </c>
      <c r="D18" s="107"/>
      <c r="E18" s="107"/>
      <c r="F18" s="107"/>
      <c r="G18" s="107"/>
      <c r="H18" s="116">
        <f>SUMIF(Sales!G:G,A18,Sales!J:J)-SUMIF(Sales!G:G,A18,Sales!I:I)</f>
        <v>0</v>
      </c>
      <c r="I18" s="117"/>
    </row>
    <row r="19" ht="22.5" customHeight="1">
      <c r="A19" s="104" t="s">
        <v>202</v>
      </c>
      <c r="B19" s="104" t="s">
        <v>202</v>
      </c>
      <c r="C19" s="118" t="s">
        <v>137</v>
      </c>
      <c r="D19" s="107"/>
      <c r="E19" s="107"/>
      <c r="F19" s="107"/>
      <c r="G19" s="107"/>
      <c r="H19" s="116">
        <f>SUMIF(Sales!G:G,A19,Sales!J:J)-SUMIF(Sales!G:G,A19,Sales!I:I)</f>
        <v>0</v>
      </c>
      <c r="I19" s="117"/>
    </row>
    <row r="20" ht="22.5" customHeight="1">
      <c r="A20" s="104" t="s">
        <v>205</v>
      </c>
      <c r="B20" s="104" t="s">
        <v>206</v>
      </c>
      <c r="C20" s="118" t="s">
        <v>137</v>
      </c>
      <c r="D20" s="107"/>
      <c r="E20" s="107"/>
      <c r="F20" s="107"/>
      <c r="G20" s="107"/>
      <c r="H20" s="116">
        <f>SUMIF(Sales!G:G,A20,Sales!J:J)-SUMIF(Sales!G:G,A20,Sales!I:I)</f>
        <v>0</v>
      </c>
      <c r="I20" s="117"/>
    </row>
    <row r="21" ht="22.5" customHeight="1">
      <c r="A21" s="104" t="s">
        <v>209</v>
      </c>
      <c r="B21" s="104" t="s">
        <v>209</v>
      </c>
      <c r="C21" s="118" t="s">
        <v>137</v>
      </c>
      <c r="D21" s="107"/>
      <c r="E21" s="107"/>
      <c r="F21" s="107"/>
      <c r="G21" s="107"/>
      <c r="H21" s="116">
        <f>SUMIF(Sales!G:G,A21,Sales!J:J)-SUMIF(Sales!G:G,A21,Sales!I:I)</f>
        <v>0</v>
      </c>
      <c r="I21" s="117"/>
    </row>
    <row r="22" ht="22.5" customHeight="1">
      <c r="A22" s="104" t="s">
        <v>212</v>
      </c>
      <c r="B22" s="104" t="s">
        <v>212</v>
      </c>
      <c r="C22" s="118" t="s">
        <v>146</v>
      </c>
      <c r="D22" s="107"/>
      <c r="E22" s="107"/>
      <c r="F22" s="107"/>
      <c r="G22" s="107"/>
      <c r="H22" s="116">
        <f>SUMIF(Sales!G:G,A22,Sales!J:J)-SUMIF(Sales!G:G,A22,Sales!I:I)</f>
        <v>0</v>
      </c>
      <c r="I22" s="117"/>
    </row>
    <row r="23" ht="22.5" customHeight="1">
      <c r="A23" s="104" t="s">
        <v>215</v>
      </c>
      <c r="B23" s="104" t="s">
        <v>216</v>
      </c>
      <c r="C23" s="118" t="s">
        <v>146</v>
      </c>
      <c r="D23" s="107"/>
      <c r="E23" s="107"/>
      <c r="F23" s="107"/>
      <c r="G23" s="107"/>
      <c r="H23" s="116">
        <f>SUMIF(Sales!G:G,A23,Sales!J:J)-SUMIF(Sales!G:G,A23,Sales!I:I)</f>
        <v>0</v>
      </c>
      <c r="I23" s="104" t="s">
        <v>219</v>
      </c>
    </row>
    <row r="24" ht="22.5" customHeight="1">
      <c r="A24" s="104" t="s">
        <v>220</v>
      </c>
      <c r="B24" s="104" t="s">
        <v>221</v>
      </c>
      <c r="C24" s="118" t="s">
        <v>137</v>
      </c>
      <c r="D24" s="107"/>
      <c r="E24" s="107"/>
      <c r="F24" s="107"/>
      <c r="G24" s="107"/>
      <c r="H24" s="116">
        <f>SUMIF(Sales!G:G,A24,Sales!J:J)-SUMIF(Sales!G:G,A24,Sales!I:I)</f>
        <v>0</v>
      </c>
      <c r="I24" s="104" t="s">
        <v>222</v>
      </c>
    </row>
    <row r="25" ht="22.5" customHeight="1">
      <c r="A25" s="104" t="s">
        <v>224</v>
      </c>
      <c r="B25" s="104" t="s">
        <v>224</v>
      </c>
      <c r="C25" s="118" t="s">
        <v>137</v>
      </c>
      <c r="D25" s="107"/>
      <c r="E25" s="107"/>
      <c r="F25" s="107"/>
      <c r="G25" s="107"/>
      <c r="H25" s="116">
        <f>SUMIF(Sales!G:G,A25,Sales!J:J)-SUMIF(Sales!G:G,A25,Sales!I:I)</f>
        <v>0</v>
      </c>
      <c r="I25" s="117"/>
    </row>
    <row r="26" ht="22.5" customHeight="1">
      <c r="A26" s="104" t="s">
        <v>226</v>
      </c>
      <c r="B26" s="104" t="s">
        <v>227</v>
      </c>
      <c r="C26" s="118" t="s">
        <v>137</v>
      </c>
      <c r="D26" s="107"/>
      <c r="E26" s="107"/>
      <c r="F26" s="107"/>
      <c r="G26" s="107"/>
      <c r="H26" s="116">
        <f>SUMIF(Sales!G:G,A26,Sales!J:J)-SUMIF(Sales!G:G,A26,Sales!I:I)</f>
        <v>0</v>
      </c>
      <c r="I26" s="117"/>
    </row>
    <row r="27" ht="22.5" customHeight="1">
      <c r="A27" s="104" t="s">
        <v>229</v>
      </c>
      <c r="B27" s="104" t="s">
        <v>229</v>
      </c>
      <c r="C27" s="118" t="s">
        <v>137</v>
      </c>
      <c r="D27" s="107"/>
      <c r="E27" s="107"/>
      <c r="F27" s="107"/>
      <c r="G27" s="107"/>
      <c r="H27" s="116">
        <f>SUMIF(Sales!G:G,A27,Sales!J:J)-SUMIF(Sales!G:G,A27,Sales!I:I)</f>
        <v>0</v>
      </c>
      <c r="I27" s="117"/>
    </row>
    <row r="28" ht="22.5" customHeight="1">
      <c r="A28" s="109" t="s">
        <v>231</v>
      </c>
      <c r="B28" s="109" t="s">
        <v>232</v>
      </c>
      <c r="C28" s="115" t="s">
        <v>137</v>
      </c>
      <c r="H28" s="116">
        <f>SUMIF(Sales!G:G,A28,Sales!J:J)-SUMIF(Sales!G:G,A28,Sales!I:I)</f>
        <v>0</v>
      </c>
      <c r="I28" s="104" t="s">
        <v>234</v>
      </c>
    </row>
    <row r="29" ht="22.5" customHeight="1">
      <c r="A29" s="104" t="s">
        <v>235</v>
      </c>
      <c r="B29" s="104" t="s">
        <v>236</v>
      </c>
      <c r="C29" s="118" t="s">
        <v>137</v>
      </c>
      <c r="D29" s="107"/>
      <c r="E29" s="107"/>
      <c r="F29" s="107"/>
      <c r="G29" s="107"/>
      <c r="H29" s="116">
        <f>SUMIF(Sales!G:G,A29,Sales!J:J)-SUMIF(Sales!G:G,A29,Sales!I:I)</f>
        <v>0</v>
      </c>
      <c r="I29" s="117"/>
    </row>
    <row r="30" ht="22.5" customHeight="1">
      <c r="A30" s="109" t="s">
        <v>238</v>
      </c>
      <c r="B30" s="109" t="s">
        <v>238</v>
      </c>
      <c r="C30" s="115" t="s">
        <v>146</v>
      </c>
      <c r="H30" s="116">
        <f>SUMIF(Sales!G:G,A30,Sales!J:J)-SUMIF(Sales!G:G,A30,Sales!I:I)</f>
        <v>0</v>
      </c>
      <c r="I30" s="107"/>
    </row>
    <row r="31" ht="22.5" customHeight="1">
      <c r="A31" s="109" t="s">
        <v>239</v>
      </c>
      <c r="B31" s="109" t="s">
        <v>241</v>
      </c>
      <c r="C31" s="115" t="s">
        <v>137</v>
      </c>
      <c r="H31" s="116">
        <f>SUMIF(Sales!G:G,A31,Sales!J:J)-SUMIF(Sales!G:G,A31,Sales!I:I)</f>
        <v>0</v>
      </c>
      <c r="I31" s="107"/>
    </row>
    <row r="32" ht="22.5" customHeight="1">
      <c r="A32" s="109" t="s">
        <v>243</v>
      </c>
      <c r="B32" s="109" t="s">
        <v>244</v>
      </c>
      <c r="C32" s="115" t="s">
        <v>146</v>
      </c>
      <c r="H32" s="116">
        <f>SUMIF(Sales!G:G,A32,Sales!J:J)-SUMIF(Sales!G:G,A32,Sales!I:I)</f>
        <v>0</v>
      </c>
      <c r="I32" s="107"/>
    </row>
    <row r="33" ht="22.5" customHeight="1">
      <c r="A33" s="109" t="s">
        <v>80</v>
      </c>
      <c r="B33" s="109" t="s">
        <v>71</v>
      </c>
      <c r="C33" s="115" t="s">
        <v>137</v>
      </c>
      <c r="H33" s="116">
        <f>SUMIF(Sales!G:G,A33,Sales!J:J)-SUMIF(Sales!G:G,A33,Sales!I:I)</f>
        <v>-350</v>
      </c>
      <c r="I33" s="117"/>
    </row>
    <row r="34" ht="22.5" customHeight="1">
      <c r="A34" s="109" t="s">
        <v>248</v>
      </c>
      <c r="B34" s="109" t="s">
        <v>248</v>
      </c>
      <c r="C34" s="115" t="s">
        <v>137</v>
      </c>
      <c r="H34" s="116">
        <f>SUMIF(Sales!G:G,A34,Sales!J:J)-SUMIF(Sales!G:G,A34,Sales!I:I)</f>
        <v>0</v>
      </c>
      <c r="I34" s="107"/>
    </row>
    <row r="35" ht="22.5" customHeight="1">
      <c r="A35" s="109" t="s">
        <v>249</v>
      </c>
      <c r="B35" s="109" t="s">
        <v>250</v>
      </c>
      <c r="C35" s="115" t="s">
        <v>137</v>
      </c>
      <c r="H35" s="116">
        <f>SUMIF(Sales!G:G,A35,Sales!J:J)-SUMIF(Sales!G:G,A35,Sales!I:I)</f>
        <v>0</v>
      </c>
      <c r="I35" s="107"/>
    </row>
    <row r="36" ht="22.5" customHeight="1">
      <c r="A36" s="109" t="s">
        <v>251</v>
      </c>
      <c r="B36" s="109" t="s">
        <v>252</v>
      </c>
      <c r="C36" s="115" t="s">
        <v>137</v>
      </c>
      <c r="H36" s="116">
        <f>SUMIF(Sales!G:G,A36,Sales!J:J)-SUMIF(Sales!G:G,A36,Sales!I:I)</f>
        <v>0</v>
      </c>
      <c r="I36" s="107"/>
    </row>
    <row r="37" ht="22.5" customHeight="1">
      <c r="A37" s="109" t="s">
        <v>253</v>
      </c>
      <c r="B37" s="109" t="s">
        <v>254</v>
      </c>
      <c r="C37" s="115" t="s">
        <v>137</v>
      </c>
      <c r="H37" s="116">
        <f>SUMIF(Sales!G:G,A37,Sales!J:J)-SUMIF(Sales!G:G,A37,Sales!I:I)</f>
        <v>0</v>
      </c>
      <c r="I37" s="107"/>
    </row>
    <row r="38" ht="22.5" customHeight="1">
      <c r="A38" s="109" t="s">
        <v>82</v>
      </c>
      <c r="B38" s="109" t="s">
        <v>255</v>
      </c>
      <c r="C38" s="115" t="s">
        <v>137</v>
      </c>
      <c r="H38" s="116">
        <f>SUMIF(Sales!G:G,A38,Sales!J:J)-SUMIF(Sales!G:G,A38,Sales!I:I)</f>
        <v>-140</v>
      </c>
      <c r="I38" s="117"/>
    </row>
    <row r="39" ht="22.5" customHeight="1">
      <c r="A39" s="109" t="s">
        <v>256</v>
      </c>
      <c r="B39" s="109" t="s">
        <v>257</v>
      </c>
      <c r="C39" s="115" t="s">
        <v>137</v>
      </c>
      <c r="H39" s="116">
        <f>SUMIF(Sales!G:G,A39,Sales!J:J)-SUMIF(Sales!G:G,A39,Sales!I:I)</f>
        <v>0</v>
      </c>
      <c r="I39" s="107"/>
    </row>
    <row r="40" ht="22.5" customHeight="1">
      <c r="A40" s="109" t="s">
        <v>258</v>
      </c>
      <c r="B40" s="109" t="s">
        <v>259</v>
      </c>
      <c r="C40" s="115" t="s">
        <v>137</v>
      </c>
      <c r="H40" s="116">
        <f>SUMIF(Sales!G:G,A40,Sales!J:J)-SUMIF(Sales!G:G,A40,Sales!I:I)</f>
        <v>0</v>
      </c>
      <c r="I40" s="107"/>
    </row>
    <row r="41" ht="22.5" customHeight="1">
      <c r="A41" s="109" t="s">
        <v>260</v>
      </c>
      <c r="B41" s="109" t="s">
        <v>260</v>
      </c>
      <c r="C41" s="115" t="s">
        <v>146</v>
      </c>
      <c r="H41" s="116">
        <f>SUMIF(Sales!G:G,A41,Sales!J:J)-SUMIF(Sales!G:G,A41,Sales!I:I)</f>
        <v>0</v>
      </c>
      <c r="I41" s="107"/>
    </row>
    <row r="42" ht="22.5" customHeight="1">
      <c r="A42" s="109" t="s">
        <v>261</v>
      </c>
      <c r="B42" s="109" t="s">
        <v>262</v>
      </c>
      <c r="C42" s="115" t="s">
        <v>137</v>
      </c>
      <c r="H42" s="116">
        <f>SUMIF(Sales!G:G,A42,Sales!J:J)-SUMIF(Sales!G:G,A42,Sales!I:I)</f>
        <v>0</v>
      </c>
      <c r="I42" s="117"/>
    </row>
    <row r="43" ht="22.5" customHeight="1">
      <c r="A43" s="109" t="s">
        <v>263</v>
      </c>
      <c r="B43" s="109" t="s">
        <v>264</v>
      </c>
      <c r="C43" s="115" t="s">
        <v>137</v>
      </c>
      <c r="H43" s="116">
        <f>SUMIF(Sales!G:G,A43,Sales!J:J)-SUMIF(Sales!G:G,A43,Sales!I:I)</f>
        <v>0</v>
      </c>
      <c r="I43" s="107"/>
    </row>
    <row r="44" ht="22.5" customHeight="1">
      <c r="A44" s="104" t="s">
        <v>265</v>
      </c>
      <c r="B44" s="104" t="s">
        <v>265</v>
      </c>
      <c r="C44" s="118" t="s">
        <v>137</v>
      </c>
      <c r="D44" s="107"/>
      <c r="E44" s="107"/>
      <c r="F44" s="107"/>
      <c r="G44" s="107"/>
      <c r="H44" s="116">
        <f>SUMIF(Sales!G:G,A44,Sales!J:J)-SUMIF(Sales!G:G,A44,Sales!I:I)</f>
        <v>0</v>
      </c>
      <c r="I44" s="117"/>
    </row>
    <row r="45" ht="22.5" customHeight="1">
      <c r="A45" s="104" t="s">
        <v>266</v>
      </c>
      <c r="B45" s="104" t="s">
        <v>267</v>
      </c>
      <c r="C45" s="118" t="s">
        <v>137</v>
      </c>
      <c r="D45" s="107"/>
      <c r="E45" s="107"/>
      <c r="F45" s="107"/>
      <c r="G45" s="107"/>
      <c r="H45" s="116">
        <f>SUMIF(Sales!G:G,A45,Sales!J:J)-SUMIF(Sales!G:G,A45,Sales!I:I)</f>
        <v>0</v>
      </c>
      <c r="I45" s="117"/>
    </row>
    <row r="46" ht="22.5" customHeight="1">
      <c r="A46" s="104" t="s">
        <v>79</v>
      </c>
      <c r="B46" s="104" t="s">
        <v>268</v>
      </c>
      <c r="C46" s="118" t="s">
        <v>146</v>
      </c>
      <c r="D46" s="107"/>
      <c r="E46" s="107"/>
      <c r="F46" s="107"/>
      <c r="G46" s="107"/>
      <c r="H46" s="116">
        <f>SUMIF(Sales!G:G,A46,Sales!J:J)-SUMIF(Sales!G:G,A46,Sales!I:I)</f>
        <v>-50</v>
      </c>
      <c r="I46" s="117"/>
    </row>
    <row r="47" ht="22.5" customHeight="1">
      <c r="A47" s="104" t="s">
        <v>269</v>
      </c>
      <c r="B47" s="104" t="s">
        <v>269</v>
      </c>
      <c r="C47" s="118" t="s">
        <v>146</v>
      </c>
      <c r="D47" s="107"/>
      <c r="E47" s="107"/>
      <c r="F47" s="107"/>
      <c r="G47" s="107"/>
      <c r="H47" s="116">
        <f>SUMIF(Sales!G:G,A47,Sales!J:J)-SUMIF(Sales!G:G,A47,Sales!I:I)</f>
        <v>0</v>
      </c>
      <c r="I47" s="117"/>
    </row>
    <row r="48" ht="22.5" customHeight="1">
      <c r="A48" s="104" t="s">
        <v>270</v>
      </c>
      <c r="B48" s="104" t="s">
        <v>271</v>
      </c>
      <c r="C48" s="118" t="s">
        <v>137</v>
      </c>
      <c r="D48" s="107"/>
      <c r="E48" s="107"/>
      <c r="F48" s="107"/>
      <c r="G48" s="107"/>
      <c r="H48" s="116">
        <f>SUMIF(Sales!G:G,A48,Sales!J:J)-SUMIF(Sales!G:G,A48,Sales!I:I)</f>
        <v>0</v>
      </c>
      <c r="I48" s="117"/>
    </row>
    <row r="49" ht="22.5" customHeight="1">
      <c r="A49" s="104" t="s">
        <v>272</v>
      </c>
      <c r="B49" s="104" t="s">
        <v>273</v>
      </c>
      <c r="C49" s="118" t="s">
        <v>137</v>
      </c>
      <c r="D49" s="107"/>
      <c r="E49" s="107"/>
      <c r="F49" s="107"/>
      <c r="G49" s="107"/>
      <c r="H49" s="116">
        <f>SUMIF(Sales!G:G,A49,Sales!J:J)-SUMIF(Sales!G:G,A49,Sales!I:I)</f>
        <v>0</v>
      </c>
      <c r="I49" s="117"/>
    </row>
    <row r="50" ht="22.5" customHeight="1">
      <c r="A50" s="104" t="s">
        <v>274</v>
      </c>
      <c r="B50" s="104" t="s">
        <v>274</v>
      </c>
      <c r="C50" s="118" t="s">
        <v>137</v>
      </c>
      <c r="D50" s="107"/>
      <c r="E50" s="107"/>
      <c r="F50" s="107"/>
      <c r="G50" s="107"/>
      <c r="H50" s="116">
        <f>SUMIF(Sales!G:G,A50,Sales!J:J)-SUMIF(Sales!G:G,A50,Sales!I:I)</f>
        <v>0</v>
      </c>
      <c r="I50" s="117"/>
    </row>
    <row r="51" ht="22.5" customHeight="1">
      <c r="A51" s="104" t="s">
        <v>275</v>
      </c>
      <c r="B51" s="104" t="s">
        <v>275</v>
      </c>
      <c r="C51" s="118" t="s">
        <v>137</v>
      </c>
      <c r="D51" s="107"/>
      <c r="E51" s="107"/>
      <c r="F51" s="107"/>
      <c r="G51" s="107"/>
      <c r="H51" s="116">
        <f>SUMIF(Sales!G:G,A51,Sales!J:J)-SUMIF(Sales!G:G,A51,Sales!I:I)</f>
        <v>0</v>
      </c>
      <c r="I51" s="117"/>
    </row>
    <row r="52" ht="22.5" customHeight="1">
      <c r="A52" s="104" t="s">
        <v>276</v>
      </c>
      <c r="B52" s="104" t="s">
        <v>276</v>
      </c>
      <c r="C52" s="118" t="s">
        <v>137</v>
      </c>
      <c r="D52" s="107"/>
      <c r="E52" s="107"/>
      <c r="F52" s="107"/>
      <c r="G52" s="107"/>
      <c r="H52" s="116">
        <f>SUMIF(Sales!G:G,A52,Sales!J:J)-SUMIF(Sales!G:G,A52,Sales!I:I)</f>
        <v>0</v>
      </c>
      <c r="I52" s="117"/>
    </row>
    <row r="53" ht="22.5" customHeight="1">
      <c r="A53" s="104" t="s">
        <v>277</v>
      </c>
      <c r="B53" s="104" t="s">
        <v>277</v>
      </c>
      <c r="C53" s="118" t="s">
        <v>137</v>
      </c>
      <c r="D53" s="107"/>
      <c r="E53" s="107"/>
      <c r="F53" s="107"/>
      <c r="G53" s="107"/>
      <c r="H53" s="116">
        <f>SUMIF(Sales!G:G,A53,Sales!J:J)-SUMIF(Sales!G:G,A53,Sales!I:I)</f>
        <v>0</v>
      </c>
      <c r="I53" s="117"/>
    </row>
    <row r="54" ht="22.5" customHeight="1">
      <c r="A54" s="104" t="s">
        <v>278</v>
      </c>
      <c r="B54" s="104" t="s">
        <v>279</v>
      </c>
      <c r="C54" s="118" t="s">
        <v>137</v>
      </c>
      <c r="D54" s="107"/>
      <c r="E54" s="107"/>
      <c r="F54" s="107"/>
      <c r="G54" s="107"/>
      <c r="H54" s="116">
        <f>SUMIF(Sales!G:G,A54,Sales!J:J)-SUMIF(Sales!G:G,A54,Sales!I:I)</f>
        <v>0</v>
      </c>
      <c r="I54" s="117"/>
    </row>
    <row r="55" ht="22.5" customHeight="1">
      <c r="A55" s="104" t="s">
        <v>280</v>
      </c>
      <c r="B55" s="104" t="s">
        <v>280</v>
      </c>
      <c r="C55" s="118" t="s">
        <v>137</v>
      </c>
      <c r="D55" s="107"/>
      <c r="E55" s="107"/>
      <c r="F55" s="107"/>
      <c r="G55" s="107"/>
      <c r="H55" s="116">
        <f>SUMIF(Sales!G:G,A55,Sales!J:J)-SUMIF(Sales!G:G,A55,Sales!I:I)</f>
        <v>0</v>
      </c>
      <c r="I55" s="117"/>
    </row>
    <row r="56" ht="22.5" customHeight="1">
      <c r="A56" s="104" t="s">
        <v>281</v>
      </c>
      <c r="B56" s="104" t="s">
        <v>282</v>
      </c>
      <c r="C56" s="118" t="s">
        <v>137</v>
      </c>
      <c r="D56" s="107"/>
      <c r="E56" s="107"/>
      <c r="F56" s="107"/>
      <c r="G56" s="107"/>
      <c r="H56" s="116">
        <f>SUMIF(Sales!G:G,A56,Sales!J:J)-SUMIF(Sales!G:G,A56,Sales!I:I)</f>
        <v>0</v>
      </c>
      <c r="I56" s="117"/>
    </row>
    <row r="57" ht="22.5" customHeight="1">
      <c r="A57" s="104" t="s">
        <v>283</v>
      </c>
      <c r="B57" s="104" t="s">
        <v>284</v>
      </c>
      <c r="C57" s="118" t="s">
        <v>137</v>
      </c>
      <c r="D57" s="107"/>
      <c r="E57" s="107"/>
      <c r="F57" s="107"/>
      <c r="G57" s="107"/>
      <c r="H57" s="116">
        <f>SUMIF(Sales!G:G,A57,Sales!J:J)-SUMIF(Sales!G:G,A57,Sales!I:I)</f>
        <v>0</v>
      </c>
      <c r="I57" s="117"/>
    </row>
    <row r="58" ht="22.5" customHeight="1">
      <c r="A58" s="104" t="s">
        <v>285</v>
      </c>
      <c r="B58" s="104" t="s">
        <v>285</v>
      </c>
      <c r="C58" s="118" t="s">
        <v>146</v>
      </c>
      <c r="D58" s="107"/>
      <c r="E58" s="107"/>
      <c r="F58" s="107"/>
      <c r="G58" s="107"/>
      <c r="H58" s="116">
        <f>SUMIF(Sales!G:G,A58,Sales!J:J)-SUMIF(Sales!G:G,A58,Sales!I:I)</f>
        <v>0</v>
      </c>
      <c r="I58" s="117"/>
    </row>
    <row r="59" ht="22.5" customHeight="1">
      <c r="A59" s="104" t="s">
        <v>286</v>
      </c>
      <c r="B59" s="104" t="s">
        <v>286</v>
      </c>
      <c r="C59" s="118" t="s">
        <v>137</v>
      </c>
      <c r="D59" s="107"/>
      <c r="E59" s="107"/>
      <c r="F59" s="107"/>
      <c r="G59" s="107"/>
      <c r="H59" s="116">
        <f>SUMIF(Sales!G:G,A59,Sales!J:J)-SUMIF(Sales!G:G,A59,Sales!I:I)</f>
        <v>0</v>
      </c>
      <c r="I59" s="117"/>
    </row>
    <row r="60" ht="22.5" customHeight="1">
      <c r="A60" s="104" t="s">
        <v>287</v>
      </c>
      <c r="B60" s="104" t="s">
        <v>287</v>
      </c>
      <c r="C60" s="118" t="s">
        <v>137</v>
      </c>
      <c r="D60" s="107"/>
      <c r="E60" s="107"/>
      <c r="F60" s="107"/>
      <c r="G60" s="107"/>
      <c r="H60" s="116">
        <f>SUMIF(Sales!G:G,A60,Sales!J:J)-SUMIF(Sales!G:G,A60,Sales!I:I)</f>
        <v>0</v>
      </c>
      <c r="I60" s="117"/>
    </row>
    <row r="61" ht="22.5" customHeight="1">
      <c r="A61" s="104" t="s">
        <v>288</v>
      </c>
      <c r="B61" s="104" t="s">
        <v>288</v>
      </c>
      <c r="C61" s="118" t="s">
        <v>137</v>
      </c>
      <c r="D61" s="107"/>
      <c r="E61" s="107"/>
      <c r="F61" s="107"/>
      <c r="G61" s="107"/>
      <c r="H61" s="116">
        <f>SUMIF(Sales!G:G,A61,Sales!J:J)-SUMIF(Sales!G:G,A61,Sales!I:I)</f>
        <v>0</v>
      </c>
      <c r="I61" s="117"/>
    </row>
    <row r="62" ht="22.5" customHeight="1">
      <c r="A62" s="104" t="s">
        <v>289</v>
      </c>
      <c r="B62" s="104" t="s">
        <v>289</v>
      </c>
      <c r="C62" s="118" t="s">
        <v>137</v>
      </c>
      <c r="D62" s="107"/>
      <c r="E62" s="107"/>
      <c r="F62" s="107"/>
      <c r="G62" s="107"/>
      <c r="H62" s="116">
        <f>SUMIF(Sales!G:G,A62,Sales!J:J)-SUMIF(Sales!G:G,A62,Sales!I:I)</f>
        <v>0</v>
      </c>
      <c r="I62" s="117"/>
    </row>
    <row r="63" ht="22.5" customHeight="1">
      <c r="A63" s="104" t="s">
        <v>290</v>
      </c>
      <c r="B63" s="104" t="s">
        <v>291</v>
      </c>
      <c r="C63" s="118" t="s">
        <v>146</v>
      </c>
      <c r="D63" s="107"/>
      <c r="E63" s="107"/>
      <c r="F63" s="107"/>
      <c r="G63" s="107"/>
      <c r="H63" s="116">
        <f>SUMIF(Sales!G:G,A63,Sales!J:J)-SUMIF(Sales!G:G,A63,Sales!I:I)</f>
        <v>0</v>
      </c>
      <c r="I63" s="117"/>
    </row>
    <row r="64" ht="22.5" customHeight="1">
      <c r="A64" s="104" t="s">
        <v>292</v>
      </c>
      <c r="B64" s="104" t="s">
        <v>292</v>
      </c>
      <c r="C64" s="118" t="s">
        <v>146</v>
      </c>
      <c r="D64" s="107"/>
      <c r="E64" s="107"/>
      <c r="F64" s="107"/>
      <c r="G64" s="107"/>
      <c r="H64" s="116">
        <f>SUMIF(Sales!G:G,A64,Sales!J:J)-SUMIF(Sales!G:G,A64,Sales!I:I)</f>
        <v>0</v>
      </c>
      <c r="I64" s="117"/>
    </row>
    <row r="65" ht="22.5" customHeight="1">
      <c r="A65" s="104" t="s">
        <v>293</v>
      </c>
      <c r="B65" s="104" t="s">
        <v>294</v>
      </c>
      <c r="C65" s="118" t="s">
        <v>137</v>
      </c>
      <c r="D65" s="107"/>
      <c r="E65" s="107"/>
      <c r="F65" s="107"/>
      <c r="G65" s="107"/>
      <c r="H65" s="116">
        <f>SUMIF(Sales!G:G,A65,Sales!J:J)-SUMIF(Sales!G:G,A65,Sales!I:I)</f>
        <v>0</v>
      </c>
      <c r="I65" s="117"/>
    </row>
    <row r="66" ht="22.5" customHeight="1">
      <c r="A66" s="104" t="s">
        <v>295</v>
      </c>
      <c r="B66" s="104" t="s">
        <v>295</v>
      </c>
      <c r="C66" s="118" t="s">
        <v>137</v>
      </c>
      <c r="D66" s="107"/>
      <c r="E66" s="107"/>
      <c r="F66" s="107"/>
      <c r="G66" s="107"/>
      <c r="H66" s="116">
        <f>SUMIF(Sales!G:G,A66,Sales!J:J)-SUMIF(Sales!G:G,A66,Sales!I:I)</f>
        <v>0</v>
      </c>
      <c r="I66" s="117"/>
    </row>
    <row r="67" ht="22.5" customHeight="1">
      <c r="A67" s="104" t="s">
        <v>296</v>
      </c>
      <c r="B67" s="104" t="s">
        <v>296</v>
      </c>
      <c r="C67" s="118" t="s">
        <v>137</v>
      </c>
      <c r="D67" s="107"/>
      <c r="E67" s="107"/>
      <c r="F67" s="107"/>
      <c r="G67" s="107"/>
      <c r="H67" s="116">
        <f>SUMIF(Sales!G:G,A67,Sales!J:J)-SUMIF(Sales!G:G,A67,Sales!I:I)</f>
        <v>0</v>
      </c>
      <c r="I67" s="117"/>
    </row>
    <row r="68" ht="22.5" customHeight="1">
      <c r="A68" s="104" t="s">
        <v>297</v>
      </c>
      <c r="B68" s="104" t="s">
        <v>297</v>
      </c>
      <c r="C68" s="118" t="s">
        <v>146</v>
      </c>
      <c r="D68" s="107"/>
      <c r="E68" s="107"/>
      <c r="F68" s="107"/>
      <c r="G68" s="107"/>
      <c r="H68" s="116">
        <f>SUMIF(Sales!G:G,A68,Sales!J:J)-SUMIF(Sales!G:G,A68,Sales!I:I)</f>
        <v>0</v>
      </c>
      <c r="I68" s="117"/>
    </row>
    <row r="69" ht="22.5" customHeight="1">
      <c r="A69" s="104" t="s">
        <v>298</v>
      </c>
      <c r="B69" s="104" t="s">
        <v>298</v>
      </c>
      <c r="C69" s="118" t="s">
        <v>137</v>
      </c>
      <c r="D69" s="107"/>
      <c r="E69" s="107"/>
      <c r="F69" s="107"/>
      <c r="G69" s="107"/>
      <c r="H69" s="116">
        <f>SUMIF(Sales!G:G,A69,Sales!J:J)-SUMIF(Sales!G:G,A69,Sales!I:I)</f>
        <v>0</v>
      </c>
      <c r="I69" s="117"/>
    </row>
    <row r="70" ht="22.5" customHeight="1">
      <c r="A70" s="104" t="s">
        <v>299</v>
      </c>
      <c r="B70" s="104" t="s">
        <v>299</v>
      </c>
      <c r="C70" s="118" t="s">
        <v>137</v>
      </c>
      <c r="D70" s="107"/>
      <c r="E70" s="107"/>
      <c r="F70" s="107"/>
      <c r="G70" s="107"/>
      <c r="H70" s="116">
        <f>SUMIF(Sales!G:G,A70,Sales!J:J)-SUMIF(Sales!G:G,A70,Sales!I:I)</f>
        <v>0</v>
      </c>
      <c r="I70" s="117"/>
    </row>
    <row r="71" ht="22.5" customHeight="1">
      <c r="A71" s="104" t="s">
        <v>300</v>
      </c>
      <c r="B71" s="104" t="s">
        <v>300</v>
      </c>
      <c r="C71" s="118" t="s">
        <v>137</v>
      </c>
      <c r="D71" s="107"/>
      <c r="E71" s="107"/>
      <c r="F71" s="107"/>
      <c r="G71" s="107"/>
      <c r="H71" s="116">
        <f>SUMIF(Sales!G:G,A71,Sales!J:J)-SUMIF(Sales!G:G,A71,Sales!I:I)</f>
        <v>0</v>
      </c>
      <c r="I71" s="117"/>
    </row>
    <row r="72" ht="22.5" customHeight="1">
      <c r="A72" s="104" t="s">
        <v>301</v>
      </c>
      <c r="B72" s="104" t="s">
        <v>301</v>
      </c>
      <c r="C72" s="118" t="s">
        <v>137</v>
      </c>
      <c r="D72" s="107"/>
      <c r="E72" s="107"/>
      <c r="F72" s="107"/>
      <c r="G72" s="107"/>
      <c r="H72" s="116">
        <f>SUMIF(Sales!G:G,A72,Sales!J:J)-SUMIF(Sales!G:G,A72,Sales!I:I)</f>
        <v>0</v>
      </c>
      <c r="I72" s="117"/>
    </row>
    <row r="73" ht="22.5" customHeight="1">
      <c r="A73" s="104" t="s">
        <v>302</v>
      </c>
      <c r="B73" s="104" t="s">
        <v>302</v>
      </c>
      <c r="C73" s="118" t="s">
        <v>146</v>
      </c>
      <c r="D73" s="107"/>
      <c r="E73" s="107"/>
      <c r="F73" s="107"/>
      <c r="G73" s="107"/>
      <c r="H73" s="116">
        <f>SUMIF(Sales!G:G,A73,Sales!J:J)-SUMIF(Sales!G:G,A73,Sales!I:I)</f>
        <v>0</v>
      </c>
      <c r="I73" s="117"/>
    </row>
    <row r="74" ht="22.5" customHeight="1">
      <c r="A74" s="104" t="s">
        <v>303</v>
      </c>
      <c r="B74" s="104" t="s">
        <v>303</v>
      </c>
      <c r="C74" s="118" t="s">
        <v>146</v>
      </c>
      <c r="D74" s="107"/>
      <c r="E74" s="107"/>
      <c r="F74" s="107"/>
      <c r="G74" s="107"/>
      <c r="H74" s="116">
        <f>SUMIF(Sales!G:G,A74,Sales!J:J)-SUMIF(Sales!G:G,A74,Sales!I:I)</f>
        <v>0</v>
      </c>
      <c r="I74" s="117"/>
    </row>
    <row r="75" ht="22.5" customHeight="1">
      <c r="A75" s="104" t="s">
        <v>41</v>
      </c>
      <c r="B75" s="104" t="s">
        <v>41</v>
      </c>
      <c r="C75" s="118" t="s">
        <v>137</v>
      </c>
      <c r="D75" s="107"/>
      <c r="E75" s="107"/>
      <c r="F75" s="107"/>
      <c r="G75" s="107"/>
      <c r="H75" s="116">
        <f>SUMIF(Sales!G:G,A75,Sales!J:J)-SUMIF(Sales!G:G,A75,Sales!I:I)</f>
        <v>-680</v>
      </c>
      <c r="I75" s="117"/>
    </row>
    <row r="76" ht="22.5" customHeight="1">
      <c r="A76" s="104" t="s">
        <v>49</v>
      </c>
      <c r="B76" s="104" t="s">
        <v>304</v>
      </c>
      <c r="C76" s="118" t="s">
        <v>137</v>
      </c>
      <c r="D76" s="107"/>
      <c r="E76" s="107"/>
      <c r="F76" s="107"/>
      <c r="G76" s="107"/>
      <c r="H76" s="116">
        <f>SUMIF(Sales!G:G,A76,Sales!J:J)-SUMIF(Sales!G:G,A76,Sales!I:I)</f>
        <v>-400</v>
      </c>
      <c r="I76" s="117"/>
    </row>
    <row r="77" ht="22.5" customHeight="1">
      <c r="A77" s="104" t="s">
        <v>30</v>
      </c>
      <c r="B77" s="104" t="s">
        <v>305</v>
      </c>
      <c r="C77" s="118" t="s">
        <v>137</v>
      </c>
      <c r="D77" s="107"/>
      <c r="E77" s="107"/>
      <c r="F77" s="107"/>
      <c r="G77" s="107"/>
      <c r="H77" s="116">
        <f>SUMIF(Sales!G:G,A77,Sales!J:J)-SUMIF(Sales!G:G,A77,Sales!I:I)</f>
        <v>-950</v>
      </c>
      <c r="I77" s="117"/>
    </row>
    <row r="78" ht="22.5" customHeight="1">
      <c r="A78" s="104" t="s">
        <v>46</v>
      </c>
      <c r="B78" s="104" t="s">
        <v>46</v>
      </c>
      <c r="C78" s="118" t="s">
        <v>137</v>
      </c>
      <c r="D78" s="107"/>
      <c r="E78" s="107"/>
      <c r="F78" s="107"/>
      <c r="G78" s="107"/>
      <c r="H78" s="116">
        <f>SUMIF(Sales!G:G,A78,Sales!J:J)-SUMIF(Sales!G:G,A78,Sales!I:I)</f>
        <v>-2000</v>
      </c>
      <c r="I78" s="104" t="s">
        <v>306</v>
      </c>
    </row>
    <row r="79" ht="22.5" customHeight="1">
      <c r="A79" s="104" t="s">
        <v>36</v>
      </c>
      <c r="B79" s="104" t="s">
        <v>307</v>
      </c>
      <c r="C79" s="118" t="s">
        <v>137</v>
      </c>
      <c r="D79" s="107"/>
      <c r="E79" s="107"/>
      <c r="F79" s="107"/>
      <c r="G79" s="107"/>
      <c r="H79" s="116">
        <f>SUMIF(Sales!G:G,A79,Sales!J:J)-SUMIF(Sales!G:G,A79,Sales!I:I)</f>
        <v>-4215</v>
      </c>
      <c r="I79" s="117"/>
    </row>
    <row r="80" ht="22.5" customHeight="1">
      <c r="A80" s="104" t="s">
        <v>78</v>
      </c>
      <c r="B80" s="104" t="s">
        <v>308</v>
      </c>
      <c r="C80" s="118" t="s">
        <v>137</v>
      </c>
      <c r="D80" s="107"/>
      <c r="E80" s="107"/>
      <c r="F80" s="107"/>
      <c r="G80" s="107"/>
      <c r="H80" s="116">
        <f>SUMIF(Sales!G:G,A80,Sales!J:J)-SUMIF(Sales!G:G,A80,Sales!I:I)</f>
        <v>-300</v>
      </c>
      <c r="I80" s="117"/>
    </row>
    <row r="81" ht="22.5" customHeight="1">
      <c r="A81" s="104" t="s">
        <v>83</v>
      </c>
      <c r="B81" s="104" t="s">
        <v>309</v>
      </c>
      <c r="C81" s="118" t="s">
        <v>137</v>
      </c>
      <c r="D81" s="107"/>
      <c r="E81" s="107"/>
      <c r="F81" s="107"/>
      <c r="G81" s="107"/>
      <c r="H81" s="116">
        <f>SUMIF(Sales!G:G,A81,Sales!J:J)-SUMIF(Sales!G:G,A81,Sales!I:I)</f>
        <v>-2000</v>
      </c>
      <c r="I81" s="117"/>
    </row>
    <row r="82">
      <c r="C82" s="28"/>
    </row>
    <row r="83">
      <c r="C83" s="28"/>
    </row>
    <row r="84">
      <c r="C84" s="28"/>
    </row>
    <row r="85">
      <c r="C85" s="28"/>
    </row>
    <row r="86">
      <c r="C86" s="28"/>
    </row>
    <row r="87">
      <c r="C87" s="28"/>
    </row>
    <row r="88">
      <c r="C88" s="28"/>
    </row>
    <row r="89">
      <c r="C89" s="28"/>
    </row>
    <row r="90">
      <c r="C90" s="28"/>
    </row>
    <row r="91">
      <c r="C91" s="28"/>
    </row>
    <row r="92">
      <c r="C92" s="28"/>
    </row>
    <row r="93">
      <c r="C93" s="28"/>
    </row>
    <row r="94">
      <c r="C94" s="28"/>
    </row>
    <row r="95">
      <c r="C95" s="28"/>
    </row>
    <row r="96">
      <c r="C96" s="28"/>
    </row>
    <row r="97">
      <c r="C97" s="28"/>
    </row>
    <row r="98">
      <c r="C98" s="28"/>
    </row>
    <row r="99">
      <c r="C99" s="28"/>
    </row>
    <row r="100">
      <c r="C100" s="28"/>
    </row>
    <row r="101">
      <c r="C101" s="28"/>
    </row>
  </sheetData>
  <dataValidations>
    <dataValidation type="list" allowBlank="1" sqref="C2:C81">
      <formula1>"Mandap,Caterers"</formula1>
    </dataValidation>
    <dataValidation type="list" allowBlank="1" sqref="C82:C101">
      <formula1>"Mandap,Caterers"</formula1>
    </dataValidation>
    <dataValidation type="custom" allowBlank="1" showDropDown="1" sqref="H2:H81">
      <formula1>AND(ISNUMBER(H2),(NOT(OR(NOT(ISERROR(DATEVALUE(H2))), AND(ISNUMBER(H2), LEFT(CELL("format", H2))="D")))))</formula1>
    </dataValidation>
  </dataValidation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88"/>
    <col customWidth="1" min="3" max="3" width="10.25"/>
    <col customWidth="1" min="4" max="4" width="9.38"/>
    <col customWidth="1" min="5" max="5" width="5.63"/>
    <col customWidth="1" min="6" max="6" width="6.25"/>
  </cols>
  <sheetData>
    <row r="1">
      <c r="A1" s="15" t="s">
        <v>4</v>
      </c>
      <c r="B1" s="15" t="s">
        <v>5</v>
      </c>
      <c r="C1" s="15" t="s">
        <v>6</v>
      </c>
      <c r="D1" s="15" t="s">
        <v>7</v>
      </c>
      <c r="E1" s="15" t="s">
        <v>203</v>
      </c>
      <c r="F1" s="15" t="s">
        <v>10</v>
      </c>
    </row>
    <row r="2">
      <c r="C2" s="119" t="str">
        <f t="array" ref="C2">_xlfn.XLOOKUP(B2, Inventory!A:A, Inventory!B:B, "Not Found")</f>
        <v>Not Found</v>
      </c>
      <c r="E2" s="120">
        <f t="array" ref="E2">_xlfn.XLOOKUP(B2, Inventory!A:A, Inventory!C:C, 0)</f>
        <v>0</v>
      </c>
      <c r="F2" s="119">
        <f t="shared" ref="F2:F34" si="1">D2*E2</f>
        <v>0</v>
      </c>
    </row>
    <row r="3">
      <c r="C3" s="119" t="str">
        <f t="array" ref="C3">_xlfn.XLOOKUP(B3, Inventory!A:A, Inventory!B:B, "Not Found")</f>
        <v>Not Found</v>
      </c>
      <c r="E3" s="120">
        <f t="array" ref="E3">_xlfn.XLOOKUP(B3, Inventory!A:A, Inventory!C:C, 0)</f>
        <v>0</v>
      </c>
      <c r="F3" s="119">
        <f t="shared" si="1"/>
        <v>0</v>
      </c>
    </row>
    <row r="4">
      <c r="C4" s="119" t="str">
        <f t="array" ref="C4">_xlfn.XLOOKUP(B4, Inventory!A:A, Inventory!B:B, "Not Found")</f>
        <v>Not Found</v>
      </c>
      <c r="E4" s="120">
        <f t="array" ref="E4">_xlfn.XLOOKUP(B4, Inventory!A:A, Inventory!C:C, 0)</f>
        <v>0</v>
      </c>
      <c r="F4" s="119">
        <f t="shared" si="1"/>
        <v>0</v>
      </c>
    </row>
    <row r="5">
      <c r="C5" s="119" t="str">
        <f t="array" ref="C5">_xlfn.XLOOKUP(B5, Inventory!A:A, Inventory!B:B, "Not Found")</f>
        <v>Not Found</v>
      </c>
      <c r="E5" s="120">
        <f t="array" ref="E5">_xlfn.XLOOKUP(B5, Inventory!A:A, Inventory!C:C, 0)</f>
        <v>0</v>
      </c>
      <c r="F5" s="119">
        <f t="shared" si="1"/>
        <v>0</v>
      </c>
    </row>
    <row r="6">
      <c r="C6" s="119" t="str">
        <f t="array" ref="C6">_xlfn.XLOOKUP(B6, Inventory!A:A, Inventory!B:B, "Not Found")</f>
        <v>Not Found</v>
      </c>
      <c r="E6" s="120">
        <f t="array" ref="E6">_xlfn.XLOOKUP(B6, Inventory!A:A, Inventory!C:C, 0)</f>
        <v>0</v>
      </c>
      <c r="F6" s="119">
        <f t="shared" si="1"/>
        <v>0</v>
      </c>
    </row>
    <row r="7">
      <c r="C7" s="119" t="str">
        <f t="array" ref="C7">_xlfn.XLOOKUP(B7, Inventory!A:A, Inventory!B:B, "Not Found")</f>
        <v>Not Found</v>
      </c>
      <c r="E7" s="120">
        <f t="array" ref="E7">_xlfn.XLOOKUP(B7, Inventory!A:A, Inventory!C:C, 0)</f>
        <v>0</v>
      </c>
      <c r="F7" s="119">
        <f t="shared" si="1"/>
        <v>0</v>
      </c>
    </row>
    <row r="8">
      <c r="C8" s="119" t="str">
        <f t="array" ref="C8">_xlfn.XLOOKUP(B8, Inventory!A:A, Inventory!B:B, "Not Found")</f>
        <v>Not Found</v>
      </c>
      <c r="E8" s="120">
        <f t="array" ref="E8">_xlfn.XLOOKUP(B8, Inventory!A:A, Inventory!C:C, 0)</f>
        <v>0</v>
      </c>
      <c r="F8" s="119">
        <f t="shared" si="1"/>
        <v>0</v>
      </c>
    </row>
    <row r="9">
      <c r="C9" s="119" t="str">
        <f t="array" ref="C9">_xlfn.XLOOKUP(B9, Inventory!A:A, Inventory!B:B, "Not Found")</f>
        <v>Not Found</v>
      </c>
      <c r="E9" s="120">
        <f t="array" ref="E9">_xlfn.XLOOKUP(B9, Inventory!A:A, Inventory!C:C, 0)</f>
        <v>0</v>
      </c>
      <c r="F9" s="119">
        <f t="shared" si="1"/>
        <v>0</v>
      </c>
    </row>
    <row r="10">
      <c r="C10" s="119" t="str">
        <f t="array" ref="C10">_xlfn.XLOOKUP(B10, Inventory!A:A, Inventory!B:B, "Not Found")</f>
        <v>Not Found</v>
      </c>
      <c r="E10" s="120">
        <f t="array" ref="E10">_xlfn.XLOOKUP(B10, Inventory!A:A, Inventory!C:C, 0)</f>
        <v>0</v>
      </c>
      <c r="F10" s="119">
        <f t="shared" si="1"/>
        <v>0</v>
      </c>
    </row>
    <row r="11">
      <c r="C11" s="119" t="str">
        <f t="array" ref="C11">_xlfn.XLOOKUP(B11, Inventory!A:A, Inventory!B:B, "Not Found")</f>
        <v>Not Found</v>
      </c>
      <c r="E11" s="120">
        <f t="array" ref="E11">_xlfn.XLOOKUP(B11, Inventory!A:A, Inventory!C:C, 0)</f>
        <v>0</v>
      </c>
      <c r="F11" s="119">
        <f t="shared" si="1"/>
        <v>0</v>
      </c>
    </row>
    <row r="12">
      <c r="C12" s="119" t="str">
        <f t="array" ref="C12">_xlfn.XLOOKUP(B12, Inventory!A:A, Inventory!B:B, "Not Found")</f>
        <v>Not Found</v>
      </c>
      <c r="E12" s="120">
        <f t="array" ref="E12">_xlfn.XLOOKUP(B12, Inventory!A:A, Inventory!C:C, 0)</f>
        <v>0</v>
      </c>
      <c r="F12" s="119">
        <f t="shared" si="1"/>
        <v>0</v>
      </c>
    </row>
    <row r="13">
      <c r="C13" s="119" t="str">
        <f t="array" ref="C13">_xlfn.XLOOKUP(B13, Inventory!A:A, Inventory!B:B, "Not Found")</f>
        <v>Not Found</v>
      </c>
      <c r="E13" s="120">
        <f t="array" ref="E13">_xlfn.XLOOKUP(B13, Inventory!A:A, Inventory!C:C, 0)</f>
        <v>0</v>
      </c>
      <c r="F13" s="119">
        <f t="shared" si="1"/>
        <v>0</v>
      </c>
    </row>
    <row r="14">
      <c r="C14" s="119" t="str">
        <f t="array" ref="C14">_xlfn.XLOOKUP(B14, Inventory!A:A, Inventory!B:B, "Not Found")</f>
        <v>Not Found</v>
      </c>
      <c r="E14" s="120">
        <f t="array" ref="E14">_xlfn.XLOOKUP(B14, Inventory!A:A, Inventory!C:C, 0)</f>
        <v>0</v>
      </c>
      <c r="F14" s="119">
        <f t="shared" si="1"/>
        <v>0</v>
      </c>
    </row>
    <row r="15">
      <c r="C15" s="119" t="str">
        <f t="array" ref="C15">_xlfn.XLOOKUP(B15, Inventory!A:A, Inventory!B:B, "Not Found")</f>
        <v>Not Found</v>
      </c>
      <c r="E15" s="120">
        <f t="array" ref="E15">_xlfn.XLOOKUP(B15, Inventory!A:A, Inventory!C:C, 0)</f>
        <v>0</v>
      </c>
      <c r="F15" s="119">
        <f t="shared" si="1"/>
        <v>0</v>
      </c>
    </row>
    <row r="16">
      <c r="C16" s="119" t="str">
        <f t="array" ref="C16">_xlfn.XLOOKUP(B16, Inventory!A:A, Inventory!B:B, "Not Found")</f>
        <v>Not Found</v>
      </c>
      <c r="E16" s="120">
        <f t="array" ref="E16">_xlfn.XLOOKUP(B16, Inventory!A:A, Inventory!C:C, 0)</f>
        <v>0</v>
      </c>
      <c r="F16" s="119">
        <f t="shared" si="1"/>
        <v>0</v>
      </c>
    </row>
    <row r="17">
      <c r="C17" s="119" t="str">
        <f t="array" ref="C17">_xlfn.XLOOKUP(B17, Inventory!A:A, Inventory!B:B, "Not Found")</f>
        <v>Not Found</v>
      </c>
      <c r="E17" s="120">
        <f t="array" ref="E17">_xlfn.XLOOKUP(B17, Inventory!A:A, Inventory!C:C, 0)</f>
        <v>0</v>
      </c>
      <c r="F17" s="119">
        <f t="shared" si="1"/>
        <v>0</v>
      </c>
    </row>
    <row r="18">
      <c r="C18" s="119" t="str">
        <f t="array" ref="C18">_xlfn.XLOOKUP(B18, Inventory!A:A, Inventory!B:B, "Not Found")</f>
        <v>Not Found</v>
      </c>
      <c r="E18" s="120">
        <f t="array" ref="E18">_xlfn.XLOOKUP(B18, Inventory!A:A, Inventory!C:C, 0)</f>
        <v>0</v>
      </c>
      <c r="F18" s="119">
        <f t="shared" si="1"/>
        <v>0</v>
      </c>
    </row>
    <row r="19">
      <c r="C19" s="119" t="str">
        <f t="array" ref="C19">_xlfn.XLOOKUP(B19, Inventory!A:A, Inventory!B:B, "Not Found")</f>
        <v>Not Found</v>
      </c>
      <c r="E19" s="120">
        <f t="array" ref="E19">_xlfn.XLOOKUP(B19, Inventory!A:A, Inventory!C:C, 0)</f>
        <v>0</v>
      </c>
      <c r="F19" s="119">
        <f t="shared" si="1"/>
        <v>0</v>
      </c>
    </row>
    <row r="20">
      <c r="C20" s="119" t="str">
        <f t="array" ref="C20">_xlfn.XLOOKUP(B20, Inventory!A:A, Inventory!B:B, "Not Found")</f>
        <v>Not Found</v>
      </c>
      <c r="E20" s="120">
        <f t="array" ref="E20">_xlfn.XLOOKUP(B20, Inventory!A:A, Inventory!C:C, 0)</f>
        <v>0</v>
      </c>
      <c r="F20" s="119">
        <f t="shared" si="1"/>
        <v>0</v>
      </c>
    </row>
    <row r="21">
      <c r="C21" s="119" t="str">
        <f t="array" ref="C21">_xlfn.XLOOKUP(B21, Inventory!A:A, Inventory!B:B, "Not Found")</f>
        <v>Not Found</v>
      </c>
      <c r="E21" s="120">
        <f t="array" ref="E21">_xlfn.XLOOKUP(B21, Inventory!A:A, Inventory!C:C, 0)</f>
        <v>0</v>
      </c>
      <c r="F21" s="119">
        <f t="shared" si="1"/>
        <v>0</v>
      </c>
    </row>
    <row r="22">
      <c r="C22" s="119" t="str">
        <f t="array" ref="C22">_xlfn.XLOOKUP(B22, Inventory!A:A, Inventory!B:B, "Not Found")</f>
        <v>Not Found</v>
      </c>
      <c r="E22" s="120">
        <f t="array" ref="E22">_xlfn.XLOOKUP(B22, Inventory!A:A, Inventory!C:C, 0)</f>
        <v>0</v>
      </c>
      <c r="F22" s="119">
        <f t="shared" si="1"/>
        <v>0</v>
      </c>
    </row>
    <row r="23">
      <c r="C23" s="119" t="str">
        <f t="array" ref="C23">_xlfn.XLOOKUP(B23, Inventory!A:A, Inventory!B:B, "Not Found")</f>
        <v>Not Found</v>
      </c>
      <c r="E23" s="120">
        <f t="array" ref="E23">_xlfn.XLOOKUP(B23, Inventory!A:A, Inventory!C:C, 0)</f>
        <v>0</v>
      </c>
      <c r="F23" s="119">
        <f t="shared" si="1"/>
        <v>0</v>
      </c>
    </row>
    <row r="24">
      <c r="C24" s="119" t="str">
        <f t="array" ref="C24">_xlfn.XLOOKUP(B24, Inventory!A:A, Inventory!B:B, "Not Found")</f>
        <v>Not Found</v>
      </c>
      <c r="E24" s="120">
        <f t="array" ref="E24">_xlfn.XLOOKUP(B24, Inventory!A:A, Inventory!C:C, 0)</f>
        <v>0</v>
      </c>
      <c r="F24" s="119">
        <f t="shared" si="1"/>
        <v>0</v>
      </c>
    </row>
    <row r="25">
      <c r="C25" s="119" t="str">
        <f t="array" ref="C25">_xlfn.XLOOKUP(B25, Inventory!A:A, Inventory!B:B, "Not Found")</f>
        <v>Not Found</v>
      </c>
      <c r="E25" s="120">
        <f t="array" ref="E25">_xlfn.XLOOKUP(B25, Inventory!A:A, Inventory!C:C, 0)</f>
        <v>0</v>
      </c>
      <c r="F25" s="119">
        <f t="shared" si="1"/>
        <v>0</v>
      </c>
    </row>
    <row r="26">
      <c r="C26" s="119" t="str">
        <f t="array" ref="C26">_xlfn.XLOOKUP(B26, Inventory!A:A, Inventory!B:B, "Not Found")</f>
        <v>Not Found</v>
      </c>
      <c r="E26" s="120">
        <f t="array" ref="E26">_xlfn.XLOOKUP(B26, Inventory!A:A, Inventory!C:C, 0)</f>
        <v>0</v>
      </c>
      <c r="F26" s="119">
        <f t="shared" si="1"/>
        <v>0</v>
      </c>
    </row>
    <row r="27">
      <c r="C27" s="119" t="str">
        <f t="array" ref="C27">_xlfn.XLOOKUP(B27, Inventory!A:A, Inventory!B:B, "Not Found")</f>
        <v>Not Found</v>
      </c>
      <c r="E27" s="120">
        <f t="array" ref="E27">_xlfn.XLOOKUP(B27, Inventory!A:A, Inventory!C:C, 0)</f>
        <v>0</v>
      </c>
      <c r="F27" s="119">
        <f t="shared" si="1"/>
        <v>0</v>
      </c>
    </row>
    <row r="28">
      <c r="C28" s="119" t="str">
        <f t="array" ref="C28">_xlfn.XLOOKUP(B28, Inventory!A:A, Inventory!B:B, "Not Found")</f>
        <v>Not Found</v>
      </c>
      <c r="E28" s="120">
        <f t="array" ref="E28">_xlfn.XLOOKUP(B28, Inventory!A:A, Inventory!C:C, 0)</f>
        <v>0</v>
      </c>
      <c r="F28" s="119">
        <f t="shared" si="1"/>
        <v>0</v>
      </c>
    </row>
    <row r="29">
      <c r="C29" s="119" t="str">
        <f t="array" ref="C29">_xlfn.XLOOKUP(B29, Inventory!A:A, Inventory!B:B, "Not Found")</f>
        <v>Not Found</v>
      </c>
      <c r="E29" s="120">
        <f t="array" ref="E29">_xlfn.XLOOKUP(B29, Inventory!A:A, Inventory!C:C, 0)</f>
        <v>0</v>
      </c>
      <c r="F29" s="119">
        <f t="shared" si="1"/>
        <v>0</v>
      </c>
    </row>
    <row r="30">
      <c r="C30" s="119" t="str">
        <f t="array" ref="C30">_xlfn.XLOOKUP(B30, Inventory!A:A, Inventory!B:B, "Not Found")</f>
        <v>Not Found</v>
      </c>
      <c r="E30" s="120">
        <f t="array" ref="E30">_xlfn.XLOOKUP(B30, Inventory!A:A, Inventory!C:C, 0)</f>
        <v>0</v>
      </c>
      <c r="F30" s="119">
        <f t="shared" si="1"/>
        <v>0</v>
      </c>
    </row>
    <row r="31">
      <c r="C31" s="119" t="str">
        <f t="array" ref="C31">_xlfn.XLOOKUP(B31, Inventory!A:A, Inventory!B:B, "Not Found")</f>
        <v>Not Found</v>
      </c>
      <c r="E31" s="120">
        <f t="array" ref="E31">_xlfn.XLOOKUP(B31, Inventory!A:A, Inventory!C:C, 0)</f>
        <v>0</v>
      </c>
      <c r="F31" s="119">
        <f t="shared" si="1"/>
        <v>0</v>
      </c>
    </row>
    <row r="32">
      <c r="C32" s="119" t="str">
        <f t="array" ref="C32">_xlfn.XLOOKUP(B32, Inventory!A:A, Inventory!B:B, "Not Found")</f>
        <v>Not Found</v>
      </c>
      <c r="E32" s="120">
        <f t="array" ref="E32">_xlfn.XLOOKUP(B32, Inventory!A:A, Inventory!C:C, 0)</f>
        <v>0</v>
      </c>
      <c r="F32" s="119">
        <f t="shared" si="1"/>
        <v>0</v>
      </c>
    </row>
    <row r="33">
      <c r="C33" s="119" t="str">
        <f t="array" ref="C33">_xlfn.XLOOKUP(B33, Inventory!A:A, Inventory!B:B, "Not Found")</f>
        <v>Not Found</v>
      </c>
      <c r="E33" s="120">
        <f t="array" ref="E33">_xlfn.XLOOKUP(B33, Inventory!A:A, Inventory!C:C, 0)</f>
        <v>0</v>
      </c>
      <c r="F33" s="119">
        <f t="shared" si="1"/>
        <v>0</v>
      </c>
    </row>
    <row r="34">
      <c r="C34" s="119" t="str">
        <f t="array" ref="C34">_xlfn.XLOOKUP(B34, Inventory!A:A, Inventory!B:B, "Not Found")</f>
        <v>Not Found</v>
      </c>
      <c r="E34" s="120">
        <f t="array" ref="E34">_xlfn.XLOOKUP(B34, Inventory!A:A, Inventory!C:C, 0)</f>
        <v>0</v>
      </c>
      <c r="F34" s="119">
        <f t="shared" si="1"/>
        <v>0</v>
      </c>
    </row>
  </sheetData>
  <drawing r:id="rId1"/>
</worksheet>
</file>