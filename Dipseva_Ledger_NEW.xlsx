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" autoFilterDateGrouping="1"/>
  </bookViews>
  <sheets>
    <sheet xmlns:r="http://schemas.openxmlformats.org/officeDocument/2006/relationships" name="Ledger" sheetId="1" state="visible" r:id="rId1"/>
    <sheet xmlns:r="http://schemas.openxmlformats.org/officeDocument/2006/relationships" name="Item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Dashboard" sheetId="4" state="visible" r:id="rId4"/>
    <sheet xmlns:r="http://schemas.openxmlformats.org/officeDocument/2006/relationships" name="Khata" sheetId="5" state="visible" r:id="rId5"/>
    <sheet xmlns:r="http://schemas.openxmlformats.org/officeDocument/2006/relationships" name="Stock" sheetId="6" state="visible" r:id="rId6"/>
    <sheet xmlns:r="http://schemas.openxmlformats.org/officeDocument/2006/relationships" name="Statement" sheetId="7" state="visible" r:id="rId7"/>
    <sheet xmlns:r="http://schemas.openxmlformats.org/officeDocument/2006/relationships" name="Help" sheetId="8" state="visible" r:id="rId8"/>
  </sheets>
  <definedNames>
    <definedName name="_xlnm._FilterDatabase" localSheetId="0" hidden="1">'Ledger'!$A$2:$K$1002</definedName>
    <definedName name="_xlnm._FilterDatabase" localSheetId="4" hidden="1">'Khata'!$A$2:$G$202</definedName>
    <definedName name="_xlnm._FilterDatabase" localSheetId="5" hidden="1">'Stock'!$A$2:$H$202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-MMM-YYYY"/>
    <numFmt numFmtId="165" formatCode="DD-MMM"/>
  </numFmts>
  <fonts count="11">
    <font>
      <name val="Calibri"/>
      <family val="2"/>
      <color theme="1"/>
      <sz val="11"/>
      <scheme val="minor"/>
    </font>
    <font>
      <name val="Noto Sans Devanagari"/>
      <b val="1"/>
      <color rgb="00FFFFFF"/>
      <sz val="11"/>
    </font>
    <font>
      <name val="Noto Sans Devanagari"/>
      <color rgb="000F172A"/>
      <sz val="11"/>
    </font>
    <font>
      <name val="Noto Sans Devanagari"/>
      <b val="1"/>
      <color rgb="00FFFFFF"/>
      <sz val="12"/>
    </font>
    <font>
      <name val="Noto Sans Devanagari"/>
      <b val="1"/>
      <color rgb="00FFFFFF"/>
      <sz val="16"/>
    </font>
    <font>
      <name val="Noto Sans Devanagari"/>
      <color rgb="0064748B"/>
      <sz val="10"/>
    </font>
    <font>
      <name val="Noto Sans Devanagari"/>
      <b val="1"/>
      <color rgb="001B2A4E"/>
      <sz val="12"/>
    </font>
    <font>
      <name val="Noto Sans Devanagari"/>
      <b val="1"/>
      <color rgb="0064748B"/>
      <sz val="10"/>
    </font>
    <font>
      <name val="Noto Sans Devanagari"/>
      <b val="1"/>
      <color rgb="001B2A4E"/>
      <sz val="18"/>
    </font>
    <font>
      <name val="Noto Sans Devanagari"/>
      <b val="1"/>
      <color rgb="001B2A4E"/>
      <sz val="13"/>
    </font>
    <font>
      <name val="Noto Sans Devanagari"/>
      <b val="1"/>
      <color rgb="001B2A4E"/>
      <sz val="15"/>
    </font>
  </fonts>
  <fills count="10">
    <fill>
      <patternFill/>
    </fill>
    <fill>
      <patternFill patternType="gray125"/>
    </fill>
    <fill>
      <patternFill patternType="solid">
        <fgColor rgb="00D97706"/>
      </patternFill>
    </fill>
    <fill>
      <patternFill patternType="solid">
        <fgColor rgb="001B2A4E"/>
      </patternFill>
    </fill>
    <fill>
      <patternFill patternType="solid">
        <fgColor rgb="000D9488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DC2626"/>
      </patternFill>
    </fill>
  </fills>
  <borders count="6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center" vertical="center" wrapText="1"/>
    </xf>
    <xf numFmtId="0" fontId="7" fillId="0" borderId="0" pivotButton="0" quotePrefix="0" xfId="0"/>
    <xf numFmtId="3" fontId="8" fillId="6" borderId="1" applyAlignment="1" pivotButton="0" quotePrefix="0" xfId="0">
      <alignment horizontal="center" vertical="center" wrapText="1"/>
    </xf>
    <xf numFmtId="3" fontId="8" fillId="7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3" fontId="8" fillId="8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9" fillId="5" borderId="1" pivotButton="0" quotePrefix="0" xfId="0"/>
    <xf numFmtId="0" fontId="0" fillId="0" borderId="4" pivotButton="0" quotePrefix="0" xfId="0"/>
    <xf numFmtId="0" fontId="0" fillId="0" borderId="5" pivotButton="0" quotePrefix="0" xfId="0"/>
    <xf numFmtId="3" fontId="10" fillId="6" borderId="1" applyAlignment="1" pivotButton="0" quotePrefix="0" xfId="0">
      <alignment horizontal="center" vertical="center" wrapText="1"/>
    </xf>
    <xf numFmtId="3" fontId="10" fillId="7" borderId="1" applyAlignment="1" pivotButton="0" quotePrefix="0" xfId="0">
      <alignment horizontal="center" vertical="center" wrapText="1"/>
    </xf>
    <xf numFmtId="3" fontId="10" fillId="8" borderId="1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5">
    <dxf>
      <fill>
        <patternFill patternType="solid">
          <fgColor rgb="00DBEAFE"/>
        </patternFill>
      </fill>
    </dxf>
    <dxf>
      <fill>
        <patternFill patternType="solid">
          <fgColor rgb="00D1FAE5"/>
        </patternFill>
      </fill>
    </dxf>
    <dxf>
      <fill>
        <patternFill patternType="solid">
          <fgColor rgb="00FEF3C7"/>
        </patternFill>
      </fill>
    </dxf>
    <dxf>
      <font>
        <b val="1"/>
        <color rgb="00DC2626"/>
      </font>
      <fill>
        <patternFill patternType="solid">
          <fgColor rgb="00FEE2E2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E"/>
    <outlinePr summaryBelow="1" summaryRight="1"/>
    <pageSetUpPr fitToPage="1"/>
  </sheetPr>
  <dimension ref="A1:K10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  <col width="10" customWidth="1" min="4" max="4"/>
    <col width="20" customWidth="1" min="5" max="5"/>
    <col width="9" customWidth="1" min="6" max="6"/>
    <col width="10" customWidth="1" min="7" max="7"/>
    <col width="12" customWidth="1" min="8" max="8"/>
    <col width="12" customWidth="1" min="9" max="9"/>
    <col width="14" customWidth="1" min="10" max="10"/>
    <col width="24" customWidth="1" min="11" max="11"/>
  </cols>
  <sheetData>
    <row r="1" ht="30" customHeight="1">
      <c r="A1" s="1" t="inlineStr">
        <is>
          <t>DIPSEVA LEDGER • Issue=भाड्याने दिले • Return=परत आले • Payment=पैसे जमा</t>
        </is>
      </c>
    </row>
    <row r="2" ht="38" customHeight="1">
      <c r="A2" s="2" t="inlineStr">
        <is>
          <t>Date
तारीख</t>
        </is>
      </c>
      <c r="B2" s="2" t="inlineStr">
        <is>
          <t>Customer
ग्राहक</t>
        </is>
      </c>
      <c r="C2" s="2" t="inlineStr">
        <is>
          <t>Type
प्रकार</t>
        </is>
      </c>
      <c r="D2" s="2" t="inlineStr">
        <is>
          <t>Item ID
कोड</t>
        </is>
      </c>
      <c r="E2" s="2" t="inlineStr">
        <is>
          <t>Item Name
वस्तू</t>
        </is>
      </c>
      <c r="F2" s="2" t="inlineStr">
        <is>
          <t>Qty
नग</t>
        </is>
      </c>
      <c r="G2" s="2" t="inlineStr">
        <is>
          <t>Rate
भाडे</t>
        </is>
      </c>
      <c r="H2" s="2" t="inlineStr">
        <is>
          <t>Bill ₹
बिल</t>
        </is>
      </c>
      <c r="I2" s="2" t="inlineStr">
        <is>
          <t>Paid ₹
जमा</t>
        </is>
      </c>
      <c r="J2" s="2" t="inlineStr">
        <is>
          <t>Pay Mode
पेमेंट</t>
        </is>
      </c>
      <c r="K2" s="2" t="inlineStr">
        <is>
          <t>Note
नोंद</t>
        </is>
      </c>
    </row>
    <row r="3" ht="20" customHeight="1">
      <c r="A3" s="3" t="n">
        <v>46204</v>
      </c>
      <c r="B3" s="4" t="inlineStr">
        <is>
          <t>Yogesh Caterers</t>
        </is>
      </c>
      <c r="C3" s="5" t="inlineStr">
        <is>
          <t>Issue</t>
        </is>
      </c>
      <c r="D3" s="5" t="inlineStr">
        <is>
          <t>CTRNG</t>
        </is>
      </c>
      <c r="E3" s="4">
        <f>IF($D3="","",IFERROR(XLOOKUP($D3,Items!$A:$A,Items!$B:$B),"ERR"))</f>
        <v/>
      </c>
      <c r="F3" s="6" t="n">
        <v>1</v>
      </c>
      <c r="G3" s="6" t="n">
        <v>850</v>
      </c>
      <c r="H3" s="6">
        <f>IF($C3="Issue",IFERROR($F3*$G3,0),0)</f>
        <v/>
      </c>
      <c r="I3" s="6" t="n">
        <v>600</v>
      </c>
      <c r="J3" s="5" t="inlineStr">
        <is>
          <t>Cash</t>
        </is>
      </c>
      <c r="K3" s="4" t="inlineStr"/>
    </row>
    <row r="4" ht="20" customHeight="1">
      <c r="A4" s="3" t="n">
        <v>46204</v>
      </c>
      <c r="B4" s="4" t="inlineStr">
        <is>
          <t>Samarth Sound</t>
        </is>
      </c>
      <c r="C4" s="5" t="inlineStr">
        <is>
          <t>Issue</t>
        </is>
      </c>
      <c r="D4" s="5" t="inlineStr">
        <is>
          <t>GD</t>
        </is>
      </c>
      <c r="E4" s="4">
        <f>IF($D4="","",IFERROR(XLOOKUP($D4,Items!$A:$A,Items!$B:$B),"ERR"))</f>
        <v/>
      </c>
      <c r="F4" s="6" t="n">
        <v>10</v>
      </c>
      <c r="G4" s="6" t="n">
        <v>15</v>
      </c>
      <c r="H4" s="6">
        <f>IF($C4="Issue",IFERROR($F4*$G4,0),0)</f>
        <v/>
      </c>
      <c r="I4" s="6" t="n">
        <v>150</v>
      </c>
      <c r="J4" s="5" t="inlineStr">
        <is>
          <t>Cash</t>
        </is>
      </c>
      <c r="K4" s="4" t="inlineStr"/>
    </row>
    <row r="5" ht="20" customHeight="1">
      <c r="A5" s="3" t="n">
        <v>46204</v>
      </c>
      <c r="B5" s="4" t="inlineStr">
        <is>
          <t>Samarth Sound</t>
        </is>
      </c>
      <c r="C5" s="5" t="inlineStr">
        <is>
          <t>Issue</t>
        </is>
      </c>
      <c r="D5" s="5" t="inlineStr">
        <is>
          <t>AAH</t>
        </is>
      </c>
      <c r="E5" s="4">
        <f>IF($D5="","",IFERROR(XLOOKUP($D5,Items!$A:$A,Items!$B:$B),"ERR"))</f>
        <v/>
      </c>
      <c r="F5" s="6" t="n">
        <v>1</v>
      </c>
      <c r="G5" s="6" t="n">
        <v>800</v>
      </c>
      <c r="H5" s="6">
        <f>IF($C5="Issue",IFERROR($F5*$G5,0),0)</f>
        <v/>
      </c>
      <c r="I5" s="6" t="n">
        <v>800</v>
      </c>
      <c r="J5" s="5" t="inlineStr">
        <is>
          <t>Cash</t>
        </is>
      </c>
      <c r="K5" s="4" t="inlineStr"/>
    </row>
    <row r="6" ht="20" customHeight="1">
      <c r="A6" s="3" t="n">
        <v>46204</v>
      </c>
      <c r="B6" s="4" t="inlineStr">
        <is>
          <t>Tulja Bhavani Mandap</t>
        </is>
      </c>
      <c r="C6" s="5" t="inlineStr">
        <is>
          <t>Issue</t>
        </is>
      </c>
      <c r="D6" s="5" t="inlineStr">
        <is>
          <t>CH</t>
        </is>
      </c>
      <c r="E6" s="4">
        <f>IF($D6="","",IFERROR(XLOOKUP($D6,Items!$A:$A,Items!$B:$B),"ERR"))</f>
        <v/>
      </c>
      <c r="F6" s="6" t="n">
        <v>20</v>
      </c>
      <c r="G6" s="6" t="n">
        <v>4</v>
      </c>
      <c r="H6" s="6">
        <f>IF($C6="Issue",IFERROR($F6*$G6,0),0)</f>
        <v/>
      </c>
      <c r="I6" s="6" t="n"/>
      <c r="J6" s="5" t="n"/>
      <c r="K6" s="4" t="inlineStr"/>
    </row>
    <row r="7" ht="20" customHeight="1">
      <c r="A7" s="3" t="n">
        <v>46204</v>
      </c>
      <c r="B7" s="4" t="inlineStr">
        <is>
          <t>Tulja Bhavani Mandap</t>
        </is>
      </c>
      <c r="C7" s="5" t="inlineStr">
        <is>
          <t>Issue</t>
        </is>
      </c>
      <c r="D7" s="5" t="inlineStr">
        <is>
          <t>CH</t>
        </is>
      </c>
      <c r="E7" s="4">
        <f>IF($D7="","",IFERROR(XLOOKUP($D7,Items!$A:$A,Items!$B:$B),"ERR"))</f>
        <v/>
      </c>
      <c r="F7" s="6" t="n">
        <v>70</v>
      </c>
      <c r="G7" s="6" t="n">
        <v>4</v>
      </c>
      <c r="H7" s="6">
        <f>IF($C7="Issue",IFERROR($F7*$G7,0),0)</f>
        <v/>
      </c>
      <c r="I7" s="6" t="n"/>
      <c r="J7" s="5" t="n"/>
      <c r="K7" s="4" t="inlineStr"/>
    </row>
    <row r="8" ht="20" customHeight="1">
      <c r="A8" s="3" t="n">
        <v>46204</v>
      </c>
      <c r="B8" s="4" t="inlineStr">
        <is>
          <t>CASH</t>
        </is>
      </c>
      <c r="C8" s="5" t="inlineStr">
        <is>
          <t>Issue</t>
        </is>
      </c>
      <c r="D8" s="5" t="inlineStr">
        <is>
          <t>TBL</t>
        </is>
      </c>
      <c r="E8" s="4">
        <f>IF($D8="","",IFERROR(XLOOKUP($D8,Items!$A:$A,Items!$B:$B),"ERR"))</f>
        <v/>
      </c>
      <c r="F8" s="6" t="n">
        <v>39</v>
      </c>
      <c r="G8" s="6" t="n">
        <v>20</v>
      </c>
      <c r="H8" s="6">
        <f>IF($C8="Issue",IFERROR($F8*$G8,0),0)</f>
        <v/>
      </c>
      <c r="I8" s="6" t="n">
        <v>1000</v>
      </c>
      <c r="J8" s="5" t="inlineStr">
        <is>
          <t>Cash</t>
        </is>
      </c>
      <c r="K8" s="4" t="inlineStr">
        <is>
          <t>OLD 1000 FIX-&gt;780 Avinash gaikwad</t>
        </is>
      </c>
    </row>
    <row r="9" ht="20" customHeight="1">
      <c r="A9" s="3" t="n">
        <v>46204</v>
      </c>
      <c r="B9" s="4" t="inlineStr">
        <is>
          <t>CASH</t>
        </is>
      </c>
      <c r="C9" s="5" t="inlineStr">
        <is>
          <t>Issue</t>
        </is>
      </c>
      <c r="D9" s="5" t="inlineStr">
        <is>
          <t>DSH</t>
        </is>
      </c>
      <c r="E9" s="4">
        <f>IF($D9="","",IFERROR(XLOOKUP($D9,Items!$A:$A,Items!$B:$B),"ERR"))</f>
        <v/>
      </c>
      <c r="F9" s="6" t="n">
        <v>200</v>
      </c>
      <c r="G9" s="6" t="n">
        <v>2</v>
      </c>
      <c r="H9" s="6">
        <f>IF($C9="Issue",IFERROR($F9*$G9,0),0)</f>
        <v/>
      </c>
      <c r="I9" s="6" t="n">
        <v>540</v>
      </c>
      <c r="J9" s="5" t="inlineStr">
        <is>
          <t>Cash</t>
        </is>
      </c>
      <c r="K9" s="4" t="inlineStr">
        <is>
          <t>OLD 540 FIX-&gt;400 Avinash gaikwad</t>
        </is>
      </c>
    </row>
    <row r="10" ht="20" customHeight="1">
      <c r="A10" s="3" t="n">
        <v>46206</v>
      </c>
      <c r="B10" s="4" t="inlineStr">
        <is>
          <t>CASH</t>
        </is>
      </c>
      <c r="C10" s="5" t="inlineStr">
        <is>
          <t>Issue</t>
        </is>
      </c>
      <c r="D10" s="5" t="inlineStr">
        <is>
          <t>CTRNG</t>
        </is>
      </c>
      <c r="E10" s="4">
        <f>IF($D10="","",IFERROR(XLOOKUP($D10,Items!$A:$A,Items!$B:$B),"ERR"))</f>
        <v/>
      </c>
      <c r="F10" s="6" t="n">
        <v>1</v>
      </c>
      <c r="G10" s="6" t="n">
        <v>50</v>
      </c>
      <c r="H10" s="6">
        <f>IF($C10="Issue",IFERROR($F10*$G10,0),0)</f>
        <v/>
      </c>
      <c r="I10" s="6" t="n"/>
      <c r="J10" s="5" t="n"/>
      <c r="K10" s="4" t="inlineStr">
        <is>
          <t>Vijay jadhav</t>
        </is>
      </c>
    </row>
    <row r="11" ht="20" customHeight="1">
      <c r="A11" s="3" t="n">
        <v>46206</v>
      </c>
      <c r="B11" s="4" t="inlineStr">
        <is>
          <t>Sunil Garandwal</t>
        </is>
      </c>
      <c r="C11" s="5" t="inlineStr">
        <is>
          <t>Issue</t>
        </is>
      </c>
      <c r="D11" s="5" t="inlineStr">
        <is>
          <t>HLC</t>
        </is>
      </c>
      <c r="E11" s="4">
        <f>IF($D11="","",IFERROR(XLOOKUP($D11,Items!$A:$A,Items!$B:$B),"ERR"))</f>
        <v/>
      </c>
      <c r="F11" s="6" t="n">
        <v>1</v>
      </c>
      <c r="G11" s="6" t="n">
        <v>300</v>
      </c>
      <c r="H11" s="6">
        <f>IF($C11="Issue",IFERROR($F11*$G11,0),0)</f>
        <v/>
      </c>
      <c r="I11" s="6" t="n">
        <v>300</v>
      </c>
      <c r="J11" s="5" t="inlineStr">
        <is>
          <t>Cash</t>
        </is>
      </c>
      <c r="K11" s="4" t="inlineStr"/>
    </row>
    <row r="12" ht="20" customHeight="1">
      <c r="A12" s="3" t="n">
        <v>46207</v>
      </c>
      <c r="B12" s="4" t="inlineStr">
        <is>
          <t>Abhiman Kharat</t>
        </is>
      </c>
      <c r="C12" s="5" t="inlineStr">
        <is>
          <t>Issue</t>
        </is>
      </c>
      <c r="D12" s="5" t="inlineStr">
        <is>
          <t>CTRNG</t>
        </is>
      </c>
      <c r="E12" s="4">
        <f>IF($D12="","",IFERROR(XLOOKUP($D12,Items!$A:$A,Items!$B:$B),"ERR"))</f>
        <v/>
      </c>
      <c r="F12" s="6" t="n">
        <v>1</v>
      </c>
      <c r="G12" s="6" t="n">
        <v>330</v>
      </c>
      <c r="H12" s="6">
        <f>IF($C12="Issue",IFERROR($F12*$G12,0),0)</f>
        <v/>
      </c>
      <c r="I12" s="6" t="n">
        <v>100</v>
      </c>
      <c r="J12" s="5" t="inlineStr">
        <is>
          <t>Cash</t>
        </is>
      </c>
      <c r="K12" s="4" t="inlineStr"/>
    </row>
    <row r="13" ht="20" customHeight="1">
      <c r="A13" s="3" t="n">
        <v>46206</v>
      </c>
      <c r="B13" s="4" t="inlineStr">
        <is>
          <t>Ganesh Mandap T</t>
        </is>
      </c>
      <c r="C13" s="5" t="inlineStr">
        <is>
          <t>Issue</t>
        </is>
      </c>
      <c r="D13" s="5" t="inlineStr">
        <is>
          <t>CTRNG</t>
        </is>
      </c>
      <c r="E13" s="4">
        <f>IF($D13="","",IFERROR(XLOOKUP($D13,Items!$A:$A,Items!$B:$B),"ERR"))</f>
        <v/>
      </c>
      <c r="F13" s="6" t="n">
        <v>1</v>
      </c>
      <c r="G13" s="6" t="n">
        <v>450</v>
      </c>
      <c r="H13" s="6">
        <f>IF($C13="Issue",IFERROR($F13*$G13,0),0)</f>
        <v/>
      </c>
      <c r="I13" s="6" t="n"/>
      <c r="J13" s="5" t="n"/>
      <c r="K13" s="4" t="inlineStr"/>
    </row>
    <row r="14" ht="20" customHeight="1">
      <c r="A14" s="3" t="n">
        <v>46206</v>
      </c>
      <c r="B14" s="4" t="inlineStr">
        <is>
          <t>Ganesh Mandap T</t>
        </is>
      </c>
      <c r="C14" s="5" t="inlineStr">
        <is>
          <t>Issue</t>
        </is>
      </c>
      <c r="D14" s="5" t="inlineStr">
        <is>
          <t>HLC</t>
        </is>
      </c>
      <c r="E14" s="4">
        <f>IF($D14="","",IFERROR(XLOOKUP($D14,Items!$A:$A,Items!$B:$B),"ERR"))</f>
        <v/>
      </c>
      <c r="F14" s="6" t="n">
        <v>1</v>
      </c>
      <c r="G14" s="6" t="n">
        <v>300</v>
      </c>
      <c r="H14" s="6">
        <f>IF($C14="Issue",IFERROR($F14*$G14,0),0)</f>
        <v/>
      </c>
      <c r="I14" s="6" t="n"/>
      <c r="J14" s="5" t="n"/>
      <c r="K14" s="4" t="inlineStr"/>
    </row>
    <row r="15" ht="20" customHeight="1">
      <c r="A15" s="3" t="n">
        <v>46206</v>
      </c>
      <c r="B15" s="4" t="inlineStr">
        <is>
          <t>Atul Salve</t>
        </is>
      </c>
      <c r="C15" s="5" t="inlineStr">
        <is>
          <t>Payment</t>
        </is>
      </c>
      <c r="D15" s="5" t="n"/>
      <c r="E15" s="4">
        <f>IF($D15="","",IFERROR(XLOOKUP($D15,Items!$A:$A,Items!$B:$B),"ERR"))</f>
        <v/>
      </c>
      <c r="F15" s="6" t="n"/>
      <c r="G15" s="6">
        <f>IF($D15="","",IFERROR(XLOOKUP($D15,Items!$A:$A,Items!$D:$D),0))</f>
        <v/>
      </c>
      <c r="H15" s="6">
        <f>IF($C15="Issue",IFERROR($F15*$G15,0),0)</f>
        <v/>
      </c>
      <c r="I15" s="6" t="n">
        <v>1000</v>
      </c>
      <c r="J15" s="5" t="n"/>
      <c r="K15" s="4" t="inlineStr">
        <is>
          <t>Advance</t>
        </is>
      </c>
    </row>
    <row r="16" ht="20" customHeight="1">
      <c r="A16" s="3" t="n">
        <v>46207</v>
      </c>
      <c r="B16" s="4" t="inlineStr">
        <is>
          <t>Vishva Mandap</t>
        </is>
      </c>
      <c r="C16" s="5" t="inlineStr">
        <is>
          <t>Issue</t>
        </is>
      </c>
      <c r="D16" s="5" t="inlineStr">
        <is>
          <t>SMI</t>
        </is>
      </c>
      <c r="E16" s="4">
        <f>IF($D16="","",IFERROR(XLOOKUP($D16,Items!$A:$A,Items!$B:$B),"ERR"))</f>
        <v/>
      </c>
      <c r="F16" s="6" t="n">
        <v>1</v>
      </c>
      <c r="G16" s="6" t="n">
        <v>300</v>
      </c>
      <c r="H16" s="6">
        <f>IF($C16="Issue",IFERROR($F16*$G16,0),0)</f>
        <v/>
      </c>
      <c r="I16" s="6" t="n">
        <v>300</v>
      </c>
      <c r="J16" s="5" t="inlineStr">
        <is>
          <t>Cash</t>
        </is>
      </c>
      <c r="K16" s="4" t="inlineStr"/>
    </row>
    <row r="17" ht="20" customHeight="1">
      <c r="A17" s="3" t="n">
        <v>46207</v>
      </c>
      <c r="B17" s="4" t="inlineStr">
        <is>
          <t>Vishva Mandap</t>
        </is>
      </c>
      <c r="C17" s="5" t="inlineStr">
        <is>
          <t>Issue</t>
        </is>
      </c>
      <c r="D17" s="5" t="inlineStr">
        <is>
          <t>CHCVR</t>
        </is>
      </c>
      <c r="E17" s="4">
        <f>IF($D17="","",IFERROR(XLOOKUP($D17,Items!$A:$A,Items!$B:$B),"ERR"))</f>
        <v/>
      </c>
      <c r="F17" s="6" t="n">
        <v>10</v>
      </c>
      <c r="G17" s="6" t="n">
        <v>10</v>
      </c>
      <c r="H17" s="6">
        <f>IF($C17="Issue",IFERROR($F17*$G17,0),0)</f>
        <v/>
      </c>
      <c r="I17" s="6" t="n">
        <v>100</v>
      </c>
      <c r="J17" s="5" t="inlineStr">
        <is>
          <t>Cash</t>
        </is>
      </c>
      <c r="K17" s="4" t="inlineStr"/>
    </row>
    <row r="18" ht="20" customHeight="1">
      <c r="A18" s="3" t="n">
        <v>46207</v>
      </c>
      <c r="B18" s="4" t="inlineStr">
        <is>
          <t>Vishva Mandap</t>
        </is>
      </c>
      <c r="C18" s="5" t="inlineStr">
        <is>
          <t>Return</t>
        </is>
      </c>
      <c r="D18" s="5" t="inlineStr">
        <is>
          <t>CHCVR</t>
        </is>
      </c>
      <c r="E18" s="4">
        <f>IF($D18="","",IFERROR(XLOOKUP($D18,Items!$A:$A,Items!$B:$B),"ERR"))</f>
        <v/>
      </c>
      <c r="F18" s="6" t="n">
        <v>1</v>
      </c>
      <c r="G18" s="6">
        <f>IF($D18="","",IFERROR(XLOOKUP($D18,Items!$A:$A,Items!$D:$D),0))</f>
        <v/>
      </c>
      <c r="H18" s="6">
        <f>IF($C18="Issue",IFERROR($F18*$G18,0),0)</f>
        <v/>
      </c>
      <c r="I18" s="6" t="n"/>
      <c r="J18" s="5" t="n"/>
      <c r="K18" s="4" t="inlineStr">
        <is>
          <t>old Return</t>
        </is>
      </c>
    </row>
    <row r="19" ht="20" customHeight="1">
      <c r="A19" s="3" t="n">
        <v>46208</v>
      </c>
      <c r="B19" s="4" t="inlineStr">
        <is>
          <t>Ayush Mandap</t>
        </is>
      </c>
      <c r="C19" s="5" t="inlineStr">
        <is>
          <t>Issue</t>
        </is>
      </c>
      <c r="D19" s="5" t="inlineStr">
        <is>
          <t>PLN</t>
        </is>
      </c>
      <c r="E19" s="4">
        <f>IF($D19="","",IFERROR(XLOOKUP($D19,Items!$A:$A,Items!$B:$B),"ERR"))</f>
        <v/>
      </c>
      <c r="F19" s="6" t="n">
        <v>1</v>
      </c>
      <c r="G19" s="6" t="n">
        <v>500</v>
      </c>
      <c r="H19" s="6">
        <f>IF($C19="Issue",IFERROR($F19*$G19,0),0)</f>
        <v/>
      </c>
      <c r="I19" s="6" t="n"/>
      <c r="J19" s="5" t="n"/>
      <c r="K19" s="4" t="inlineStr"/>
    </row>
    <row r="20" ht="20" customHeight="1">
      <c r="A20" s="3" t="n">
        <v>46208</v>
      </c>
      <c r="B20" s="4" t="inlineStr">
        <is>
          <t>Ayush Mandap</t>
        </is>
      </c>
      <c r="C20" s="5" t="inlineStr">
        <is>
          <t>Issue</t>
        </is>
      </c>
      <c r="D20" s="5" t="inlineStr">
        <is>
          <t>MSF</t>
        </is>
      </c>
      <c r="E20" s="4">
        <f>IF($D20="","",IFERROR(XLOOKUP($D20,Items!$A:$A,Items!$B:$B),"ERR"))</f>
        <v/>
      </c>
      <c r="F20" s="6" t="n">
        <v>1</v>
      </c>
      <c r="G20" s="6" t="n">
        <v>700</v>
      </c>
      <c r="H20" s="6">
        <f>IF($C20="Issue",IFERROR($F20*$G20,0),0)</f>
        <v/>
      </c>
      <c r="I20" s="6" t="n">
        <v>700</v>
      </c>
      <c r="J20" s="5" t="inlineStr">
        <is>
          <t>Cash</t>
        </is>
      </c>
      <c r="K20" s="4" t="inlineStr"/>
    </row>
    <row r="21" ht="20" customHeight="1">
      <c r="A21" s="3" t="n">
        <v>46208</v>
      </c>
      <c r="B21" s="4" t="inlineStr">
        <is>
          <t>Ayush Mandap</t>
        </is>
      </c>
      <c r="C21" s="5" t="inlineStr">
        <is>
          <t>Issue</t>
        </is>
      </c>
      <c r="D21" s="5" t="inlineStr">
        <is>
          <t>TBL</t>
        </is>
      </c>
      <c r="E21" s="4">
        <f>IF($D21="","",IFERROR(XLOOKUP($D21,Items!$A:$A,Items!$B:$B),"ERR"))</f>
        <v/>
      </c>
      <c r="F21" s="6" t="n">
        <v>15</v>
      </c>
      <c r="G21" s="6" t="n">
        <v>20</v>
      </c>
      <c r="H21" s="6">
        <f>IF($C21="Issue",IFERROR($F21*$G21,0),0)</f>
        <v/>
      </c>
      <c r="I21" s="6" t="n">
        <v>300</v>
      </c>
      <c r="J21" s="5" t="inlineStr">
        <is>
          <t>Cash</t>
        </is>
      </c>
      <c r="K21" s="4" t="inlineStr"/>
    </row>
    <row r="22" ht="20" customHeight="1">
      <c r="A22" s="3" t="n">
        <v>46208</v>
      </c>
      <c r="B22" s="4" t="inlineStr">
        <is>
          <t>Ayush Mandap</t>
        </is>
      </c>
      <c r="C22" s="5" t="inlineStr">
        <is>
          <t>Return</t>
        </is>
      </c>
      <c r="D22" s="5" t="inlineStr">
        <is>
          <t>TBL</t>
        </is>
      </c>
      <c r="E22" s="4">
        <f>IF($D22="","",IFERROR(XLOOKUP($D22,Items!$A:$A,Items!$B:$B),"ERR"))</f>
        <v/>
      </c>
      <c r="F22" s="6" t="n">
        <v>1</v>
      </c>
      <c r="G22" s="6">
        <f>IF($D22="","",IFERROR(XLOOKUP($D22,Items!$A:$A,Items!$D:$D),0))</f>
        <v/>
      </c>
      <c r="H22" s="6">
        <f>IF($C22="Issue",IFERROR($F22*$G22,0),0)</f>
        <v/>
      </c>
      <c r="I22" s="6" t="n"/>
      <c r="J22" s="5" t="n"/>
      <c r="K22" s="4" t="inlineStr">
        <is>
          <t>old Return</t>
        </is>
      </c>
    </row>
    <row r="23" ht="20" customHeight="1">
      <c r="A23" s="3" t="n">
        <v>46208</v>
      </c>
      <c r="B23" s="4" t="inlineStr">
        <is>
          <t>Ayush Mandap</t>
        </is>
      </c>
      <c r="C23" s="5" t="inlineStr">
        <is>
          <t>Issue</t>
        </is>
      </c>
      <c r="D23" s="5" t="inlineStr">
        <is>
          <t>SHF</t>
        </is>
      </c>
      <c r="E23" s="4">
        <f>IF($D23="","",IFERROR(XLOOKUP($D23,Items!$A:$A,Items!$B:$B),"ERR"))</f>
        <v/>
      </c>
      <c r="F23" s="6" t="n">
        <v>5</v>
      </c>
      <c r="G23" s="6" t="n">
        <v>50</v>
      </c>
      <c r="H23" s="6">
        <f>IF($C23="Issue",IFERROR($F23*$G23,0),0)</f>
        <v/>
      </c>
      <c r="I23" s="6" t="n">
        <v>250</v>
      </c>
      <c r="J23" s="5" t="inlineStr">
        <is>
          <t>Cash</t>
        </is>
      </c>
      <c r="K23" s="4" t="inlineStr"/>
    </row>
    <row r="24" ht="20" customHeight="1">
      <c r="A24" s="3" t="n">
        <v>46208</v>
      </c>
      <c r="B24" s="4" t="inlineStr">
        <is>
          <t>Ayush Mandap</t>
        </is>
      </c>
      <c r="C24" s="5" t="inlineStr">
        <is>
          <t>Return</t>
        </is>
      </c>
      <c r="D24" s="5" t="inlineStr">
        <is>
          <t>SHF</t>
        </is>
      </c>
      <c r="E24" s="4">
        <f>IF($D24="","",IFERROR(XLOOKUP($D24,Items!$A:$A,Items!$B:$B),"ERR"))</f>
        <v/>
      </c>
      <c r="F24" s="6" t="n">
        <v>1</v>
      </c>
      <c r="G24" s="6">
        <f>IF($D24="","",IFERROR(XLOOKUP($D24,Items!$A:$A,Items!$D:$D),0))</f>
        <v/>
      </c>
      <c r="H24" s="6">
        <f>IF($C24="Issue",IFERROR($F24*$G24,0),0)</f>
        <v/>
      </c>
      <c r="I24" s="6" t="n"/>
      <c r="J24" s="5" t="n"/>
      <c r="K24" s="4" t="inlineStr">
        <is>
          <t>old Return</t>
        </is>
      </c>
    </row>
    <row r="25" ht="20" customHeight="1">
      <c r="A25" s="3" t="n">
        <v>46208</v>
      </c>
      <c r="B25" s="4" t="inlineStr">
        <is>
          <t>Ayush Mandap</t>
        </is>
      </c>
      <c r="C25" s="5" t="inlineStr">
        <is>
          <t>Issue</t>
        </is>
      </c>
      <c r="D25" s="5" t="inlineStr">
        <is>
          <t>PLN</t>
        </is>
      </c>
      <c r="E25" s="4">
        <f>IF($D25="","",IFERROR(XLOOKUP($D25,Items!$A:$A,Items!$B:$B),"ERR"))</f>
        <v/>
      </c>
      <c r="F25" s="6" t="n">
        <v>1</v>
      </c>
      <c r="G25" s="6" t="n">
        <v>500</v>
      </c>
      <c r="H25" s="6">
        <f>IF($C25="Issue",IFERROR($F25*$G25,0),0)</f>
        <v/>
      </c>
      <c r="I25" s="6" t="n">
        <v>500</v>
      </c>
      <c r="J25" s="5" t="inlineStr">
        <is>
          <t>Cash</t>
        </is>
      </c>
      <c r="K25" s="4" t="inlineStr"/>
    </row>
    <row r="26" ht="20" customHeight="1">
      <c r="A26" s="3" t="n">
        <v>46208</v>
      </c>
      <c r="B26" s="4" t="inlineStr">
        <is>
          <t>Yogesh Caterers</t>
        </is>
      </c>
      <c r="C26" s="5" t="inlineStr">
        <is>
          <t>Issue</t>
        </is>
      </c>
      <c r="D26" s="5" t="inlineStr">
        <is>
          <t>CTRNG</t>
        </is>
      </c>
      <c r="E26" s="4">
        <f>IF($D26="","",IFERROR(XLOOKUP($D26,Items!$A:$A,Items!$B:$B),"ERR"))</f>
        <v/>
      </c>
      <c r="F26" s="6" t="n">
        <v>1</v>
      </c>
      <c r="G26" s="6" t="n">
        <v>900</v>
      </c>
      <c r="H26" s="6">
        <f>IF($C26="Issue",IFERROR($F26*$G26,0),0)</f>
        <v/>
      </c>
      <c r="I26" s="6" t="n"/>
      <c r="J26" s="5" t="n"/>
      <c r="K26" s="4" t="inlineStr"/>
    </row>
    <row r="27" ht="20" customHeight="1">
      <c r="A27" s="3" t="n">
        <v>46207</v>
      </c>
      <c r="B27" s="4" t="inlineStr">
        <is>
          <t>CASH</t>
        </is>
      </c>
      <c r="C27" s="5" t="inlineStr">
        <is>
          <t>Issue</t>
        </is>
      </c>
      <c r="D27" s="5" t="inlineStr">
        <is>
          <t>FN</t>
        </is>
      </c>
      <c r="E27" s="4">
        <f>IF($D27="","",IFERROR(XLOOKUP($D27,Items!$A:$A,Items!$B:$B),"ERR"))</f>
        <v/>
      </c>
      <c r="F27" s="6" t="n">
        <v>4</v>
      </c>
      <c r="G27" s="6" t="n">
        <v>150</v>
      </c>
      <c r="H27" s="6">
        <f>IF($C27="Issue",IFERROR($F27*$G27,0),0)</f>
        <v/>
      </c>
      <c r="I27" s="6" t="n">
        <v>600</v>
      </c>
      <c r="J27" s="5" t="inlineStr">
        <is>
          <t>Cash</t>
        </is>
      </c>
      <c r="K27" s="4" t="inlineStr">
        <is>
          <t>Ajay Hiwrale</t>
        </is>
      </c>
    </row>
    <row r="28" ht="20" customHeight="1">
      <c r="A28" s="3" t="n">
        <v>46204</v>
      </c>
      <c r="B28" s="4" t="inlineStr">
        <is>
          <t>CASH</t>
        </is>
      </c>
      <c r="C28" s="5" t="inlineStr">
        <is>
          <t>Issue</t>
        </is>
      </c>
      <c r="D28" s="5" t="inlineStr">
        <is>
          <t>GD SET</t>
        </is>
      </c>
      <c r="E28" s="4">
        <f>IF($D28="","",IFERROR(XLOOKUP($D28,Items!$A:$A,Items!$B:$B),"ERR"))</f>
        <v/>
      </c>
      <c r="F28" s="6" t="n">
        <v>10</v>
      </c>
      <c r="G28" s="6" t="n">
        <v>100</v>
      </c>
      <c r="H28" s="6">
        <f>IF($C28="Issue",IFERROR($F28*$G28,0),0)</f>
        <v/>
      </c>
      <c r="I28" s="6" t="n">
        <v>1000</v>
      </c>
      <c r="J28" s="5" t="inlineStr">
        <is>
          <t>Cash</t>
        </is>
      </c>
      <c r="K28" s="4" t="inlineStr"/>
    </row>
    <row r="29" ht="20" customHeight="1">
      <c r="A29" s="3" t="n">
        <v>46204</v>
      </c>
      <c r="B29" s="4" t="inlineStr">
        <is>
          <t>CASH</t>
        </is>
      </c>
      <c r="C29" s="5" t="inlineStr">
        <is>
          <t>Issue</t>
        </is>
      </c>
      <c r="D29" s="5" t="inlineStr">
        <is>
          <t>RTBL</t>
        </is>
      </c>
      <c r="E29" s="4">
        <f>IF($D29="","",IFERROR(XLOOKUP($D29,Items!$A:$A,Items!$B:$B),"ERR"))</f>
        <v/>
      </c>
      <c r="F29" s="6" t="n">
        <v>1</v>
      </c>
      <c r="G29" s="6" t="n">
        <v>200</v>
      </c>
      <c r="H29" s="6">
        <f>IF($C29="Issue",IFERROR($F29*$G29,0),0)</f>
        <v/>
      </c>
      <c r="I29" s="6" t="n">
        <v>200</v>
      </c>
      <c r="J29" s="5" t="inlineStr">
        <is>
          <t>Cash</t>
        </is>
      </c>
      <c r="K29" s="4" t="inlineStr"/>
    </row>
    <row r="30" ht="20" customHeight="1">
      <c r="A30" s="3" t="n">
        <v>46204</v>
      </c>
      <c r="B30" s="4" t="inlineStr">
        <is>
          <t>CASH</t>
        </is>
      </c>
      <c r="C30" s="5" t="inlineStr">
        <is>
          <t>Issue</t>
        </is>
      </c>
      <c r="D30" s="5" t="inlineStr">
        <is>
          <t>PRD</t>
        </is>
      </c>
      <c r="E30" s="4">
        <f>IF($D30="","",IFERROR(XLOOKUP($D30,Items!$A:$A,Items!$B:$B),"ERR"))</f>
        <v/>
      </c>
      <c r="F30" s="6" t="n">
        <v>1</v>
      </c>
      <c r="G30" s="6" t="n">
        <v>100</v>
      </c>
      <c r="H30" s="6">
        <f>IF($C30="Issue",IFERROR($F30*$G30,0),0)</f>
        <v/>
      </c>
      <c r="I30" s="6" t="n">
        <v>100</v>
      </c>
      <c r="J30" s="5" t="inlineStr">
        <is>
          <t>Cash</t>
        </is>
      </c>
      <c r="K30" s="4" t="inlineStr"/>
    </row>
    <row r="31" ht="20" customHeight="1">
      <c r="A31" s="3" t="n">
        <v>46207</v>
      </c>
      <c r="B31" s="4" t="inlineStr">
        <is>
          <t>CASH</t>
        </is>
      </c>
      <c r="C31" s="5" t="inlineStr">
        <is>
          <t>Issue</t>
        </is>
      </c>
      <c r="D31" s="5" t="inlineStr">
        <is>
          <t>DRM</t>
        </is>
      </c>
      <c r="E31" s="4">
        <f>IF($D31="","",IFERROR(XLOOKUP($D31,Items!$A:$A,Items!$B:$B),"ERR"))</f>
        <v/>
      </c>
      <c r="F31" s="6" t="n">
        <v>1</v>
      </c>
      <c r="G31" s="6" t="n">
        <v>20</v>
      </c>
      <c r="H31" s="6">
        <f>IF($C31="Issue",IFERROR($F31*$G31,0),0)</f>
        <v/>
      </c>
      <c r="I31" s="6" t="n">
        <v>120</v>
      </c>
      <c r="J31" s="5" t="inlineStr">
        <is>
          <t>Cash</t>
        </is>
      </c>
      <c r="K31" s="4" t="inlineStr">
        <is>
          <t>OLD 120 FIX-&gt;20 Pritam patil</t>
        </is>
      </c>
    </row>
    <row r="32" ht="20" customHeight="1">
      <c r="A32" s="3" t="n">
        <v>46208</v>
      </c>
      <c r="B32" s="4" t="inlineStr">
        <is>
          <t>CASH</t>
        </is>
      </c>
      <c r="C32" s="5" t="inlineStr">
        <is>
          <t>Issue</t>
        </is>
      </c>
      <c r="D32" s="5" t="inlineStr">
        <is>
          <t>CH</t>
        </is>
      </c>
      <c r="E32" s="4">
        <f>IF($D32="","",IFERROR(XLOOKUP($D32,Items!$A:$A,Items!$B:$B),"ERR"))</f>
        <v/>
      </c>
      <c r="F32" s="6" t="n">
        <v>5</v>
      </c>
      <c r="G32" s="6" t="n">
        <v>10</v>
      </c>
      <c r="H32" s="6">
        <f>IF($C32="Issue",IFERROR($F32*$G32,0),0)</f>
        <v/>
      </c>
      <c r="I32" s="6" t="n">
        <v>50</v>
      </c>
      <c r="J32" s="5" t="inlineStr">
        <is>
          <t>Cash</t>
        </is>
      </c>
      <c r="K32" s="4" t="inlineStr"/>
    </row>
    <row r="33" ht="20" customHeight="1">
      <c r="A33" s="3" t="n">
        <v>46208</v>
      </c>
      <c r="B33" s="4" t="inlineStr">
        <is>
          <t>CASH</t>
        </is>
      </c>
      <c r="C33" s="5" t="inlineStr">
        <is>
          <t>Return</t>
        </is>
      </c>
      <c r="D33" s="5" t="inlineStr">
        <is>
          <t>CH</t>
        </is>
      </c>
      <c r="E33" s="4">
        <f>IF($D33="","",IFERROR(XLOOKUP($D33,Items!$A:$A,Items!$B:$B),"ERR"))</f>
        <v/>
      </c>
      <c r="F33" s="6" t="n">
        <v>1</v>
      </c>
      <c r="G33" s="6">
        <f>IF($D33="","",IFERROR(XLOOKUP($D33,Items!$A:$A,Items!$D:$D),0))</f>
        <v/>
      </c>
      <c r="H33" s="6">
        <f>IF($C33="Issue",IFERROR($F33*$G33,0),0)</f>
        <v/>
      </c>
      <c r="I33" s="6" t="n"/>
      <c r="J33" s="5" t="n"/>
      <c r="K33" s="4" t="inlineStr">
        <is>
          <t>old Return</t>
        </is>
      </c>
    </row>
    <row r="34" ht="20" customHeight="1">
      <c r="A34" s="3" t="n">
        <v>46208</v>
      </c>
      <c r="B34" s="4" t="inlineStr">
        <is>
          <t>CASH</t>
        </is>
      </c>
      <c r="C34" s="5" t="inlineStr">
        <is>
          <t>Issue</t>
        </is>
      </c>
      <c r="D34" s="5" t="inlineStr">
        <is>
          <t>DSH</t>
        </is>
      </c>
      <c r="E34" s="4">
        <f>IF($D34="","",IFERROR(XLOOKUP($D34,Items!$A:$A,Items!$B:$B),"ERR"))</f>
        <v/>
      </c>
      <c r="F34" s="6" t="n">
        <v>50</v>
      </c>
      <c r="G34" s="6" t="n">
        <v>4</v>
      </c>
      <c r="H34" s="6">
        <f>IF($C34="Issue",IFERROR($F34*$G34,0),0)</f>
        <v/>
      </c>
      <c r="I34" s="6" t="n">
        <v>250</v>
      </c>
      <c r="J34" s="5" t="inlineStr">
        <is>
          <t>Cash</t>
        </is>
      </c>
      <c r="K34" s="4" t="inlineStr">
        <is>
          <t>OLD 250 FIX-&gt;200 Prem Pandit</t>
        </is>
      </c>
    </row>
    <row r="35" ht="20" customHeight="1">
      <c r="A35" s="3" t="n">
        <v>46208</v>
      </c>
      <c r="B35" s="4" t="inlineStr">
        <is>
          <t>CASH</t>
        </is>
      </c>
      <c r="C35" s="5" t="inlineStr">
        <is>
          <t>Return</t>
        </is>
      </c>
      <c r="D35" s="5" t="inlineStr">
        <is>
          <t>DSH</t>
        </is>
      </c>
      <c r="E35" s="4">
        <f>IF($D35="","",IFERROR(XLOOKUP($D35,Items!$A:$A,Items!$B:$B),"ERR"))</f>
        <v/>
      </c>
      <c r="F35" s="6" t="n">
        <v>1</v>
      </c>
      <c r="G35" s="6">
        <f>IF($D35="","",IFERROR(XLOOKUP($D35,Items!$A:$A,Items!$D:$D),0))</f>
        <v/>
      </c>
      <c r="H35" s="6">
        <f>IF($C35="Issue",IFERROR($F35*$G35,0),0)</f>
        <v/>
      </c>
      <c r="I35" s="6" t="n"/>
      <c r="J35" s="5" t="n"/>
      <c r="K35" s="4" t="inlineStr">
        <is>
          <t>old Return</t>
        </is>
      </c>
    </row>
    <row r="36" ht="20" customHeight="1">
      <c r="A36" s="3" t="n">
        <v>46209</v>
      </c>
      <c r="B36" s="4" t="inlineStr">
        <is>
          <t>CASH</t>
        </is>
      </c>
      <c r="C36" s="5" t="inlineStr">
        <is>
          <t>Issue</t>
        </is>
      </c>
      <c r="D36" s="5" t="inlineStr">
        <is>
          <t>MT</t>
        </is>
      </c>
      <c r="E36" s="4">
        <f>IF($D36="","",IFERROR(XLOOKUP($D36,Items!$A:$A,Items!$B:$B),"ERR"))</f>
        <v/>
      </c>
      <c r="F36" s="6" t="n">
        <v>2</v>
      </c>
      <c r="G36" s="6" t="n">
        <v>50</v>
      </c>
      <c r="H36" s="6">
        <f>IF($C36="Issue",IFERROR($F36*$G36,0),0)</f>
        <v/>
      </c>
      <c r="I36" s="6" t="n">
        <v>100</v>
      </c>
      <c r="J36" s="5" t="inlineStr">
        <is>
          <t>Cash</t>
        </is>
      </c>
      <c r="K36" s="4" t="inlineStr">
        <is>
          <t>Vijay Dabhade</t>
        </is>
      </c>
    </row>
    <row r="37" ht="20" customHeight="1">
      <c r="A37" s="3" t="n">
        <v>46209</v>
      </c>
      <c r="B37" s="4" t="inlineStr">
        <is>
          <t>CASH</t>
        </is>
      </c>
      <c r="C37" s="5" t="inlineStr">
        <is>
          <t>Return</t>
        </is>
      </c>
      <c r="D37" s="5" t="inlineStr">
        <is>
          <t>MT</t>
        </is>
      </c>
      <c r="E37" s="4">
        <f>IF($D37="","",IFERROR(XLOOKUP($D37,Items!$A:$A,Items!$B:$B),"ERR"))</f>
        <v/>
      </c>
      <c r="F37" s="6" t="n">
        <v>1</v>
      </c>
      <c r="G37" s="6">
        <f>IF($D37="","",IFERROR(XLOOKUP($D37,Items!$A:$A,Items!$D:$D),0))</f>
        <v/>
      </c>
      <c r="H37" s="6">
        <f>IF($C37="Issue",IFERROR($F37*$G37,0),0)</f>
        <v/>
      </c>
      <c r="I37" s="6" t="n"/>
      <c r="J37" s="5" t="n"/>
      <c r="K37" s="4" t="inlineStr">
        <is>
          <t>old Return</t>
        </is>
      </c>
    </row>
    <row r="38" ht="20" customHeight="1">
      <c r="A38" s="3" t="n">
        <v>46208</v>
      </c>
      <c r="B38" s="4" t="inlineStr">
        <is>
          <t>CASH</t>
        </is>
      </c>
      <c r="C38" s="5" t="inlineStr">
        <is>
          <t>Issue</t>
        </is>
      </c>
      <c r="D38" s="5" t="inlineStr">
        <is>
          <t>ASN</t>
        </is>
      </c>
      <c r="E38" s="4">
        <f>IF($D38="","",IFERROR(XLOOKUP($D38,Items!$A:$A,Items!$B:$B),"ERR"))</f>
        <v/>
      </c>
      <c r="F38" s="6" t="n">
        <v>8</v>
      </c>
      <c r="G38" s="6" t="n">
        <v>20</v>
      </c>
      <c r="H38" s="6">
        <f>IF($C38="Issue",IFERROR($F38*$G38,0),0)</f>
        <v/>
      </c>
      <c r="I38" s="6" t="n">
        <v>160</v>
      </c>
      <c r="J38" s="5" t="inlineStr">
        <is>
          <t>Cash</t>
        </is>
      </c>
      <c r="K38" s="4" t="inlineStr"/>
    </row>
    <row r="39" ht="20" customHeight="1">
      <c r="A39" s="3" t="n">
        <v>46208</v>
      </c>
      <c r="B39" s="4" t="inlineStr">
        <is>
          <t>CASH</t>
        </is>
      </c>
      <c r="C39" s="5" t="inlineStr">
        <is>
          <t>Return</t>
        </is>
      </c>
      <c r="D39" s="5" t="inlineStr">
        <is>
          <t>ASN</t>
        </is>
      </c>
      <c r="E39" s="4">
        <f>IF($D39="","",IFERROR(XLOOKUP($D39,Items!$A:$A,Items!$B:$B),"ERR"))</f>
        <v/>
      </c>
      <c r="F39" s="6" t="n">
        <v>1</v>
      </c>
      <c r="G39" s="6">
        <f>IF($D39="","",IFERROR(XLOOKUP($D39,Items!$A:$A,Items!$D:$D),0))</f>
        <v/>
      </c>
      <c r="H39" s="6">
        <f>IF($C39="Issue",IFERROR($F39*$G39,0),0)</f>
        <v/>
      </c>
      <c r="I39" s="6" t="n"/>
      <c r="J39" s="5" t="n"/>
      <c r="K39" s="4" t="inlineStr">
        <is>
          <t>old Return</t>
        </is>
      </c>
    </row>
    <row r="40" ht="20" customHeight="1">
      <c r="A40" s="3" t="n">
        <v>46209</v>
      </c>
      <c r="B40" s="4" t="inlineStr">
        <is>
          <t>CASH</t>
        </is>
      </c>
      <c r="C40" s="5" t="inlineStr">
        <is>
          <t>Issue</t>
        </is>
      </c>
      <c r="D40" s="5" t="inlineStr">
        <is>
          <t>CTRNG</t>
        </is>
      </c>
      <c r="E40" s="4">
        <f>IF($D40="","",IFERROR(XLOOKUP($D40,Items!$A:$A,Items!$B:$B),"ERR"))</f>
        <v/>
      </c>
      <c r="F40" s="6" t="n">
        <v>1</v>
      </c>
      <c r="G40" s="6" t="n">
        <v>100</v>
      </c>
      <c r="H40" s="6">
        <f>IF($C40="Issue",IFERROR($F40*$G40,0),0)</f>
        <v/>
      </c>
      <c r="I40" s="6" t="n">
        <v>100</v>
      </c>
      <c r="J40" s="5" t="inlineStr">
        <is>
          <t>Cash</t>
        </is>
      </c>
      <c r="K40" s="4" t="inlineStr"/>
    </row>
    <row r="41" ht="20" customHeight="1">
      <c r="A41" s="3" t="n">
        <v>46210</v>
      </c>
      <c r="B41" s="4" t="inlineStr">
        <is>
          <t>CASH</t>
        </is>
      </c>
      <c r="C41" s="5" t="inlineStr">
        <is>
          <t>Issue</t>
        </is>
      </c>
      <c r="D41" s="5" t="inlineStr">
        <is>
          <t>THRMS</t>
        </is>
      </c>
      <c r="E41" s="4">
        <f>IF($D41="","",IFERROR(XLOOKUP($D41,Items!$A:$A,Items!$B:$B),"ERR"))</f>
        <v/>
      </c>
      <c r="F41" s="6" t="n">
        <v>1</v>
      </c>
      <c r="G41" s="6" t="n">
        <v>50</v>
      </c>
      <c r="H41" s="6">
        <f>IF($C41="Issue",IFERROR($F41*$G41,0),0)</f>
        <v/>
      </c>
      <c r="I41" s="6" t="n"/>
      <c r="J41" s="5" t="n"/>
      <c r="K41" s="4" t="inlineStr">
        <is>
          <t>Bhagwat Pawar</t>
        </is>
      </c>
    </row>
    <row r="42" ht="20" customHeight="1">
      <c r="A42" s="3" t="n">
        <v>46211</v>
      </c>
      <c r="B42" s="4" t="inlineStr">
        <is>
          <t>CASH</t>
        </is>
      </c>
      <c r="C42" s="5" t="inlineStr">
        <is>
          <t>Issue</t>
        </is>
      </c>
      <c r="D42" s="5" t="inlineStr">
        <is>
          <t>CH</t>
        </is>
      </c>
      <c r="E42" s="4">
        <f>IF($D42="","",IFERROR(XLOOKUP($D42,Items!$A:$A,Items!$B:$B),"ERR"))</f>
        <v/>
      </c>
      <c r="F42" s="6" t="n">
        <v>37</v>
      </c>
      <c r="G42" s="6" t="n">
        <v>10</v>
      </c>
      <c r="H42" s="6">
        <f>IF($C42="Issue",IFERROR($F42*$G42,0),0)</f>
        <v/>
      </c>
      <c r="I42" s="6" t="n">
        <v>370</v>
      </c>
      <c r="J42" s="5" t="inlineStr">
        <is>
          <t>Cash</t>
        </is>
      </c>
      <c r="K42" s="4" t="inlineStr"/>
    </row>
    <row r="43" ht="20" customHeight="1">
      <c r="A43" s="3" t="n">
        <v>46211</v>
      </c>
      <c r="B43" s="4" t="inlineStr">
        <is>
          <t>CASH</t>
        </is>
      </c>
      <c r="C43" s="5" t="inlineStr">
        <is>
          <t>Issue</t>
        </is>
      </c>
      <c r="D43" s="5" t="inlineStr">
        <is>
          <t>TBL</t>
        </is>
      </c>
      <c r="E43" s="4">
        <f>IF($D43="","",IFERROR(XLOOKUP($D43,Items!$A:$A,Items!$B:$B),"ERR"))</f>
        <v/>
      </c>
      <c r="F43" s="6" t="n">
        <v>9</v>
      </c>
      <c r="G43" s="6" t="n">
        <v>20</v>
      </c>
      <c r="H43" s="6">
        <f>IF($C43="Issue",IFERROR($F43*$G43,0),0)</f>
        <v/>
      </c>
      <c r="I43" s="6" t="n">
        <v>180</v>
      </c>
      <c r="J43" s="5" t="inlineStr">
        <is>
          <t>Cash</t>
        </is>
      </c>
      <c r="K43" s="4" t="inlineStr"/>
    </row>
    <row r="44" ht="20" customHeight="1">
      <c r="A44" s="3" t="n">
        <v>46211</v>
      </c>
      <c r="B44" s="4" t="inlineStr">
        <is>
          <t>CASH</t>
        </is>
      </c>
      <c r="C44" s="5" t="inlineStr">
        <is>
          <t>Issue</t>
        </is>
      </c>
      <c r="D44" s="5" t="inlineStr">
        <is>
          <t>FRL</t>
        </is>
      </c>
      <c r="E44" s="4">
        <f>IF($D44="","",IFERROR(XLOOKUP($D44,Items!$A:$A,Items!$B:$B),"ERR"))</f>
        <v/>
      </c>
      <c r="F44" s="6" t="n">
        <v>5</v>
      </c>
      <c r="G44" s="6" t="n">
        <v>30</v>
      </c>
      <c r="H44" s="6">
        <f>IF($C44="Issue",IFERROR($F44*$G44,0),0)</f>
        <v/>
      </c>
      <c r="I44" s="6" t="n">
        <v>150</v>
      </c>
      <c r="J44" s="5" t="inlineStr">
        <is>
          <t>Cash</t>
        </is>
      </c>
      <c r="K44" s="4" t="inlineStr"/>
    </row>
    <row r="45" ht="20" customHeight="1">
      <c r="A45" s="3" t="n">
        <v>46212</v>
      </c>
      <c r="B45" s="4" t="inlineStr">
        <is>
          <t>CASH</t>
        </is>
      </c>
      <c r="C45" s="5" t="inlineStr">
        <is>
          <t>Issue</t>
        </is>
      </c>
      <c r="D45" s="5" t="inlineStr">
        <is>
          <t>CTRNG</t>
        </is>
      </c>
      <c r="E45" s="4">
        <f>IF($D45="","",IFERROR(XLOOKUP($D45,Items!$A:$A,Items!$B:$B),"ERR"))</f>
        <v/>
      </c>
      <c r="F45" s="6" t="n">
        <v>1</v>
      </c>
      <c r="G45" s="6" t="n">
        <v>275</v>
      </c>
      <c r="H45" s="6">
        <f>IF($C45="Issue",IFERROR($F45*$G45,0),0)</f>
        <v/>
      </c>
      <c r="I45" s="6" t="n">
        <v>275</v>
      </c>
      <c r="J45" s="5" t="inlineStr">
        <is>
          <t>Cash</t>
        </is>
      </c>
      <c r="K45" s="4" t="inlineStr"/>
    </row>
    <row r="46" ht="20" customHeight="1">
      <c r="A46" s="3" t="n">
        <v>46212</v>
      </c>
      <c r="B46" s="4" t="inlineStr">
        <is>
          <t>CASH</t>
        </is>
      </c>
      <c r="C46" s="5" t="inlineStr">
        <is>
          <t>Issue</t>
        </is>
      </c>
      <c r="D46" s="5" t="inlineStr">
        <is>
          <t>CH</t>
        </is>
      </c>
      <c r="E46" s="4">
        <f>IF($D46="","",IFERROR(XLOOKUP($D46,Items!$A:$A,Items!$B:$B),"ERR"))</f>
        <v/>
      </c>
      <c r="F46" s="6" t="n">
        <v>4</v>
      </c>
      <c r="G46" s="6" t="n">
        <v>10</v>
      </c>
      <c r="H46" s="6">
        <f>IF($C46="Issue",IFERROR($F46*$G46,0),0)</f>
        <v/>
      </c>
      <c r="I46" s="6" t="n">
        <v>40</v>
      </c>
      <c r="J46" s="5" t="inlineStr">
        <is>
          <t>Cash</t>
        </is>
      </c>
      <c r="K46" s="4" t="inlineStr"/>
    </row>
    <row r="47" ht="20" customHeight="1">
      <c r="A47" s="3" t="n">
        <v>46212</v>
      </c>
      <c r="B47" s="4" t="inlineStr">
        <is>
          <t>CASH</t>
        </is>
      </c>
      <c r="C47" s="5" t="inlineStr">
        <is>
          <t>Issue</t>
        </is>
      </c>
      <c r="D47" s="5" t="inlineStr">
        <is>
          <t>ASN</t>
        </is>
      </c>
      <c r="E47" s="4">
        <f>IF($D47="","",IFERROR(XLOOKUP($D47,Items!$A:$A,Items!$B:$B),"ERR"))</f>
        <v/>
      </c>
      <c r="F47" s="6" t="n">
        <v>8</v>
      </c>
      <c r="G47" s="6" t="n">
        <v>10</v>
      </c>
      <c r="H47" s="6">
        <f>IF($C47="Issue",IFERROR($F47*$G47,0),0)</f>
        <v/>
      </c>
      <c r="I47" s="6" t="n">
        <v>80</v>
      </c>
      <c r="J47" s="5" t="inlineStr">
        <is>
          <t>Cash</t>
        </is>
      </c>
      <c r="K47" s="4" t="inlineStr"/>
    </row>
    <row r="48" ht="20" customHeight="1">
      <c r="A48" s="3" t="n">
        <v>46213</v>
      </c>
      <c r="B48" s="4" t="inlineStr">
        <is>
          <t>CASH</t>
        </is>
      </c>
      <c r="C48" s="5" t="inlineStr">
        <is>
          <t>Issue</t>
        </is>
      </c>
      <c r="D48" s="5" t="inlineStr">
        <is>
          <t>AB</t>
        </is>
      </c>
      <c r="E48" s="4">
        <f>IF($D48="","",IFERROR(XLOOKUP($D48,Items!$A:$A,Items!$B:$B),"ERR"))</f>
        <v/>
      </c>
      <c r="F48" s="6" t="n">
        <v>1</v>
      </c>
      <c r="G48" s="6" t="n">
        <v>500</v>
      </c>
      <c r="H48" s="6">
        <f>IF($C48="Issue",IFERROR($F48*$G48,0),0)</f>
        <v/>
      </c>
      <c r="I48" s="6" t="n"/>
      <c r="J48" s="5" t="n"/>
      <c r="K48" s="4" t="inlineStr"/>
    </row>
    <row r="49" ht="20" customHeight="1">
      <c r="A49" s="3" t="n">
        <v>46213</v>
      </c>
      <c r="B49" s="4" t="inlineStr">
        <is>
          <t>CASH</t>
        </is>
      </c>
      <c r="C49" s="5" t="inlineStr">
        <is>
          <t>Issue</t>
        </is>
      </c>
      <c r="D49" s="5" t="inlineStr">
        <is>
          <t>CTRNG</t>
        </is>
      </c>
      <c r="E49" s="4">
        <f>IF($D49="","",IFERROR(XLOOKUP($D49,Items!$A:$A,Items!$B:$B),"ERR"))</f>
        <v/>
      </c>
      <c r="F49" s="6" t="n">
        <v>1</v>
      </c>
      <c r="G49" s="6" t="n">
        <v>100</v>
      </c>
      <c r="H49" s="6">
        <f>IF($C49="Issue",IFERROR($F49*$G49,0),0)</f>
        <v/>
      </c>
      <c r="I49" s="6" t="n"/>
      <c r="J49" s="5" t="n"/>
      <c r="K49" s="4" t="inlineStr">
        <is>
          <t>Prem Jangale</t>
        </is>
      </c>
    </row>
    <row r="50" ht="20" customHeight="1">
      <c r="A50" s="3" t="n">
        <v>46213</v>
      </c>
      <c r="B50" s="4" t="inlineStr">
        <is>
          <t>CASH</t>
        </is>
      </c>
      <c r="C50" s="5" t="inlineStr">
        <is>
          <t>Issue</t>
        </is>
      </c>
      <c r="D50" s="5" t="inlineStr">
        <is>
          <t>CTRNG</t>
        </is>
      </c>
      <c r="E50" s="4">
        <f>IF($D50="","",IFERROR(XLOOKUP($D50,Items!$A:$A,Items!$B:$B),"ERR"))</f>
        <v/>
      </c>
      <c r="F50" s="6" t="n">
        <v>1</v>
      </c>
      <c r="G50" s="6" t="n">
        <v>100</v>
      </c>
      <c r="H50" s="6">
        <f>IF($C50="Issue",IFERROR($F50*$G50,0),0)</f>
        <v/>
      </c>
      <c r="I50" s="6" t="n"/>
      <c r="J50" s="5" t="n"/>
      <c r="K50" s="4" t="inlineStr"/>
    </row>
    <row r="51" ht="20" customHeight="1">
      <c r="A51" s="3" t="n">
        <v>46213</v>
      </c>
      <c r="B51" s="4" t="inlineStr">
        <is>
          <t>CASH</t>
        </is>
      </c>
      <c r="C51" s="5" t="inlineStr">
        <is>
          <t>Issue</t>
        </is>
      </c>
      <c r="D51" s="5" t="inlineStr">
        <is>
          <t>SMI</t>
        </is>
      </c>
      <c r="E51" s="4">
        <f>IF($D51="","",IFERROR(XLOOKUP($D51,Items!$A:$A,Items!$B:$B),"ERR"))</f>
        <v/>
      </c>
      <c r="F51" s="6" t="n">
        <v>1</v>
      </c>
      <c r="G51" s="6" t="n">
        <v>300</v>
      </c>
      <c r="H51" s="6">
        <f>IF($C51="Issue",IFERROR($F51*$G51,0),0)</f>
        <v/>
      </c>
      <c r="I51" s="6" t="n"/>
      <c r="J51" s="5" t="n"/>
      <c r="K51" s="4" t="inlineStr">
        <is>
          <t>Indriya Jewellers</t>
        </is>
      </c>
    </row>
    <row r="52" ht="20" customHeight="1">
      <c r="A52" s="3" t="n">
        <v>46208</v>
      </c>
      <c r="B52" s="4" t="inlineStr">
        <is>
          <t>Shri Decorators</t>
        </is>
      </c>
      <c r="C52" s="5" t="inlineStr">
        <is>
          <t>Issue</t>
        </is>
      </c>
      <c r="D52" s="5" t="inlineStr">
        <is>
          <t>SF</t>
        </is>
      </c>
      <c r="E52" s="4">
        <f>IF($D52="","",IFERROR(XLOOKUP($D52,Items!$A:$A,Items!$B:$B),"ERR"))</f>
        <v/>
      </c>
      <c r="F52" s="6" t="n">
        <v>2</v>
      </c>
      <c r="G52" s="6" t="n">
        <v>150</v>
      </c>
      <c r="H52" s="6">
        <f>IF($C52="Issue",IFERROR($F52*$G52,0),0)</f>
        <v/>
      </c>
      <c r="I52" s="6" t="n">
        <v>300</v>
      </c>
      <c r="J52" s="5" t="inlineStr">
        <is>
          <t>Cash</t>
        </is>
      </c>
      <c r="K52" s="4" t="inlineStr"/>
    </row>
    <row r="53" ht="20" customHeight="1">
      <c r="A53" s="3" t="n">
        <v>46208</v>
      </c>
      <c r="B53" s="4" t="inlineStr">
        <is>
          <t>Shri Decorators</t>
        </is>
      </c>
      <c r="C53" s="5" t="inlineStr">
        <is>
          <t>Return</t>
        </is>
      </c>
      <c r="D53" s="5" t="inlineStr">
        <is>
          <t>SF</t>
        </is>
      </c>
      <c r="E53" s="4">
        <f>IF($D53="","",IFERROR(XLOOKUP($D53,Items!$A:$A,Items!$B:$B),"ERR"))</f>
        <v/>
      </c>
      <c r="F53" s="6" t="n">
        <v>1</v>
      </c>
      <c r="G53" s="6">
        <f>IF($D53="","",IFERROR(XLOOKUP($D53,Items!$A:$A,Items!$D:$D),0))</f>
        <v/>
      </c>
      <c r="H53" s="6">
        <f>IF($C53="Issue",IFERROR($F53*$G53,0),0)</f>
        <v/>
      </c>
      <c r="I53" s="6" t="n"/>
      <c r="J53" s="5" t="n"/>
      <c r="K53" s="4" t="inlineStr">
        <is>
          <t>old Return</t>
        </is>
      </c>
    </row>
    <row r="54" ht="20" customHeight="1">
      <c r="A54" s="3" t="n">
        <v>46209</v>
      </c>
      <c r="B54" s="4" t="inlineStr">
        <is>
          <t>Nagve Patil Caterers</t>
        </is>
      </c>
      <c r="C54" s="5" t="inlineStr">
        <is>
          <t>Issue</t>
        </is>
      </c>
      <c r="D54" s="5" t="inlineStr">
        <is>
          <t>CTRNG</t>
        </is>
      </c>
      <c r="E54" s="4">
        <f>IF($D54="","",IFERROR(XLOOKUP($D54,Items!$A:$A,Items!$B:$B),"ERR"))</f>
        <v/>
      </c>
      <c r="F54" s="6" t="n">
        <v>1</v>
      </c>
      <c r="G54" s="6" t="n">
        <v>50</v>
      </c>
      <c r="H54" s="6">
        <f>IF($C54="Issue",IFERROR($F54*$G54,0),0)</f>
        <v/>
      </c>
      <c r="I54" s="6" t="n">
        <v>50</v>
      </c>
      <c r="J54" s="5" t="inlineStr">
        <is>
          <t>Cash</t>
        </is>
      </c>
      <c r="K54" s="4" t="inlineStr"/>
    </row>
    <row r="55" ht="20" customHeight="1">
      <c r="A55" s="3" t="n">
        <v>46210</v>
      </c>
      <c r="B55" s="4" t="inlineStr">
        <is>
          <t>Dip Mandap</t>
        </is>
      </c>
      <c r="C55" s="5" t="inlineStr">
        <is>
          <t>Issue</t>
        </is>
      </c>
      <c r="D55" s="5" t="inlineStr">
        <is>
          <t>SF</t>
        </is>
      </c>
      <c r="E55" s="4">
        <f>IF($D55="","",IFERROR(XLOOKUP($D55,Items!$A:$A,Items!$B:$B),"ERR"))</f>
        <v/>
      </c>
      <c r="F55" s="6" t="n">
        <v>1</v>
      </c>
      <c r="G55" s="6" t="n">
        <v>150</v>
      </c>
      <c r="H55" s="6">
        <f>IF($C55="Issue",IFERROR($F55*$G55,0),0)</f>
        <v/>
      </c>
      <c r="I55" s="6" t="n">
        <v>150</v>
      </c>
      <c r="J55" s="5" t="inlineStr">
        <is>
          <t>Cash</t>
        </is>
      </c>
      <c r="K55" s="4" t="inlineStr"/>
    </row>
    <row r="56" ht="20" customHeight="1">
      <c r="A56" s="3" t="n">
        <v>46210</v>
      </c>
      <c r="B56" s="4" t="inlineStr">
        <is>
          <t>Dip Mandap</t>
        </is>
      </c>
      <c r="C56" s="5" t="inlineStr">
        <is>
          <t>Issue</t>
        </is>
      </c>
      <c r="D56" s="5" t="inlineStr">
        <is>
          <t>CTRNG</t>
        </is>
      </c>
      <c r="E56" s="4">
        <f>IF($D56="","",IFERROR(XLOOKUP($D56,Items!$A:$A,Items!$B:$B),"ERR"))</f>
        <v/>
      </c>
      <c r="F56" s="6" t="n">
        <v>3</v>
      </c>
      <c r="G56" s="6" t="n">
        <v>50</v>
      </c>
      <c r="H56" s="6">
        <f>IF($C56="Issue",IFERROR($F56*$G56,0),0)</f>
        <v/>
      </c>
      <c r="I56" s="6" t="n">
        <v>150</v>
      </c>
      <c r="J56" s="5" t="inlineStr">
        <is>
          <t>Cash</t>
        </is>
      </c>
      <c r="K56" s="4" t="inlineStr">
        <is>
          <t>Sofa Cover</t>
        </is>
      </c>
    </row>
    <row r="57" ht="20" customHeight="1">
      <c r="A57" s="3" t="n">
        <v>46210</v>
      </c>
      <c r="B57" s="4" t="inlineStr">
        <is>
          <t>Dip Mandap</t>
        </is>
      </c>
      <c r="C57" s="5" t="inlineStr">
        <is>
          <t>Return</t>
        </is>
      </c>
      <c r="D57" s="5" t="inlineStr">
        <is>
          <t>CTRNG</t>
        </is>
      </c>
      <c r="E57" s="4">
        <f>IF($D57="","",IFERROR(XLOOKUP($D57,Items!$A:$A,Items!$B:$B),"ERR"))</f>
        <v/>
      </c>
      <c r="F57" s="6" t="n">
        <v>1</v>
      </c>
      <c r="G57" s="6">
        <f>IF($D57="","",IFERROR(XLOOKUP($D57,Items!$A:$A,Items!$D:$D),0))</f>
        <v/>
      </c>
      <c r="H57" s="6">
        <f>IF($C57="Issue",IFERROR($F57*$G57,0),0)</f>
        <v/>
      </c>
      <c r="I57" s="6" t="n"/>
      <c r="J57" s="5" t="n"/>
      <c r="K57" s="4" t="inlineStr">
        <is>
          <t>old Return</t>
        </is>
      </c>
    </row>
    <row r="58" ht="20" customHeight="1">
      <c r="A58" s="3" t="n">
        <v>46210</v>
      </c>
      <c r="B58" s="4" t="inlineStr">
        <is>
          <t>Dip Mandap</t>
        </is>
      </c>
      <c r="C58" s="5" t="inlineStr">
        <is>
          <t>Issue</t>
        </is>
      </c>
      <c r="D58" s="5" t="inlineStr">
        <is>
          <t>THRMS</t>
        </is>
      </c>
      <c r="E58" s="4">
        <f>IF($D58="","",IFERROR(XLOOKUP($D58,Items!$A:$A,Items!$B:$B),"ERR"))</f>
        <v/>
      </c>
      <c r="F58" s="6" t="n">
        <v>1</v>
      </c>
      <c r="G58" s="6" t="n">
        <v>50</v>
      </c>
      <c r="H58" s="6">
        <f>IF($C58="Issue",IFERROR($F58*$G58,0),0)</f>
        <v/>
      </c>
      <c r="I58" s="6" t="n">
        <v>50</v>
      </c>
      <c r="J58" s="5" t="inlineStr">
        <is>
          <t>Cash</t>
        </is>
      </c>
      <c r="K58" s="4" t="inlineStr"/>
    </row>
    <row r="59" ht="20" customHeight="1">
      <c r="A59" s="3" t="n">
        <v>46210</v>
      </c>
      <c r="B59" s="4" t="inlineStr">
        <is>
          <t>Mahalakshmi Mandap</t>
        </is>
      </c>
      <c r="C59" s="5" t="inlineStr">
        <is>
          <t>Issue</t>
        </is>
      </c>
      <c r="D59" s="5" t="inlineStr">
        <is>
          <t>CH</t>
        </is>
      </c>
      <c r="E59" s="4">
        <f>IF($D59="","",IFERROR(XLOOKUP($D59,Items!$A:$A,Items!$B:$B),"ERR"))</f>
        <v/>
      </c>
      <c r="F59" s="6" t="n">
        <v>30</v>
      </c>
      <c r="G59" s="6" t="n">
        <v>4</v>
      </c>
      <c r="H59" s="6">
        <f>IF($C59="Issue",IFERROR($F59*$G59,0),0)</f>
        <v/>
      </c>
      <c r="I59" s="6" t="n">
        <v>120</v>
      </c>
      <c r="J59" s="5" t="inlineStr">
        <is>
          <t>Cash</t>
        </is>
      </c>
      <c r="K59" s="4" t="inlineStr"/>
    </row>
    <row r="60" ht="20" customHeight="1">
      <c r="A60" s="3" t="n">
        <v>46210</v>
      </c>
      <c r="B60" s="4" t="inlineStr">
        <is>
          <t>Mahalakshmi Mandap</t>
        </is>
      </c>
      <c r="C60" s="5" t="inlineStr">
        <is>
          <t>Return</t>
        </is>
      </c>
      <c r="D60" s="5" t="inlineStr">
        <is>
          <t>CH</t>
        </is>
      </c>
      <c r="E60" s="4">
        <f>IF($D60="","",IFERROR(XLOOKUP($D60,Items!$A:$A,Items!$B:$B),"ERR"))</f>
        <v/>
      </c>
      <c r="F60" s="6" t="n">
        <v>1</v>
      </c>
      <c r="G60" s="6">
        <f>IF($D60="","",IFERROR(XLOOKUP($D60,Items!$A:$A,Items!$D:$D),0))</f>
        <v/>
      </c>
      <c r="H60" s="6">
        <f>IF($C60="Issue",IFERROR($F60*$G60,0),0)</f>
        <v/>
      </c>
      <c r="I60" s="6" t="n"/>
      <c r="J60" s="5" t="n"/>
      <c r="K60" s="4" t="inlineStr">
        <is>
          <t>old Return</t>
        </is>
      </c>
    </row>
    <row r="61" ht="20" customHeight="1">
      <c r="A61" s="3" t="n">
        <v>46210</v>
      </c>
      <c r="B61" s="4" t="inlineStr">
        <is>
          <t>Mahalakshmi Mandap</t>
        </is>
      </c>
      <c r="C61" s="5" t="inlineStr">
        <is>
          <t>Issue</t>
        </is>
      </c>
      <c r="D61" s="5" t="inlineStr">
        <is>
          <t>TBL</t>
        </is>
      </c>
      <c r="E61" s="4">
        <f>IF($D61="","",IFERROR(XLOOKUP($D61,Items!$A:$A,Items!$B:$B),"ERR"))</f>
        <v/>
      </c>
      <c r="F61" s="6" t="n">
        <v>1</v>
      </c>
      <c r="G61" s="6" t="n">
        <v>20</v>
      </c>
      <c r="H61" s="6">
        <f>IF($C61="Issue",IFERROR($F61*$G61,0),0)</f>
        <v/>
      </c>
      <c r="I61" s="6" t="n">
        <v>20</v>
      </c>
      <c r="J61" s="5" t="inlineStr">
        <is>
          <t>Cash</t>
        </is>
      </c>
      <c r="K61" s="4" t="inlineStr"/>
    </row>
    <row r="62" ht="20" customHeight="1">
      <c r="A62" s="3" t="n">
        <v>46210</v>
      </c>
      <c r="B62" s="4" t="inlineStr">
        <is>
          <t>Rajdhani Mandap</t>
        </is>
      </c>
      <c r="C62" s="5" t="inlineStr">
        <is>
          <t>Issue</t>
        </is>
      </c>
      <c r="D62" s="5" t="inlineStr">
        <is>
          <t>GD SET</t>
        </is>
      </c>
      <c r="E62" s="4">
        <f>IF($D62="","",IFERROR(XLOOKUP($D62,Items!$A:$A,Items!$B:$B),"ERR"))</f>
        <v/>
      </c>
      <c r="F62" s="6" t="n">
        <v>1</v>
      </c>
      <c r="G62" s="6" t="n">
        <v>6000</v>
      </c>
      <c r="H62" s="6">
        <f>IF($C62="Issue",IFERROR($F62*$G62,0),0)</f>
        <v/>
      </c>
      <c r="I62" s="6" t="n">
        <v>4000</v>
      </c>
      <c r="J62" s="5" t="inlineStr">
        <is>
          <t>Cash</t>
        </is>
      </c>
      <c r="K62" s="4" t="inlineStr"/>
    </row>
    <row r="63" ht="20" customHeight="1">
      <c r="A63" s="3" t="n">
        <v>46210</v>
      </c>
      <c r="B63" s="4" t="inlineStr">
        <is>
          <t>Sunil Garandwal</t>
        </is>
      </c>
      <c r="C63" s="5" t="inlineStr">
        <is>
          <t>Issue</t>
        </is>
      </c>
      <c r="D63" s="5" t="inlineStr">
        <is>
          <t>GD</t>
        </is>
      </c>
      <c r="E63" s="4">
        <f>IF($D63="","",IFERROR(XLOOKUP($D63,Items!$A:$A,Items!$B:$B),"ERR"))</f>
        <v/>
      </c>
      <c r="F63" s="6" t="n">
        <v>20</v>
      </c>
      <c r="G63" s="6" t="n">
        <v>15</v>
      </c>
      <c r="H63" s="6">
        <f>IF($C63="Issue",IFERROR($F63*$G63,0),0)</f>
        <v/>
      </c>
      <c r="I63" s="6" t="n">
        <v>300</v>
      </c>
      <c r="J63" s="5" t="inlineStr">
        <is>
          <t>Cash</t>
        </is>
      </c>
      <c r="K63" s="4" t="inlineStr"/>
    </row>
    <row r="64" ht="20" customHeight="1">
      <c r="A64" s="3" t="n">
        <v>46210</v>
      </c>
      <c r="B64" s="4" t="inlineStr">
        <is>
          <t>Sunil Garandwal</t>
        </is>
      </c>
      <c r="C64" s="5" t="inlineStr">
        <is>
          <t>Return</t>
        </is>
      </c>
      <c r="D64" s="5" t="inlineStr">
        <is>
          <t>GD</t>
        </is>
      </c>
      <c r="E64" s="4">
        <f>IF($D64="","",IFERROR(XLOOKUP($D64,Items!$A:$A,Items!$B:$B),"ERR"))</f>
        <v/>
      </c>
      <c r="F64" s="6" t="n">
        <v>1</v>
      </c>
      <c r="G64" s="6">
        <f>IF($D64="","",IFERROR(XLOOKUP($D64,Items!$A:$A,Items!$D:$D),0))</f>
        <v/>
      </c>
      <c r="H64" s="6">
        <f>IF($C64="Issue",IFERROR($F64*$G64,0),0)</f>
        <v/>
      </c>
      <c r="I64" s="6" t="n"/>
      <c r="J64" s="5" t="n"/>
      <c r="K64" s="4" t="inlineStr">
        <is>
          <t>old Return</t>
        </is>
      </c>
    </row>
    <row r="65" ht="20" customHeight="1">
      <c r="A65" s="3" t="n">
        <v>46210</v>
      </c>
      <c r="B65" s="4" t="inlineStr">
        <is>
          <t>Sunil Garandwal</t>
        </is>
      </c>
      <c r="C65" s="5" t="inlineStr">
        <is>
          <t>Issue</t>
        </is>
      </c>
      <c r="D65" s="5" t="inlineStr">
        <is>
          <t>CH</t>
        </is>
      </c>
      <c r="E65" s="4">
        <f>IF($D65="","",IFERROR(XLOOKUP($D65,Items!$A:$A,Items!$B:$B),"ERR"))</f>
        <v/>
      </c>
      <c r="F65" s="6" t="n">
        <v>20</v>
      </c>
      <c r="G65" s="6" t="n">
        <v>4</v>
      </c>
      <c r="H65" s="6">
        <f>IF($C65="Issue",IFERROR($F65*$G65,0),0)</f>
        <v/>
      </c>
      <c r="I65" s="6" t="n">
        <v>80</v>
      </c>
      <c r="J65" s="5" t="inlineStr">
        <is>
          <t>Cash</t>
        </is>
      </c>
      <c r="K65" s="4" t="inlineStr"/>
    </row>
    <row r="66" ht="20" customHeight="1">
      <c r="A66" s="3" t="n">
        <v>46210</v>
      </c>
      <c r="B66" s="4" t="inlineStr">
        <is>
          <t>Sunil Garandwal</t>
        </is>
      </c>
      <c r="C66" s="5" t="inlineStr">
        <is>
          <t>Return</t>
        </is>
      </c>
      <c r="D66" s="5" t="inlineStr">
        <is>
          <t>CH</t>
        </is>
      </c>
      <c r="E66" s="4">
        <f>IF($D66="","",IFERROR(XLOOKUP($D66,Items!$A:$A,Items!$B:$B),"ERR"))</f>
        <v/>
      </c>
      <c r="F66" s="6" t="n">
        <v>1</v>
      </c>
      <c r="G66" s="6">
        <f>IF($D66="","",IFERROR(XLOOKUP($D66,Items!$A:$A,Items!$D:$D),0))</f>
        <v/>
      </c>
      <c r="H66" s="6">
        <f>IF($C66="Issue",IFERROR($F66*$G66,0),0)</f>
        <v/>
      </c>
      <c r="I66" s="6" t="n"/>
      <c r="J66" s="5" t="n"/>
      <c r="K66" s="4" t="inlineStr">
        <is>
          <t>old Return</t>
        </is>
      </c>
    </row>
    <row r="67" ht="20" customHeight="1">
      <c r="A67" s="3" t="n">
        <v>46211</v>
      </c>
      <c r="B67" s="4" t="inlineStr">
        <is>
          <t>Pruthviraj Mandap</t>
        </is>
      </c>
      <c r="C67" s="5" t="inlineStr">
        <is>
          <t>Issue</t>
        </is>
      </c>
      <c r="D67" s="5" t="inlineStr">
        <is>
          <t>CTRNG</t>
        </is>
      </c>
      <c r="E67" s="4">
        <f>IF($D67="","",IFERROR(XLOOKUP($D67,Items!$A:$A,Items!$B:$B),"ERR"))</f>
        <v/>
      </c>
      <c r="F67" s="6" t="n">
        <v>1</v>
      </c>
      <c r="G67" s="6" t="n">
        <v>600</v>
      </c>
      <c r="H67" s="6">
        <f>IF($C67="Issue",IFERROR($F67*$G67,0),0)</f>
        <v/>
      </c>
      <c r="I67" s="6" t="n">
        <v>600</v>
      </c>
      <c r="J67" s="5" t="inlineStr">
        <is>
          <t>Cash</t>
        </is>
      </c>
      <c r="K67" s="4" t="inlineStr"/>
    </row>
    <row r="68" ht="20" customHeight="1">
      <c r="A68" s="3" t="n"/>
      <c r="B68" s="4" t="n"/>
      <c r="C68" s="5" t="n"/>
      <c r="D68" s="5" t="n"/>
      <c r="E68" s="4">
        <f>IF($D68="","",IFERROR(XLOOKUP($D68,Items!$A:$A,Items!$B:$B),"ERR"))</f>
        <v/>
      </c>
      <c r="F68" s="6" t="n"/>
      <c r="G68" s="6">
        <f>IF($D68="","",IFERROR(XLOOKUP($D68,Items!$A:$A,Items!$D:$D),0))</f>
        <v/>
      </c>
      <c r="H68" s="6">
        <f>IF($C68="Issue",IFERROR($F68*$G68,0),0)</f>
        <v/>
      </c>
      <c r="I68" s="6" t="n"/>
      <c r="J68" s="5" t="n"/>
      <c r="K68" s="4" t="n"/>
    </row>
    <row r="69" ht="20" customHeight="1">
      <c r="A69" s="3" t="n"/>
      <c r="B69" s="4" t="n"/>
      <c r="C69" s="5" t="n"/>
      <c r="D69" s="5" t="n"/>
      <c r="E69" s="4">
        <f>IF($D69="","",IFERROR(XLOOKUP($D69,Items!$A:$A,Items!$B:$B),"ERR"))</f>
        <v/>
      </c>
      <c r="F69" s="6" t="n"/>
      <c r="G69" s="6">
        <f>IF($D69="","",IFERROR(XLOOKUP($D69,Items!$A:$A,Items!$D:$D),0))</f>
        <v/>
      </c>
      <c r="H69" s="6">
        <f>IF($C69="Issue",IFERROR($F69*$G69,0),0)</f>
        <v/>
      </c>
      <c r="I69" s="6" t="n"/>
      <c r="J69" s="5" t="n"/>
      <c r="K69" s="4" t="n"/>
    </row>
    <row r="70" ht="20" customHeight="1">
      <c r="A70" s="3" t="n"/>
      <c r="B70" s="4" t="n"/>
      <c r="C70" s="5" t="n"/>
      <c r="D70" s="5" t="n"/>
      <c r="E70" s="4">
        <f>IF($D70="","",IFERROR(XLOOKUP($D70,Items!$A:$A,Items!$B:$B),"ERR"))</f>
        <v/>
      </c>
      <c r="F70" s="6" t="n"/>
      <c r="G70" s="6">
        <f>IF($D70="","",IFERROR(XLOOKUP($D70,Items!$A:$A,Items!$D:$D),0))</f>
        <v/>
      </c>
      <c r="H70" s="6">
        <f>IF($C70="Issue",IFERROR($F70*$G70,0),0)</f>
        <v/>
      </c>
      <c r="I70" s="6" t="n"/>
      <c r="J70" s="5" t="n"/>
      <c r="K70" s="4" t="n"/>
    </row>
    <row r="71" ht="20" customHeight="1">
      <c r="A71" s="3" t="n"/>
      <c r="B71" s="4" t="n"/>
      <c r="C71" s="5" t="n"/>
      <c r="D71" s="5" t="n"/>
      <c r="E71" s="4">
        <f>IF($D71="","",IFERROR(XLOOKUP($D71,Items!$A:$A,Items!$B:$B),"ERR"))</f>
        <v/>
      </c>
      <c r="F71" s="6" t="n"/>
      <c r="G71" s="6">
        <f>IF($D71="","",IFERROR(XLOOKUP($D71,Items!$A:$A,Items!$D:$D),0))</f>
        <v/>
      </c>
      <c r="H71" s="6">
        <f>IF($C71="Issue",IFERROR($F71*$G71,0),0)</f>
        <v/>
      </c>
      <c r="I71" s="6" t="n"/>
      <c r="J71" s="5" t="n"/>
      <c r="K71" s="4" t="n"/>
    </row>
    <row r="72" ht="20" customHeight="1">
      <c r="A72" s="3" t="n"/>
      <c r="B72" s="4" t="n"/>
      <c r="C72" s="5" t="n"/>
      <c r="D72" s="5" t="n"/>
      <c r="E72" s="4">
        <f>IF($D72="","",IFERROR(XLOOKUP($D72,Items!$A:$A,Items!$B:$B),"ERR"))</f>
        <v/>
      </c>
      <c r="F72" s="6" t="n"/>
      <c r="G72" s="6">
        <f>IF($D72="","",IFERROR(XLOOKUP($D72,Items!$A:$A,Items!$D:$D),0))</f>
        <v/>
      </c>
      <c r="H72" s="6">
        <f>IF($C72="Issue",IFERROR($F72*$G72,0),0)</f>
        <v/>
      </c>
      <c r="I72" s="6" t="n"/>
      <c r="J72" s="5" t="n"/>
      <c r="K72" s="4" t="n"/>
    </row>
    <row r="73" ht="20" customHeight="1">
      <c r="A73" s="3" t="n"/>
      <c r="B73" s="4" t="n"/>
      <c r="C73" s="5" t="n"/>
      <c r="D73" s="5" t="n"/>
      <c r="E73" s="4">
        <f>IF($D73="","",IFERROR(XLOOKUP($D73,Items!$A:$A,Items!$B:$B),"ERR"))</f>
        <v/>
      </c>
      <c r="F73" s="6" t="n"/>
      <c r="G73" s="6">
        <f>IF($D73="","",IFERROR(XLOOKUP($D73,Items!$A:$A,Items!$D:$D),0))</f>
        <v/>
      </c>
      <c r="H73" s="6">
        <f>IF($C73="Issue",IFERROR($F73*$G73,0),0)</f>
        <v/>
      </c>
      <c r="I73" s="6" t="n"/>
      <c r="J73" s="5" t="n"/>
      <c r="K73" s="4" t="n"/>
    </row>
    <row r="74" ht="20" customHeight="1">
      <c r="A74" s="3" t="n"/>
      <c r="B74" s="4" t="n"/>
      <c r="C74" s="5" t="n"/>
      <c r="D74" s="5" t="n"/>
      <c r="E74" s="4">
        <f>IF($D74="","",IFERROR(XLOOKUP($D74,Items!$A:$A,Items!$B:$B),"ERR"))</f>
        <v/>
      </c>
      <c r="F74" s="6" t="n"/>
      <c r="G74" s="6">
        <f>IF($D74="","",IFERROR(XLOOKUP($D74,Items!$A:$A,Items!$D:$D),0))</f>
        <v/>
      </c>
      <c r="H74" s="6">
        <f>IF($C74="Issue",IFERROR($F74*$G74,0),0)</f>
        <v/>
      </c>
      <c r="I74" s="6" t="n"/>
      <c r="J74" s="5" t="n"/>
      <c r="K74" s="4" t="n"/>
    </row>
    <row r="75" ht="20" customHeight="1">
      <c r="A75" s="3" t="n"/>
      <c r="B75" s="4" t="n"/>
      <c r="C75" s="5" t="n"/>
      <c r="D75" s="5" t="n"/>
      <c r="E75" s="4">
        <f>IF($D75="","",IFERROR(XLOOKUP($D75,Items!$A:$A,Items!$B:$B),"ERR"))</f>
        <v/>
      </c>
      <c r="F75" s="6" t="n"/>
      <c r="G75" s="6">
        <f>IF($D75="","",IFERROR(XLOOKUP($D75,Items!$A:$A,Items!$D:$D),0))</f>
        <v/>
      </c>
      <c r="H75" s="6">
        <f>IF($C75="Issue",IFERROR($F75*$G75,0),0)</f>
        <v/>
      </c>
      <c r="I75" s="6" t="n"/>
      <c r="J75" s="5" t="n"/>
      <c r="K75" s="4" t="n"/>
    </row>
    <row r="76" ht="20" customHeight="1">
      <c r="A76" s="3" t="n"/>
      <c r="B76" s="4" t="n"/>
      <c r="C76" s="5" t="n"/>
      <c r="D76" s="5" t="n"/>
      <c r="E76" s="4">
        <f>IF($D76="","",IFERROR(XLOOKUP($D76,Items!$A:$A,Items!$B:$B),"ERR"))</f>
        <v/>
      </c>
      <c r="F76" s="6" t="n"/>
      <c r="G76" s="6">
        <f>IF($D76="","",IFERROR(XLOOKUP($D76,Items!$A:$A,Items!$D:$D),0))</f>
        <v/>
      </c>
      <c r="H76" s="6">
        <f>IF($C76="Issue",IFERROR($F76*$G76,0),0)</f>
        <v/>
      </c>
      <c r="I76" s="6" t="n"/>
      <c r="J76" s="5" t="n"/>
      <c r="K76" s="4" t="n"/>
    </row>
    <row r="77" ht="20" customHeight="1">
      <c r="A77" s="3" t="n"/>
      <c r="B77" s="4" t="n"/>
      <c r="C77" s="5" t="n"/>
      <c r="D77" s="5" t="n"/>
      <c r="E77" s="4">
        <f>IF($D77="","",IFERROR(XLOOKUP($D77,Items!$A:$A,Items!$B:$B),"ERR"))</f>
        <v/>
      </c>
      <c r="F77" s="6" t="n"/>
      <c r="G77" s="6">
        <f>IF($D77="","",IFERROR(XLOOKUP($D77,Items!$A:$A,Items!$D:$D),0))</f>
        <v/>
      </c>
      <c r="H77" s="6">
        <f>IF($C77="Issue",IFERROR($F77*$G77,0),0)</f>
        <v/>
      </c>
      <c r="I77" s="6" t="n"/>
      <c r="J77" s="5" t="n"/>
      <c r="K77" s="4" t="n"/>
    </row>
    <row r="78" ht="20" customHeight="1">
      <c r="A78" s="3" t="n"/>
      <c r="B78" s="4" t="n"/>
      <c r="C78" s="5" t="n"/>
      <c r="D78" s="5" t="n"/>
      <c r="E78" s="4">
        <f>IF($D78="","",IFERROR(XLOOKUP($D78,Items!$A:$A,Items!$B:$B),"ERR"))</f>
        <v/>
      </c>
      <c r="F78" s="6" t="n"/>
      <c r="G78" s="6">
        <f>IF($D78="","",IFERROR(XLOOKUP($D78,Items!$A:$A,Items!$D:$D),0))</f>
        <v/>
      </c>
      <c r="H78" s="6">
        <f>IF($C78="Issue",IFERROR($F78*$G78,0),0)</f>
        <v/>
      </c>
      <c r="I78" s="6" t="n"/>
      <c r="J78" s="5" t="n"/>
      <c r="K78" s="4" t="n"/>
    </row>
    <row r="79" ht="20" customHeight="1">
      <c r="A79" s="3" t="n"/>
      <c r="B79" s="4" t="n"/>
      <c r="C79" s="5" t="n"/>
      <c r="D79" s="5" t="n"/>
      <c r="E79" s="4">
        <f>IF($D79="","",IFERROR(XLOOKUP($D79,Items!$A:$A,Items!$B:$B),"ERR"))</f>
        <v/>
      </c>
      <c r="F79" s="6" t="n"/>
      <c r="G79" s="6">
        <f>IF($D79="","",IFERROR(XLOOKUP($D79,Items!$A:$A,Items!$D:$D),0))</f>
        <v/>
      </c>
      <c r="H79" s="6">
        <f>IF($C79="Issue",IFERROR($F79*$G79,0),0)</f>
        <v/>
      </c>
      <c r="I79" s="6" t="n"/>
      <c r="J79" s="5" t="n"/>
      <c r="K79" s="4" t="n"/>
    </row>
    <row r="80" ht="20" customHeight="1">
      <c r="A80" s="3" t="n"/>
      <c r="B80" s="4" t="n"/>
      <c r="C80" s="5" t="n"/>
      <c r="D80" s="5" t="n"/>
      <c r="E80" s="4">
        <f>IF($D80="","",IFERROR(XLOOKUP($D80,Items!$A:$A,Items!$B:$B),"ERR"))</f>
        <v/>
      </c>
      <c r="F80" s="6" t="n"/>
      <c r="G80" s="6">
        <f>IF($D80="","",IFERROR(XLOOKUP($D80,Items!$A:$A,Items!$D:$D),0))</f>
        <v/>
      </c>
      <c r="H80" s="6">
        <f>IF($C80="Issue",IFERROR($F80*$G80,0),0)</f>
        <v/>
      </c>
      <c r="I80" s="6" t="n"/>
      <c r="J80" s="5" t="n"/>
      <c r="K80" s="4" t="n"/>
    </row>
    <row r="81" ht="20" customHeight="1">
      <c r="A81" s="3" t="n"/>
      <c r="B81" s="4" t="n"/>
      <c r="C81" s="5" t="n"/>
      <c r="D81" s="5" t="n"/>
      <c r="E81" s="4">
        <f>IF($D81="","",IFERROR(XLOOKUP($D81,Items!$A:$A,Items!$B:$B),"ERR"))</f>
        <v/>
      </c>
      <c r="F81" s="6" t="n"/>
      <c r="G81" s="6">
        <f>IF($D81="","",IFERROR(XLOOKUP($D81,Items!$A:$A,Items!$D:$D),0))</f>
        <v/>
      </c>
      <c r="H81" s="6">
        <f>IF($C81="Issue",IFERROR($F81*$G81,0),0)</f>
        <v/>
      </c>
      <c r="I81" s="6" t="n"/>
      <c r="J81" s="5" t="n"/>
      <c r="K81" s="4" t="n"/>
    </row>
    <row r="82" ht="20" customHeight="1">
      <c r="A82" s="3" t="n"/>
      <c r="B82" s="4" t="n"/>
      <c r="C82" s="5" t="n"/>
      <c r="D82" s="5" t="n"/>
      <c r="E82" s="4">
        <f>IF($D82="","",IFERROR(XLOOKUP($D82,Items!$A:$A,Items!$B:$B),"ERR"))</f>
        <v/>
      </c>
      <c r="F82" s="6" t="n"/>
      <c r="G82" s="6">
        <f>IF($D82="","",IFERROR(XLOOKUP($D82,Items!$A:$A,Items!$D:$D),0))</f>
        <v/>
      </c>
      <c r="H82" s="6">
        <f>IF($C82="Issue",IFERROR($F82*$G82,0),0)</f>
        <v/>
      </c>
      <c r="I82" s="6" t="n"/>
      <c r="J82" s="5" t="n"/>
      <c r="K82" s="4" t="n"/>
    </row>
    <row r="83" ht="20" customHeight="1">
      <c r="A83" s="3" t="n"/>
      <c r="B83" s="4" t="n"/>
      <c r="C83" s="5" t="n"/>
      <c r="D83" s="5" t="n"/>
      <c r="E83" s="4">
        <f>IF($D83="","",IFERROR(XLOOKUP($D83,Items!$A:$A,Items!$B:$B),"ERR"))</f>
        <v/>
      </c>
      <c r="F83" s="6" t="n"/>
      <c r="G83" s="6">
        <f>IF($D83="","",IFERROR(XLOOKUP($D83,Items!$A:$A,Items!$D:$D),0))</f>
        <v/>
      </c>
      <c r="H83" s="6">
        <f>IF($C83="Issue",IFERROR($F83*$G83,0),0)</f>
        <v/>
      </c>
      <c r="I83" s="6" t="n"/>
      <c r="J83" s="5" t="n"/>
      <c r="K83" s="4" t="n"/>
    </row>
    <row r="84" ht="20" customHeight="1">
      <c r="A84" s="3" t="n"/>
      <c r="B84" s="4" t="n"/>
      <c r="C84" s="5" t="n"/>
      <c r="D84" s="5" t="n"/>
      <c r="E84" s="4">
        <f>IF($D84="","",IFERROR(XLOOKUP($D84,Items!$A:$A,Items!$B:$B),"ERR"))</f>
        <v/>
      </c>
      <c r="F84" s="6" t="n"/>
      <c r="G84" s="6">
        <f>IF($D84="","",IFERROR(XLOOKUP($D84,Items!$A:$A,Items!$D:$D),0))</f>
        <v/>
      </c>
      <c r="H84" s="6">
        <f>IF($C84="Issue",IFERROR($F84*$G84,0),0)</f>
        <v/>
      </c>
      <c r="I84" s="6" t="n"/>
      <c r="J84" s="5" t="n"/>
      <c r="K84" s="4" t="n"/>
    </row>
    <row r="85" ht="20" customHeight="1">
      <c r="A85" s="3" t="n"/>
      <c r="B85" s="4" t="n"/>
      <c r="C85" s="5" t="n"/>
      <c r="D85" s="5" t="n"/>
      <c r="E85" s="4">
        <f>IF($D85="","",IFERROR(XLOOKUP($D85,Items!$A:$A,Items!$B:$B),"ERR"))</f>
        <v/>
      </c>
      <c r="F85" s="6" t="n"/>
      <c r="G85" s="6">
        <f>IF($D85="","",IFERROR(XLOOKUP($D85,Items!$A:$A,Items!$D:$D),0))</f>
        <v/>
      </c>
      <c r="H85" s="6">
        <f>IF($C85="Issue",IFERROR($F85*$G85,0),0)</f>
        <v/>
      </c>
      <c r="I85" s="6" t="n"/>
      <c r="J85" s="5" t="n"/>
      <c r="K85" s="4" t="n"/>
    </row>
    <row r="86" ht="20" customHeight="1">
      <c r="A86" s="3" t="n"/>
      <c r="B86" s="4" t="n"/>
      <c r="C86" s="5" t="n"/>
      <c r="D86" s="5" t="n"/>
      <c r="E86" s="4">
        <f>IF($D86="","",IFERROR(XLOOKUP($D86,Items!$A:$A,Items!$B:$B),"ERR"))</f>
        <v/>
      </c>
      <c r="F86" s="6" t="n"/>
      <c r="G86" s="6">
        <f>IF($D86="","",IFERROR(XLOOKUP($D86,Items!$A:$A,Items!$D:$D),0))</f>
        <v/>
      </c>
      <c r="H86" s="6">
        <f>IF($C86="Issue",IFERROR($F86*$G86,0),0)</f>
        <v/>
      </c>
      <c r="I86" s="6" t="n"/>
      <c r="J86" s="5" t="n"/>
      <c r="K86" s="4" t="n"/>
    </row>
    <row r="87" ht="20" customHeight="1">
      <c r="A87" s="3" t="n"/>
      <c r="B87" s="4" t="n"/>
      <c r="C87" s="5" t="n"/>
      <c r="D87" s="5" t="n"/>
      <c r="E87" s="4">
        <f>IF($D87="","",IFERROR(XLOOKUP($D87,Items!$A:$A,Items!$B:$B),"ERR"))</f>
        <v/>
      </c>
      <c r="F87" s="6" t="n"/>
      <c r="G87" s="6">
        <f>IF($D87="","",IFERROR(XLOOKUP($D87,Items!$A:$A,Items!$D:$D),0))</f>
        <v/>
      </c>
      <c r="H87" s="6">
        <f>IF($C87="Issue",IFERROR($F87*$G87,0),0)</f>
        <v/>
      </c>
      <c r="I87" s="6" t="n"/>
      <c r="J87" s="5" t="n"/>
      <c r="K87" s="4" t="n"/>
    </row>
    <row r="88" ht="20" customHeight="1">
      <c r="A88" s="3" t="n"/>
      <c r="B88" s="4" t="n"/>
      <c r="C88" s="5" t="n"/>
      <c r="D88" s="5" t="n"/>
      <c r="E88" s="4">
        <f>IF($D88="","",IFERROR(XLOOKUP($D88,Items!$A:$A,Items!$B:$B),"ERR"))</f>
        <v/>
      </c>
      <c r="F88" s="6" t="n"/>
      <c r="G88" s="6">
        <f>IF($D88="","",IFERROR(XLOOKUP($D88,Items!$A:$A,Items!$D:$D),0))</f>
        <v/>
      </c>
      <c r="H88" s="6">
        <f>IF($C88="Issue",IFERROR($F88*$G88,0),0)</f>
        <v/>
      </c>
      <c r="I88" s="6" t="n"/>
      <c r="J88" s="5" t="n"/>
      <c r="K88" s="4" t="n"/>
    </row>
    <row r="89" ht="20" customHeight="1">
      <c r="A89" s="3" t="n"/>
      <c r="B89" s="4" t="n"/>
      <c r="C89" s="5" t="n"/>
      <c r="D89" s="5" t="n"/>
      <c r="E89" s="4">
        <f>IF($D89="","",IFERROR(XLOOKUP($D89,Items!$A:$A,Items!$B:$B),"ERR"))</f>
        <v/>
      </c>
      <c r="F89" s="6" t="n"/>
      <c r="G89" s="6">
        <f>IF($D89="","",IFERROR(XLOOKUP($D89,Items!$A:$A,Items!$D:$D),0))</f>
        <v/>
      </c>
      <c r="H89" s="6">
        <f>IF($C89="Issue",IFERROR($F89*$G89,0),0)</f>
        <v/>
      </c>
      <c r="I89" s="6" t="n"/>
      <c r="J89" s="5" t="n"/>
      <c r="K89" s="4" t="n"/>
    </row>
    <row r="90" ht="20" customHeight="1">
      <c r="A90" s="3" t="n"/>
      <c r="B90" s="4" t="n"/>
      <c r="C90" s="5" t="n"/>
      <c r="D90" s="5" t="n"/>
      <c r="E90" s="4">
        <f>IF($D90="","",IFERROR(XLOOKUP($D90,Items!$A:$A,Items!$B:$B),"ERR"))</f>
        <v/>
      </c>
      <c r="F90" s="6" t="n"/>
      <c r="G90" s="6">
        <f>IF($D90="","",IFERROR(XLOOKUP($D90,Items!$A:$A,Items!$D:$D),0))</f>
        <v/>
      </c>
      <c r="H90" s="6">
        <f>IF($C90="Issue",IFERROR($F90*$G90,0),0)</f>
        <v/>
      </c>
      <c r="I90" s="6" t="n"/>
      <c r="J90" s="5" t="n"/>
      <c r="K90" s="4" t="n"/>
    </row>
    <row r="91" ht="20" customHeight="1">
      <c r="A91" s="3" t="n"/>
      <c r="B91" s="4" t="n"/>
      <c r="C91" s="5" t="n"/>
      <c r="D91" s="5" t="n"/>
      <c r="E91" s="4">
        <f>IF($D91="","",IFERROR(XLOOKUP($D91,Items!$A:$A,Items!$B:$B),"ERR"))</f>
        <v/>
      </c>
      <c r="F91" s="6" t="n"/>
      <c r="G91" s="6">
        <f>IF($D91="","",IFERROR(XLOOKUP($D91,Items!$A:$A,Items!$D:$D),0))</f>
        <v/>
      </c>
      <c r="H91" s="6">
        <f>IF($C91="Issue",IFERROR($F91*$G91,0),0)</f>
        <v/>
      </c>
      <c r="I91" s="6" t="n"/>
      <c r="J91" s="5" t="n"/>
      <c r="K91" s="4" t="n"/>
    </row>
    <row r="92" ht="20" customHeight="1">
      <c r="A92" s="3" t="n"/>
      <c r="B92" s="4" t="n"/>
      <c r="C92" s="5" t="n"/>
      <c r="D92" s="5" t="n"/>
      <c r="E92" s="4">
        <f>IF($D92="","",IFERROR(XLOOKUP($D92,Items!$A:$A,Items!$B:$B),"ERR"))</f>
        <v/>
      </c>
      <c r="F92" s="6" t="n"/>
      <c r="G92" s="6">
        <f>IF($D92="","",IFERROR(XLOOKUP($D92,Items!$A:$A,Items!$D:$D),0))</f>
        <v/>
      </c>
      <c r="H92" s="6">
        <f>IF($C92="Issue",IFERROR($F92*$G92,0),0)</f>
        <v/>
      </c>
      <c r="I92" s="6" t="n"/>
      <c r="J92" s="5" t="n"/>
      <c r="K92" s="4" t="n"/>
    </row>
    <row r="93" ht="20" customHeight="1">
      <c r="A93" s="3" t="n"/>
      <c r="B93" s="4" t="n"/>
      <c r="C93" s="5" t="n"/>
      <c r="D93" s="5" t="n"/>
      <c r="E93" s="4">
        <f>IF($D93="","",IFERROR(XLOOKUP($D93,Items!$A:$A,Items!$B:$B),"ERR"))</f>
        <v/>
      </c>
      <c r="F93" s="6" t="n"/>
      <c r="G93" s="6">
        <f>IF($D93="","",IFERROR(XLOOKUP($D93,Items!$A:$A,Items!$D:$D),0))</f>
        <v/>
      </c>
      <c r="H93" s="6">
        <f>IF($C93="Issue",IFERROR($F93*$G93,0),0)</f>
        <v/>
      </c>
      <c r="I93" s="6" t="n"/>
      <c r="J93" s="5" t="n"/>
      <c r="K93" s="4" t="n"/>
    </row>
    <row r="94" ht="20" customHeight="1">
      <c r="A94" s="3" t="n"/>
      <c r="B94" s="4" t="n"/>
      <c r="C94" s="5" t="n"/>
      <c r="D94" s="5" t="n"/>
      <c r="E94" s="4">
        <f>IF($D94="","",IFERROR(XLOOKUP($D94,Items!$A:$A,Items!$B:$B),"ERR"))</f>
        <v/>
      </c>
      <c r="F94" s="6" t="n"/>
      <c r="G94" s="6">
        <f>IF($D94="","",IFERROR(XLOOKUP($D94,Items!$A:$A,Items!$D:$D),0))</f>
        <v/>
      </c>
      <c r="H94" s="6">
        <f>IF($C94="Issue",IFERROR($F94*$G94,0),0)</f>
        <v/>
      </c>
      <c r="I94" s="6" t="n"/>
      <c r="J94" s="5" t="n"/>
      <c r="K94" s="4" t="n"/>
    </row>
    <row r="95" ht="20" customHeight="1">
      <c r="A95" s="3" t="n"/>
      <c r="B95" s="4" t="n"/>
      <c r="C95" s="5" t="n"/>
      <c r="D95" s="5" t="n"/>
      <c r="E95" s="4">
        <f>IF($D95="","",IFERROR(XLOOKUP($D95,Items!$A:$A,Items!$B:$B),"ERR"))</f>
        <v/>
      </c>
      <c r="F95" s="6" t="n"/>
      <c r="G95" s="6">
        <f>IF($D95="","",IFERROR(XLOOKUP($D95,Items!$A:$A,Items!$D:$D),0))</f>
        <v/>
      </c>
      <c r="H95" s="6">
        <f>IF($C95="Issue",IFERROR($F95*$G95,0),0)</f>
        <v/>
      </c>
      <c r="I95" s="6" t="n"/>
      <c r="J95" s="5" t="n"/>
      <c r="K95" s="4" t="n"/>
    </row>
    <row r="96" ht="20" customHeight="1">
      <c r="A96" s="3" t="n"/>
      <c r="B96" s="4" t="n"/>
      <c r="C96" s="5" t="n"/>
      <c r="D96" s="5" t="n"/>
      <c r="E96" s="4">
        <f>IF($D96="","",IFERROR(XLOOKUP($D96,Items!$A:$A,Items!$B:$B),"ERR"))</f>
        <v/>
      </c>
      <c r="F96" s="6" t="n"/>
      <c r="G96" s="6">
        <f>IF($D96="","",IFERROR(XLOOKUP($D96,Items!$A:$A,Items!$D:$D),0))</f>
        <v/>
      </c>
      <c r="H96" s="6">
        <f>IF($C96="Issue",IFERROR($F96*$G96,0),0)</f>
        <v/>
      </c>
      <c r="I96" s="6" t="n"/>
      <c r="J96" s="5" t="n"/>
      <c r="K96" s="4" t="n"/>
    </row>
    <row r="97" ht="20" customHeight="1">
      <c r="A97" s="3" t="n"/>
      <c r="B97" s="4" t="n"/>
      <c r="C97" s="5" t="n"/>
      <c r="D97" s="5" t="n"/>
      <c r="E97" s="4">
        <f>IF($D97="","",IFERROR(XLOOKUP($D97,Items!$A:$A,Items!$B:$B),"ERR"))</f>
        <v/>
      </c>
      <c r="F97" s="6" t="n"/>
      <c r="G97" s="6">
        <f>IF($D97="","",IFERROR(XLOOKUP($D97,Items!$A:$A,Items!$D:$D),0))</f>
        <v/>
      </c>
      <c r="H97" s="6">
        <f>IF($C97="Issue",IFERROR($F97*$G97,0),0)</f>
        <v/>
      </c>
      <c r="I97" s="6" t="n"/>
      <c r="J97" s="5" t="n"/>
      <c r="K97" s="4" t="n"/>
    </row>
    <row r="98" ht="20" customHeight="1">
      <c r="A98" s="3" t="n"/>
      <c r="B98" s="4" t="n"/>
      <c r="C98" s="5" t="n"/>
      <c r="D98" s="5" t="n"/>
      <c r="E98" s="4">
        <f>IF($D98="","",IFERROR(XLOOKUP($D98,Items!$A:$A,Items!$B:$B),"ERR"))</f>
        <v/>
      </c>
      <c r="F98" s="6" t="n"/>
      <c r="G98" s="6">
        <f>IF($D98="","",IFERROR(XLOOKUP($D98,Items!$A:$A,Items!$D:$D),0))</f>
        <v/>
      </c>
      <c r="H98" s="6">
        <f>IF($C98="Issue",IFERROR($F98*$G98,0),0)</f>
        <v/>
      </c>
      <c r="I98" s="6" t="n"/>
      <c r="J98" s="5" t="n"/>
      <c r="K98" s="4" t="n"/>
    </row>
    <row r="99" ht="20" customHeight="1">
      <c r="A99" s="3" t="n"/>
      <c r="B99" s="4" t="n"/>
      <c r="C99" s="5" t="n"/>
      <c r="D99" s="5" t="n"/>
      <c r="E99" s="4">
        <f>IF($D99="","",IFERROR(XLOOKUP($D99,Items!$A:$A,Items!$B:$B),"ERR"))</f>
        <v/>
      </c>
      <c r="F99" s="6" t="n"/>
      <c r="G99" s="6">
        <f>IF($D99="","",IFERROR(XLOOKUP($D99,Items!$A:$A,Items!$D:$D),0))</f>
        <v/>
      </c>
      <c r="H99" s="6">
        <f>IF($C99="Issue",IFERROR($F99*$G99,0),0)</f>
        <v/>
      </c>
      <c r="I99" s="6" t="n"/>
      <c r="J99" s="5" t="n"/>
      <c r="K99" s="4" t="n"/>
    </row>
    <row r="100" ht="20" customHeight="1">
      <c r="A100" s="3" t="n"/>
      <c r="B100" s="4" t="n"/>
      <c r="C100" s="5" t="n"/>
      <c r="D100" s="5" t="n"/>
      <c r="E100" s="4">
        <f>IF($D100="","",IFERROR(XLOOKUP($D100,Items!$A:$A,Items!$B:$B),"ERR"))</f>
        <v/>
      </c>
      <c r="F100" s="6" t="n"/>
      <c r="G100" s="6">
        <f>IF($D100="","",IFERROR(XLOOKUP($D100,Items!$A:$A,Items!$D:$D),0))</f>
        <v/>
      </c>
      <c r="H100" s="6">
        <f>IF($C100="Issue",IFERROR($F100*$G100,0),0)</f>
        <v/>
      </c>
      <c r="I100" s="6" t="n"/>
      <c r="J100" s="5" t="n"/>
      <c r="K100" s="4" t="n"/>
    </row>
    <row r="101" ht="20" customHeight="1">
      <c r="A101" s="3" t="n"/>
      <c r="B101" s="4" t="n"/>
      <c r="C101" s="5" t="n"/>
      <c r="D101" s="5" t="n"/>
      <c r="E101" s="4">
        <f>IF($D101="","",IFERROR(XLOOKUP($D101,Items!$A:$A,Items!$B:$B),"ERR"))</f>
        <v/>
      </c>
      <c r="F101" s="6" t="n"/>
      <c r="G101" s="6">
        <f>IF($D101="","",IFERROR(XLOOKUP($D101,Items!$A:$A,Items!$D:$D),0))</f>
        <v/>
      </c>
      <c r="H101" s="6">
        <f>IF($C101="Issue",IFERROR($F101*$G101,0),0)</f>
        <v/>
      </c>
      <c r="I101" s="6" t="n"/>
      <c r="J101" s="5" t="n"/>
      <c r="K101" s="4" t="n"/>
    </row>
    <row r="102" ht="20" customHeight="1">
      <c r="A102" s="3" t="n"/>
      <c r="B102" s="4" t="n"/>
      <c r="C102" s="5" t="n"/>
      <c r="D102" s="5" t="n"/>
      <c r="E102" s="4">
        <f>IF($D102="","",IFERROR(XLOOKUP($D102,Items!$A:$A,Items!$B:$B),"ERR"))</f>
        <v/>
      </c>
      <c r="F102" s="6" t="n"/>
      <c r="G102" s="6">
        <f>IF($D102="","",IFERROR(XLOOKUP($D102,Items!$A:$A,Items!$D:$D),0))</f>
        <v/>
      </c>
      <c r="H102" s="6">
        <f>IF($C102="Issue",IFERROR($F102*$G102,0),0)</f>
        <v/>
      </c>
      <c r="I102" s="6" t="n"/>
      <c r="J102" s="5" t="n"/>
      <c r="K102" s="4" t="n"/>
    </row>
    <row r="103" ht="20" customHeight="1">
      <c r="A103" s="3" t="n"/>
      <c r="B103" s="4" t="n"/>
      <c r="C103" s="5" t="n"/>
      <c r="D103" s="5" t="n"/>
      <c r="E103" s="4">
        <f>IF($D103="","",IFERROR(XLOOKUP($D103,Items!$A:$A,Items!$B:$B),"ERR"))</f>
        <v/>
      </c>
      <c r="F103" s="6" t="n"/>
      <c r="G103" s="6">
        <f>IF($D103="","",IFERROR(XLOOKUP($D103,Items!$A:$A,Items!$D:$D),0))</f>
        <v/>
      </c>
      <c r="H103" s="6">
        <f>IF($C103="Issue",IFERROR($F103*$G103,0),0)</f>
        <v/>
      </c>
      <c r="I103" s="6" t="n"/>
      <c r="J103" s="5" t="n"/>
      <c r="K103" s="4" t="n"/>
    </row>
    <row r="104" ht="20" customHeight="1">
      <c r="A104" s="3" t="n"/>
      <c r="B104" s="4" t="n"/>
      <c r="C104" s="5" t="n"/>
      <c r="D104" s="5" t="n"/>
      <c r="E104" s="4">
        <f>IF($D104="","",IFERROR(XLOOKUP($D104,Items!$A:$A,Items!$B:$B),"ERR"))</f>
        <v/>
      </c>
      <c r="F104" s="6" t="n"/>
      <c r="G104" s="6">
        <f>IF($D104="","",IFERROR(XLOOKUP($D104,Items!$A:$A,Items!$D:$D),0))</f>
        <v/>
      </c>
      <c r="H104" s="6">
        <f>IF($C104="Issue",IFERROR($F104*$G104,0),0)</f>
        <v/>
      </c>
      <c r="I104" s="6" t="n"/>
      <c r="J104" s="5" t="n"/>
      <c r="K104" s="4" t="n"/>
    </row>
    <row r="105" ht="20" customHeight="1">
      <c r="A105" s="3" t="n"/>
      <c r="B105" s="4" t="n"/>
      <c r="C105" s="5" t="n"/>
      <c r="D105" s="5" t="n"/>
      <c r="E105" s="4">
        <f>IF($D105="","",IFERROR(XLOOKUP($D105,Items!$A:$A,Items!$B:$B),"ERR"))</f>
        <v/>
      </c>
      <c r="F105" s="6" t="n"/>
      <c r="G105" s="6">
        <f>IF($D105="","",IFERROR(XLOOKUP($D105,Items!$A:$A,Items!$D:$D),0))</f>
        <v/>
      </c>
      <c r="H105" s="6">
        <f>IF($C105="Issue",IFERROR($F105*$G105,0),0)</f>
        <v/>
      </c>
      <c r="I105" s="6" t="n"/>
      <c r="J105" s="5" t="n"/>
      <c r="K105" s="4" t="n"/>
    </row>
    <row r="106" ht="20" customHeight="1">
      <c r="A106" s="3" t="n"/>
      <c r="B106" s="4" t="n"/>
      <c r="C106" s="5" t="n"/>
      <c r="D106" s="5" t="n"/>
      <c r="E106" s="4">
        <f>IF($D106="","",IFERROR(XLOOKUP($D106,Items!$A:$A,Items!$B:$B),"ERR"))</f>
        <v/>
      </c>
      <c r="F106" s="6" t="n"/>
      <c r="G106" s="6">
        <f>IF($D106="","",IFERROR(XLOOKUP($D106,Items!$A:$A,Items!$D:$D),0))</f>
        <v/>
      </c>
      <c r="H106" s="6">
        <f>IF($C106="Issue",IFERROR($F106*$G106,0),0)</f>
        <v/>
      </c>
      <c r="I106" s="6" t="n"/>
      <c r="J106" s="5" t="n"/>
      <c r="K106" s="4" t="n"/>
    </row>
    <row r="107" ht="20" customHeight="1">
      <c r="A107" s="3" t="n"/>
      <c r="B107" s="4" t="n"/>
      <c r="C107" s="5" t="n"/>
      <c r="D107" s="5" t="n"/>
      <c r="E107" s="4">
        <f>IF($D107="","",IFERROR(XLOOKUP($D107,Items!$A:$A,Items!$B:$B),"ERR"))</f>
        <v/>
      </c>
      <c r="F107" s="6" t="n"/>
      <c r="G107" s="6">
        <f>IF($D107="","",IFERROR(XLOOKUP($D107,Items!$A:$A,Items!$D:$D),0))</f>
        <v/>
      </c>
      <c r="H107" s="6">
        <f>IF($C107="Issue",IFERROR($F107*$G107,0),0)</f>
        <v/>
      </c>
      <c r="I107" s="6" t="n"/>
      <c r="J107" s="5" t="n"/>
      <c r="K107" s="4" t="n"/>
    </row>
    <row r="108" ht="20" customHeight="1">
      <c r="A108" s="3" t="n"/>
      <c r="B108" s="4" t="n"/>
      <c r="C108" s="5" t="n"/>
      <c r="D108" s="5" t="n"/>
      <c r="E108" s="4">
        <f>IF($D108="","",IFERROR(XLOOKUP($D108,Items!$A:$A,Items!$B:$B),"ERR"))</f>
        <v/>
      </c>
      <c r="F108" s="6" t="n"/>
      <c r="G108" s="6">
        <f>IF($D108="","",IFERROR(XLOOKUP($D108,Items!$A:$A,Items!$D:$D),0))</f>
        <v/>
      </c>
      <c r="H108" s="6">
        <f>IF($C108="Issue",IFERROR($F108*$G108,0),0)</f>
        <v/>
      </c>
      <c r="I108" s="6" t="n"/>
      <c r="J108" s="5" t="n"/>
      <c r="K108" s="4" t="n"/>
    </row>
    <row r="109" ht="20" customHeight="1">
      <c r="A109" s="3" t="n"/>
      <c r="B109" s="4" t="n"/>
      <c r="C109" s="5" t="n"/>
      <c r="D109" s="5" t="n"/>
      <c r="E109" s="4">
        <f>IF($D109="","",IFERROR(XLOOKUP($D109,Items!$A:$A,Items!$B:$B),"ERR"))</f>
        <v/>
      </c>
      <c r="F109" s="6" t="n"/>
      <c r="G109" s="6">
        <f>IF($D109="","",IFERROR(XLOOKUP($D109,Items!$A:$A,Items!$D:$D),0))</f>
        <v/>
      </c>
      <c r="H109" s="6">
        <f>IF($C109="Issue",IFERROR($F109*$G109,0),0)</f>
        <v/>
      </c>
      <c r="I109" s="6" t="n"/>
      <c r="J109" s="5" t="n"/>
      <c r="K109" s="4" t="n"/>
    </row>
    <row r="110" ht="20" customHeight="1">
      <c r="A110" s="3" t="n"/>
      <c r="B110" s="4" t="n"/>
      <c r="C110" s="5" t="n"/>
      <c r="D110" s="5" t="n"/>
      <c r="E110" s="4">
        <f>IF($D110="","",IFERROR(XLOOKUP($D110,Items!$A:$A,Items!$B:$B),"ERR"))</f>
        <v/>
      </c>
      <c r="F110" s="6" t="n"/>
      <c r="G110" s="6">
        <f>IF($D110="","",IFERROR(XLOOKUP($D110,Items!$A:$A,Items!$D:$D),0))</f>
        <v/>
      </c>
      <c r="H110" s="6">
        <f>IF($C110="Issue",IFERROR($F110*$G110,0),0)</f>
        <v/>
      </c>
      <c r="I110" s="6" t="n"/>
      <c r="J110" s="5" t="n"/>
      <c r="K110" s="4" t="n"/>
    </row>
    <row r="111" ht="20" customHeight="1">
      <c r="A111" s="3" t="n"/>
      <c r="B111" s="4" t="n"/>
      <c r="C111" s="5" t="n"/>
      <c r="D111" s="5" t="n"/>
      <c r="E111" s="4">
        <f>IF($D111="","",IFERROR(XLOOKUP($D111,Items!$A:$A,Items!$B:$B),"ERR"))</f>
        <v/>
      </c>
      <c r="F111" s="6" t="n"/>
      <c r="G111" s="6">
        <f>IF($D111="","",IFERROR(XLOOKUP($D111,Items!$A:$A,Items!$D:$D),0))</f>
        <v/>
      </c>
      <c r="H111" s="6">
        <f>IF($C111="Issue",IFERROR($F111*$G111,0),0)</f>
        <v/>
      </c>
      <c r="I111" s="6" t="n"/>
      <c r="J111" s="5" t="n"/>
      <c r="K111" s="4" t="n"/>
    </row>
    <row r="112" ht="20" customHeight="1">
      <c r="A112" s="3" t="n"/>
      <c r="B112" s="4" t="n"/>
      <c r="C112" s="5" t="n"/>
      <c r="D112" s="5" t="n"/>
      <c r="E112" s="4">
        <f>IF($D112="","",IFERROR(XLOOKUP($D112,Items!$A:$A,Items!$B:$B),"ERR"))</f>
        <v/>
      </c>
      <c r="F112" s="6" t="n"/>
      <c r="G112" s="6">
        <f>IF($D112="","",IFERROR(XLOOKUP($D112,Items!$A:$A,Items!$D:$D),0))</f>
        <v/>
      </c>
      <c r="H112" s="6">
        <f>IF($C112="Issue",IFERROR($F112*$G112,0),0)</f>
        <v/>
      </c>
      <c r="I112" s="6" t="n"/>
      <c r="J112" s="5" t="n"/>
      <c r="K112" s="4" t="n"/>
    </row>
    <row r="113" ht="20" customHeight="1">
      <c r="A113" s="3" t="n"/>
      <c r="B113" s="4" t="n"/>
      <c r="C113" s="5" t="n"/>
      <c r="D113" s="5" t="n"/>
      <c r="E113" s="4">
        <f>IF($D113="","",IFERROR(XLOOKUP($D113,Items!$A:$A,Items!$B:$B),"ERR"))</f>
        <v/>
      </c>
      <c r="F113" s="6" t="n"/>
      <c r="G113" s="6">
        <f>IF($D113="","",IFERROR(XLOOKUP($D113,Items!$A:$A,Items!$D:$D),0))</f>
        <v/>
      </c>
      <c r="H113" s="6">
        <f>IF($C113="Issue",IFERROR($F113*$G113,0),0)</f>
        <v/>
      </c>
      <c r="I113" s="6" t="n"/>
      <c r="J113" s="5" t="n"/>
      <c r="K113" s="4" t="n"/>
    </row>
    <row r="114" ht="20" customHeight="1">
      <c r="A114" s="3" t="n"/>
      <c r="B114" s="4" t="n"/>
      <c r="C114" s="5" t="n"/>
      <c r="D114" s="5" t="n"/>
      <c r="E114" s="4">
        <f>IF($D114="","",IFERROR(XLOOKUP($D114,Items!$A:$A,Items!$B:$B),"ERR"))</f>
        <v/>
      </c>
      <c r="F114" s="6" t="n"/>
      <c r="G114" s="6">
        <f>IF($D114="","",IFERROR(XLOOKUP($D114,Items!$A:$A,Items!$D:$D),0))</f>
        <v/>
      </c>
      <c r="H114" s="6">
        <f>IF($C114="Issue",IFERROR($F114*$G114,0),0)</f>
        <v/>
      </c>
      <c r="I114" s="6" t="n"/>
      <c r="J114" s="5" t="n"/>
      <c r="K114" s="4" t="n"/>
    </row>
    <row r="115" ht="20" customHeight="1">
      <c r="A115" s="3" t="n"/>
      <c r="B115" s="4" t="n"/>
      <c r="C115" s="5" t="n"/>
      <c r="D115" s="5" t="n"/>
      <c r="E115" s="4">
        <f>IF($D115="","",IFERROR(XLOOKUP($D115,Items!$A:$A,Items!$B:$B),"ERR"))</f>
        <v/>
      </c>
      <c r="F115" s="6" t="n"/>
      <c r="G115" s="6">
        <f>IF($D115="","",IFERROR(XLOOKUP($D115,Items!$A:$A,Items!$D:$D),0))</f>
        <v/>
      </c>
      <c r="H115" s="6">
        <f>IF($C115="Issue",IFERROR($F115*$G115,0),0)</f>
        <v/>
      </c>
      <c r="I115" s="6" t="n"/>
      <c r="J115" s="5" t="n"/>
      <c r="K115" s="4" t="n"/>
    </row>
    <row r="116" ht="20" customHeight="1">
      <c r="A116" s="3" t="n"/>
      <c r="B116" s="4" t="n"/>
      <c r="C116" s="5" t="n"/>
      <c r="D116" s="5" t="n"/>
      <c r="E116" s="4">
        <f>IF($D116="","",IFERROR(XLOOKUP($D116,Items!$A:$A,Items!$B:$B),"ERR"))</f>
        <v/>
      </c>
      <c r="F116" s="6" t="n"/>
      <c r="G116" s="6">
        <f>IF($D116="","",IFERROR(XLOOKUP($D116,Items!$A:$A,Items!$D:$D),0))</f>
        <v/>
      </c>
      <c r="H116" s="6">
        <f>IF($C116="Issue",IFERROR($F116*$G116,0),0)</f>
        <v/>
      </c>
      <c r="I116" s="6" t="n"/>
      <c r="J116" s="5" t="n"/>
      <c r="K116" s="4" t="n"/>
    </row>
    <row r="117" ht="20" customHeight="1">
      <c r="A117" s="3" t="n"/>
      <c r="B117" s="4" t="n"/>
      <c r="C117" s="5" t="n"/>
      <c r="D117" s="5" t="n"/>
      <c r="E117" s="4">
        <f>IF($D117="","",IFERROR(XLOOKUP($D117,Items!$A:$A,Items!$B:$B),"ERR"))</f>
        <v/>
      </c>
      <c r="F117" s="6" t="n"/>
      <c r="G117" s="6">
        <f>IF($D117="","",IFERROR(XLOOKUP($D117,Items!$A:$A,Items!$D:$D),0))</f>
        <v/>
      </c>
      <c r="H117" s="6">
        <f>IF($C117="Issue",IFERROR($F117*$G117,0),0)</f>
        <v/>
      </c>
      <c r="I117" s="6" t="n"/>
      <c r="J117" s="5" t="n"/>
      <c r="K117" s="4" t="n"/>
    </row>
    <row r="118" ht="20" customHeight="1">
      <c r="A118" s="3" t="n"/>
      <c r="B118" s="4" t="n"/>
      <c r="C118" s="5" t="n"/>
      <c r="D118" s="5" t="n"/>
      <c r="E118" s="4">
        <f>IF($D118="","",IFERROR(XLOOKUP($D118,Items!$A:$A,Items!$B:$B),"ERR"))</f>
        <v/>
      </c>
      <c r="F118" s="6" t="n"/>
      <c r="G118" s="6">
        <f>IF($D118="","",IFERROR(XLOOKUP($D118,Items!$A:$A,Items!$D:$D),0))</f>
        <v/>
      </c>
      <c r="H118" s="6">
        <f>IF($C118="Issue",IFERROR($F118*$G118,0),0)</f>
        <v/>
      </c>
      <c r="I118" s="6" t="n"/>
      <c r="J118" s="5" t="n"/>
      <c r="K118" s="4" t="n"/>
    </row>
    <row r="119" ht="20" customHeight="1">
      <c r="A119" s="3" t="n"/>
      <c r="B119" s="4" t="n"/>
      <c r="C119" s="5" t="n"/>
      <c r="D119" s="5" t="n"/>
      <c r="E119" s="4">
        <f>IF($D119="","",IFERROR(XLOOKUP($D119,Items!$A:$A,Items!$B:$B),"ERR"))</f>
        <v/>
      </c>
      <c r="F119" s="6" t="n"/>
      <c r="G119" s="6">
        <f>IF($D119="","",IFERROR(XLOOKUP($D119,Items!$A:$A,Items!$D:$D),0))</f>
        <v/>
      </c>
      <c r="H119" s="6">
        <f>IF($C119="Issue",IFERROR($F119*$G119,0),0)</f>
        <v/>
      </c>
      <c r="I119" s="6" t="n"/>
      <c r="J119" s="5" t="n"/>
      <c r="K119" s="4" t="n"/>
    </row>
    <row r="120" ht="20" customHeight="1">
      <c r="A120" s="3" t="n"/>
      <c r="B120" s="4" t="n"/>
      <c r="C120" s="5" t="n"/>
      <c r="D120" s="5" t="n"/>
      <c r="E120" s="4">
        <f>IF($D120="","",IFERROR(XLOOKUP($D120,Items!$A:$A,Items!$B:$B),"ERR"))</f>
        <v/>
      </c>
      <c r="F120" s="6" t="n"/>
      <c r="G120" s="6">
        <f>IF($D120="","",IFERROR(XLOOKUP($D120,Items!$A:$A,Items!$D:$D),0))</f>
        <v/>
      </c>
      <c r="H120" s="6">
        <f>IF($C120="Issue",IFERROR($F120*$G120,0),0)</f>
        <v/>
      </c>
      <c r="I120" s="6" t="n"/>
      <c r="J120" s="5" t="n"/>
      <c r="K120" s="4" t="n"/>
    </row>
    <row r="121" ht="20" customHeight="1">
      <c r="A121" s="3" t="n"/>
      <c r="B121" s="4" t="n"/>
      <c r="C121" s="5" t="n"/>
      <c r="D121" s="5" t="n"/>
      <c r="E121" s="4">
        <f>IF($D121="","",IFERROR(XLOOKUP($D121,Items!$A:$A,Items!$B:$B),"ERR"))</f>
        <v/>
      </c>
      <c r="F121" s="6" t="n"/>
      <c r="G121" s="6">
        <f>IF($D121="","",IFERROR(XLOOKUP($D121,Items!$A:$A,Items!$D:$D),0))</f>
        <v/>
      </c>
      <c r="H121" s="6">
        <f>IF($C121="Issue",IFERROR($F121*$G121,0),0)</f>
        <v/>
      </c>
      <c r="I121" s="6" t="n"/>
      <c r="J121" s="5" t="n"/>
      <c r="K121" s="4" t="n"/>
    </row>
    <row r="122" ht="20" customHeight="1">
      <c r="A122" s="3" t="n"/>
      <c r="B122" s="4" t="n"/>
      <c r="C122" s="5" t="n"/>
      <c r="D122" s="5" t="n"/>
      <c r="E122" s="4">
        <f>IF($D122="","",IFERROR(XLOOKUP($D122,Items!$A:$A,Items!$B:$B),"ERR"))</f>
        <v/>
      </c>
      <c r="F122" s="6" t="n"/>
      <c r="G122" s="6">
        <f>IF($D122="","",IFERROR(XLOOKUP($D122,Items!$A:$A,Items!$D:$D),0))</f>
        <v/>
      </c>
      <c r="H122" s="6">
        <f>IF($C122="Issue",IFERROR($F122*$G122,0),0)</f>
        <v/>
      </c>
      <c r="I122" s="6" t="n"/>
      <c r="J122" s="5" t="n"/>
      <c r="K122" s="4" t="n"/>
    </row>
    <row r="123" ht="20" customHeight="1">
      <c r="A123" s="3" t="n"/>
      <c r="B123" s="4" t="n"/>
      <c r="C123" s="5" t="n"/>
      <c r="D123" s="5" t="n"/>
      <c r="E123" s="4">
        <f>IF($D123="","",IFERROR(XLOOKUP($D123,Items!$A:$A,Items!$B:$B),"ERR"))</f>
        <v/>
      </c>
      <c r="F123" s="6" t="n"/>
      <c r="G123" s="6">
        <f>IF($D123="","",IFERROR(XLOOKUP($D123,Items!$A:$A,Items!$D:$D),0))</f>
        <v/>
      </c>
      <c r="H123" s="6">
        <f>IF($C123="Issue",IFERROR($F123*$G123,0),0)</f>
        <v/>
      </c>
      <c r="I123" s="6" t="n"/>
      <c r="J123" s="5" t="n"/>
      <c r="K123" s="4" t="n"/>
    </row>
    <row r="124" ht="20" customHeight="1">
      <c r="A124" s="3" t="n"/>
      <c r="B124" s="4" t="n"/>
      <c r="C124" s="5" t="n"/>
      <c r="D124" s="5" t="n"/>
      <c r="E124" s="4">
        <f>IF($D124="","",IFERROR(XLOOKUP($D124,Items!$A:$A,Items!$B:$B),"ERR"))</f>
        <v/>
      </c>
      <c r="F124" s="6" t="n"/>
      <c r="G124" s="6">
        <f>IF($D124="","",IFERROR(XLOOKUP($D124,Items!$A:$A,Items!$D:$D),0))</f>
        <v/>
      </c>
      <c r="H124" s="6">
        <f>IF($C124="Issue",IFERROR($F124*$G124,0),0)</f>
        <v/>
      </c>
      <c r="I124" s="6" t="n"/>
      <c r="J124" s="5" t="n"/>
      <c r="K124" s="4" t="n"/>
    </row>
    <row r="125" ht="20" customHeight="1">
      <c r="A125" s="3" t="n"/>
      <c r="B125" s="4" t="n"/>
      <c r="C125" s="5" t="n"/>
      <c r="D125" s="5" t="n"/>
      <c r="E125" s="4">
        <f>IF($D125="","",IFERROR(XLOOKUP($D125,Items!$A:$A,Items!$B:$B),"ERR"))</f>
        <v/>
      </c>
      <c r="F125" s="6" t="n"/>
      <c r="G125" s="6">
        <f>IF($D125="","",IFERROR(XLOOKUP($D125,Items!$A:$A,Items!$D:$D),0))</f>
        <v/>
      </c>
      <c r="H125" s="6">
        <f>IF($C125="Issue",IFERROR($F125*$G125,0),0)</f>
        <v/>
      </c>
      <c r="I125" s="6" t="n"/>
      <c r="J125" s="5" t="n"/>
      <c r="K125" s="4" t="n"/>
    </row>
    <row r="126" ht="20" customHeight="1">
      <c r="A126" s="3" t="n"/>
      <c r="B126" s="4" t="n"/>
      <c r="C126" s="5" t="n"/>
      <c r="D126" s="5" t="n"/>
      <c r="E126" s="4">
        <f>IF($D126="","",IFERROR(XLOOKUP($D126,Items!$A:$A,Items!$B:$B),"ERR"))</f>
        <v/>
      </c>
      <c r="F126" s="6" t="n"/>
      <c r="G126" s="6">
        <f>IF($D126="","",IFERROR(XLOOKUP($D126,Items!$A:$A,Items!$D:$D),0))</f>
        <v/>
      </c>
      <c r="H126" s="6">
        <f>IF($C126="Issue",IFERROR($F126*$G126,0),0)</f>
        <v/>
      </c>
      <c r="I126" s="6" t="n"/>
      <c r="J126" s="5" t="n"/>
      <c r="K126" s="4" t="n"/>
    </row>
    <row r="127" ht="20" customHeight="1">
      <c r="A127" s="3" t="n"/>
      <c r="B127" s="4" t="n"/>
      <c r="C127" s="5" t="n"/>
      <c r="D127" s="5" t="n"/>
      <c r="E127" s="4">
        <f>IF($D127="","",IFERROR(XLOOKUP($D127,Items!$A:$A,Items!$B:$B),"ERR"))</f>
        <v/>
      </c>
      <c r="F127" s="6" t="n"/>
      <c r="G127" s="6">
        <f>IF($D127="","",IFERROR(XLOOKUP($D127,Items!$A:$A,Items!$D:$D),0))</f>
        <v/>
      </c>
      <c r="H127" s="6">
        <f>IF($C127="Issue",IFERROR($F127*$G127,0),0)</f>
        <v/>
      </c>
      <c r="I127" s="6" t="n"/>
      <c r="J127" s="5" t="n"/>
      <c r="K127" s="4" t="n"/>
    </row>
    <row r="128" ht="20" customHeight="1">
      <c r="A128" s="3" t="n"/>
      <c r="B128" s="4" t="n"/>
      <c r="C128" s="5" t="n"/>
      <c r="D128" s="5" t="n"/>
      <c r="E128" s="4">
        <f>IF($D128="","",IFERROR(XLOOKUP($D128,Items!$A:$A,Items!$B:$B),"ERR"))</f>
        <v/>
      </c>
      <c r="F128" s="6" t="n"/>
      <c r="G128" s="6">
        <f>IF($D128="","",IFERROR(XLOOKUP($D128,Items!$A:$A,Items!$D:$D),0))</f>
        <v/>
      </c>
      <c r="H128" s="6">
        <f>IF($C128="Issue",IFERROR($F128*$G128,0),0)</f>
        <v/>
      </c>
      <c r="I128" s="6" t="n"/>
      <c r="J128" s="5" t="n"/>
      <c r="K128" s="4" t="n"/>
    </row>
    <row r="129" ht="20" customHeight="1">
      <c r="A129" s="3" t="n"/>
      <c r="B129" s="4" t="n"/>
      <c r="C129" s="5" t="n"/>
      <c r="D129" s="5" t="n"/>
      <c r="E129" s="4">
        <f>IF($D129="","",IFERROR(XLOOKUP($D129,Items!$A:$A,Items!$B:$B),"ERR"))</f>
        <v/>
      </c>
      <c r="F129" s="6" t="n"/>
      <c r="G129" s="6">
        <f>IF($D129="","",IFERROR(XLOOKUP($D129,Items!$A:$A,Items!$D:$D),0))</f>
        <v/>
      </c>
      <c r="H129" s="6">
        <f>IF($C129="Issue",IFERROR($F129*$G129,0),0)</f>
        <v/>
      </c>
      <c r="I129" s="6" t="n"/>
      <c r="J129" s="5" t="n"/>
      <c r="K129" s="4" t="n"/>
    </row>
    <row r="130" ht="20" customHeight="1">
      <c r="A130" s="3" t="n"/>
      <c r="B130" s="4" t="n"/>
      <c r="C130" s="5" t="n"/>
      <c r="D130" s="5" t="n"/>
      <c r="E130" s="4">
        <f>IF($D130="","",IFERROR(XLOOKUP($D130,Items!$A:$A,Items!$B:$B),"ERR"))</f>
        <v/>
      </c>
      <c r="F130" s="6" t="n"/>
      <c r="G130" s="6">
        <f>IF($D130="","",IFERROR(XLOOKUP($D130,Items!$A:$A,Items!$D:$D),0))</f>
        <v/>
      </c>
      <c r="H130" s="6">
        <f>IF($C130="Issue",IFERROR($F130*$G130,0),0)</f>
        <v/>
      </c>
      <c r="I130" s="6" t="n"/>
      <c r="J130" s="5" t="n"/>
      <c r="K130" s="4" t="n"/>
    </row>
    <row r="131" ht="20" customHeight="1">
      <c r="A131" s="3" t="n"/>
      <c r="B131" s="4" t="n"/>
      <c r="C131" s="5" t="n"/>
      <c r="D131" s="5" t="n"/>
      <c r="E131" s="4">
        <f>IF($D131="","",IFERROR(XLOOKUP($D131,Items!$A:$A,Items!$B:$B),"ERR"))</f>
        <v/>
      </c>
      <c r="F131" s="6" t="n"/>
      <c r="G131" s="6">
        <f>IF($D131="","",IFERROR(XLOOKUP($D131,Items!$A:$A,Items!$D:$D),0))</f>
        <v/>
      </c>
      <c r="H131" s="6">
        <f>IF($C131="Issue",IFERROR($F131*$G131,0),0)</f>
        <v/>
      </c>
      <c r="I131" s="6" t="n"/>
      <c r="J131" s="5" t="n"/>
      <c r="K131" s="4" t="n"/>
    </row>
    <row r="132" ht="20" customHeight="1">
      <c r="A132" s="3" t="n"/>
      <c r="B132" s="4" t="n"/>
      <c r="C132" s="5" t="n"/>
      <c r="D132" s="5" t="n"/>
      <c r="E132" s="4">
        <f>IF($D132="","",IFERROR(XLOOKUP($D132,Items!$A:$A,Items!$B:$B),"ERR"))</f>
        <v/>
      </c>
      <c r="F132" s="6" t="n"/>
      <c r="G132" s="6">
        <f>IF($D132="","",IFERROR(XLOOKUP($D132,Items!$A:$A,Items!$D:$D),0))</f>
        <v/>
      </c>
      <c r="H132" s="6">
        <f>IF($C132="Issue",IFERROR($F132*$G132,0),0)</f>
        <v/>
      </c>
      <c r="I132" s="6" t="n"/>
      <c r="J132" s="5" t="n"/>
      <c r="K132" s="4" t="n"/>
    </row>
    <row r="133" ht="20" customHeight="1">
      <c r="A133" s="3" t="n"/>
      <c r="B133" s="4" t="n"/>
      <c r="C133" s="5" t="n"/>
      <c r="D133" s="5" t="n"/>
      <c r="E133" s="4">
        <f>IF($D133="","",IFERROR(XLOOKUP($D133,Items!$A:$A,Items!$B:$B),"ERR"))</f>
        <v/>
      </c>
      <c r="F133" s="6" t="n"/>
      <c r="G133" s="6">
        <f>IF($D133="","",IFERROR(XLOOKUP($D133,Items!$A:$A,Items!$D:$D),0))</f>
        <v/>
      </c>
      <c r="H133" s="6">
        <f>IF($C133="Issue",IFERROR($F133*$G133,0),0)</f>
        <v/>
      </c>
      <c r="I133" s="6" t="n"/>
      <c r="J133" s="5" t="n"/>
      <c r="K133" s="4" t="n"/>
    </row>
    <row r="134" ht="20" customHeight="1">
      <c r="A134" s="3" t="n"/>
      <c r="B134" s="4" t="n"/>
      <c r="C134" s="5" t="n"/>
      <c r="D134" s="5" t="n"/>
      <c r="E134" s="4">
        <f>IF($D134="","",IFERROR(XLOOKUP($D134,Items!$A:$A,Items!$B:$B),"ERR"))</f>
        <v/>
      </c>
      <c r="F134" s="6" t="n"/>
      <c r="G134" s="6">
        <f>IF($D134="","",IFERROR(XLOOKUP($D134,Items!$A:$A,Items!$D:$D),0))</f>
        <v/>
      </c>
      <c r="H134" s="6">
        <f>IF($C134="Issue",IFERROR($F134*$G134,0),0)</f>
        <v/>
      </c>
      <c r="I134" s="6" t="n"/>
      <c r="J134" s="5" t="n"/>
      <c r="K134" s="4" t="n"/>
    </row>
    <row r="135" ht="20" customHeight="1">
      <c r="A135" s="3" t="n"/>
      <c r="B135" s="4" t="n"/>
      <c r="C135" s="5" t="n"/>
      <c r="D135" s="5" t="n"/>
      <c r="E135" s="4">
        <f>IF($D135="","",IFERROR(XLOOKUP($D135,Items!$A:$A,Items!$B:$B),"ERR"))</f>
        <v/>
      </c>
      <c r="F135" s="6" t="n"/>
      <c r="G135" s="6">
        <f>IF($D135="","",IFERROR(XLOOKUP($D135,Items!$A:$A,Items!$D:$D),0))</f>
        <v/>
      </c>
      <c r="H135" s="6">
        <f>IF($C135="Issue",IFERROR($F135*$G135,0),0)</f>
        <v/>
      </c>
      <c r="I135" s="6" t="n"/>
      <c r="J135" s="5" t="n"/>
      <c r="K135" s="4" t="n"/>
    </row>
    <row r="136" ht="20" customHeight="1">
      <c r="A136" s="3" t="n"/>
      <c r="B136" s="4" t="n"/>
      <c r="C136" s="5" t="n"/>
      <c r="D136" s="5" t="n"/>
      <c r="E136" s="4">
        <f>IF($D136="","",IFERROR(XLOOKUP($D136,Items!$A:$A,Items!$B:$B),"ERR"))</f>
        <v/>
      </c>
      <c r="F136" s="6" t="n"/>
      <c r="G136" s="6">
        <f>IF($D136="","",IFERROR(XLOOKUP($D136,Items!$A:$A,Items!$D:$D),0))</f>
        <v/>
      </c>
      <c r="H136" s="6">
        <f>IF($C136="Issue",IFERROR($F136*$G136,0),0)</f>
        <v/>
      </c>
      <c r="I136" s="6" t="n"/>
      <c r="J136" s="5" t="n"/>
      <c r="K136" s="4" t="n"/>
    </row>
    <row r="137" ht="20" customHeight="1">
      <c r="A137" s="3" t="n"/>
      <c r="B137" s="4" t="n"/>
      <c r="C137" s="5" t="n"/>
      <c r="D137" s="5" t="n"/>
      <c r="E137" s="4">
        <f>IF($D137="","",IFERROR(XLOOKUP($D137,Items!$A:$A,Items!$B:$B),"ERR"))</f>
        <v/>
      </c>
      <c r="F137" s="6" t="n"/>
      <c r="G137" s="6">
        <f>IF($D137="","",IFERROR(XLOOKUP($D137,Items!$A:$A,Items!$D:$D),0))</f>
        <v/>
      </c>
      <c r="H137" s="6">
        <f>IF($C137="Issue",IFERROR($F137*$G137,0),0)</f>
        <v/>
      </c>
      <c r="I137" s="6" t="n"/>
      <c r="J137" s="5" t="n"/>
      <c r="K137" s="4" t="n"/>
    </row>
    <row r="138" ht="20" customHeight="1">
      <c r="A138" s="3" t="n"/>
      <c r="B138" s="4" t="n"/>
      <c r="C138" s="5" t="n"/>
      <c r="D138" s="5" t="n"/>
      <c r="E138" s="4">
        <f>IF($D138="","",IFERROR(XLOOKUP($D138,Items!$A:$A,Items!$B:$B),"ERR"))</f>
        <v/>
      </c>
      <c r="F138" s="6" t="n"/>
      <c r="G138" s="6">
        <f>IF($D138="","",IFERROR(XLOOKUP($D138,Items!$A:$A,Items!$D:$D),0))</f>
        <v/>
      </c>
      <c r="H138" s="6">
        <f>IF($C138="Issue",IFERROR($F138*$G138,0),0)</f>
        <v/>
      </c>
      <c r="I138" s="6" t="n"/>
      <c r="J138" s="5" t="n"/>
      <c r="K138" s="4" t="n"/>
    </row>
    <row r="139" ht="20" customHeight="1">
      <c r="A139" s="3" t="n"/>
      <c r="B139" s="4" t="n"/>
      <c r="C139" s="5" t="n"/>
      <c r="D139" s="5" t="n"/>
      <c r="E139" s="4">
        <f>IF($D139="","",IFERROR(XLOOKUP($D139,Items!$A:$A,Items!$B:$B),"ERR"))</f>
        <v/>
      </c>
      <c r="F139" s="6" t="n"/>
      <c r="G139" s="6">
        <f>IF($D139="","",IFERROR(XLOOKUP($D139,Items!$A:$A,Items!$D:$D),0))</f>
        <v/>
      </c>
      <c r="H139" s="6">
        <f>IF($C139="Issue",IFERROR($F139*$G139,0),0)</f>
        <v/>
      </c>
      <c r="I139" s="6" t="n"/>
      <c r="J139" s="5" t="n"/>
      <c r="K139" s="4" t="n"/>
    </row>
    <row r="140" ht="20" customHeight="1">
      <c r="A140" s="3" t="n"/>
      <c r="B140" s="4" t="n"/>
      <c r="C140" s="5" t="n"/>
      <c r="D140" s="5" t="n"/>
      <c r="E140" s="4">
        <f>IF($D140="","",IFERROR(XLOOKUP($D140,Items!$A:$A,Items!$B:$B),"ERR"))</f>
        <v/>
      </c>
      <c r="F140" s="6" t="n"/>
      <c r="G140" s="6">
        <f>IF($D140="","",IFERROR(XLOOKUP($D140,Items!$A:$A,Items!$D:$D),0))</f>
        <v/>
      </c>
      <c r="H140" s="6">
        <f>IF($C140="Issue",IFERROR($F140*$G140,0),0)</f>
        <v/>
      </c>
      <c r="I140" s="6" t="n"/>
      <c r="J140" s="5" t="n"/>
      <c r="K140" s="4" t="n"/>
    </row>
    <row r="141" ht="20" customHeight="1">
      <c r="A141" s="3" t="n"/>
      <c r="B141" s="4" t="n"/>
      <c r="C141" s="5" t="n"/>
      <c r="D141" s="5" t="n"/>
      <c r="E141" s="4">
        <f>IF($D141="","",IFERROR(XLOOKUP($D141,Items!$A:$A,Items!$B:$B),"ERR"))</f>
        <v/>
      </c>
      <c r="F141" s="6" t="n"/>
      <c r="G141" s="6">
        <f>IF($D141="","",IFERROR(XLOOKUP($D141,Items!$A:$A,Items!$D:$D),0))</f>
        <v/>
      </c>
      <c r="H141" s="6">
        <f>IF($C141="Issue",IFERROR($F141*$G141,0),0)</f>
        <v/>
      </c>
      <c r="I141" s="6" t="n"/>
      <c r="J141" s="5" t="n"/>
      <c r="K141" s="4" t="n"/>
    </row>
    <row r="142" ht="20" customHeight="1">
      <c r="A142" s="3" t="n"/>
      <c r="B142" s="4" t="n"/>
      <c r="C142" s="5" t="n"/>
      <c r="D142" s="5" t="n"/>
      <c r="E142" s="4">
        <f>IF($D142="","",IFERROR(XLOOKUP($D142,Items!$A:$A,Items!$B:$B),"ERR"))</f>
        <v/>
      </c>
      <c r="F142" s="6" t="n"/>
      <c r="G142" s="6">
        <f>IF($D142="","",IFERROR(XLOOKUP($D142,Items!$A:$A,Items!$D:$D),0))</f>
        <v/>
      </c>
      <c r="H142" s="6">
        <f>IF($C142="Issue",IFERROR($F142*$G142,0),0)</f>
        <v/>
      </c>
      <c r="I142" s="6" t="n"/>
      <c r="J142" s="5" t="n"/>
      <c r="K142" s="4" t="n"/>
    </row>
    <row r="143" ht="20" customHeight="1">
      <c r="A143" s="3" t="n"/>
      <c r="B143" s="4" t="n"/>
      <c r="C143" s="5" t="n"/>
      <c r="D143" s="5" t="n"/>
      <c r="E143" s="4">
        <f>IF($D143="","",IFERROR(XLOOKUP($D143,Items!$A:$A,Items!$B:$B),"ERR"))</f>
        <v/>
      </c>
      <c r="F143" s="6" t="n"/>
      <c r="G143" s="6">
        <f>IF($D143="","",IFERROR(XLOOKUP($D143,Items!$A:$A,Items!$D:$D),0))</f>
        <v/>
      </c>
      <c r="H143" s="6">
        <f>IF($C143="Issue",IFERROR($F143*$G143,0),0)</f>
        <v/>
      </c>
      <c r="I143" s="6" t="n"/>
      <c r="J143" s="5" t="n"/>
      <c r="K143" s="4" t="n"/>
    </row>
    <row r="144" ht="20" customHeight="1">
      <c r="A144" s="3" t="n"/>
      <c r="B144" s="4" t="n"/>
      <c r="C144" s="5" t="n"/>
      <c r="D144" s="5" t="n"/>
      <c r="E144" s="4">
        <f>IF($D144="","",IFERROR(XLOOKUP($D144,Items!$A:$A,Items!$B:$B),"ERR"))</f>
        <v/>
      </c>
      <c r="F144" s="6" t="n"/>
      <c r="G144" s="6">
        <f>IF($D144="","",IFERROR(XLOOKUP($D144,Items!$A:$A,Items!$D:$D),0))</f>
        <v/>
      </c>
      <c r="H144" s="6">
        <f>IF($C144="Issue",IFERROR($F144*$G144,0),0)</f>
        <v/>
      </c>
      <c r="I144" s="6" t="n"/>
      <c r="J144" s="5" t="n"/>
      <c r="K144" s="4" t="n"/>
    </row>
    <row r="145" ht="20" customHeight="1">
      <c r="A145" s="3" t="n"/>
      <c r="B145" s="4" t="n"/>
      <c r="C145" s="5" t="n"/>
      <c r="D145" s="5" t="n"/>
      <c r="E145" s="4">
        <f>IF($D145="","",IFERROR(XLOOKUP($D145,Items!$A:$A,Items!$B:$B),"ERR"))</f>
        <v/>
      </c>
      <c r="F145" s="6" t="n"/>
      <c r="G145" s="6">
        <f>IF($D145="","",IFERROR(XLOOKUP($D145,Items!$A:$A,Items!$D:$D),0))</f>
        <v/>
      </c>
      <c r="H145" s="6">
        <f>IF($C145="Issue",IFERROR($F145*$G145,0),0)</f>
        <v/>
      </c>
      <c r="I145" s="6" t="n"/>
      <c r="J145" s="5" t="n"/>
      <c r="K145" s="4" t="n"/>
    </row>
    <row r="146" ht="20" customHeight="1">
      <c r="A146" s="3" t="n"/>
      <c r="B146" s="4" t="n"/>
      <c r="C146" s="5" t="n"/>
      <c r="D146" s="5" t="n"/>
      <c r="E146" s="4">
        <f>IF($D146="","",IFERROR(XLOOKUP($D146,Items!$A:$A,Items!$B:$B),"ERR"))</f>
        <v/>
      </c>
      <c r="F146" s="6" t="n"/>
      <c r="G146" s="6">
        <f>IF($D146="","",IFERROR(XLOOKUP($D146,Items!$A:$A,Items!$D:$D),0))</f>
        <v/>
      </c>
      <c r="H146" s="6">
        <f>IF($C146="Issue",IFERROR($F146*$G146,0),0)</f>
        <v/>
      </c>
      <c r="I146" s="6" t="n"/>
      <c r="J146" s="5" t="n"/>
      <c r="K146" s="4" t="n"/>
    </row>
    <row r="147" ht="20" customHeight="1">
      <c r="A147" s="3" t="n"/>
      <c r="B147" s="4" t="n"/>
      <c r="C147" s="5" t="n"/>
      <c r="D147" s="5" t="n"/>
      <c r="E147" s="4">
        <f>IF($D147="","",IFERROR(XLOOKUP($D147,Items!$A:$A,Items!$B:$B),"ERR"))</f>
        <v/>
      </c>
      <c r="F147" s="6" t="n"/>
      <c r="G147" s="6">
        <f>IF($D147="","",IFERROR(XLOOKUP($D147,Items!$A:$A,Items!$D:$D),0))</f>
        <v/>
      </c>
      <c r="H147" s="6">
        <f>IF($C147="Issue",IFERROR($F147*$G147,0),0)</f>
        <v/>
      </c>
      <c r="I147" s="6" t="n"/>
      <c r="J147" s="5" t="n"/>
      <c r="K147" s="4" t="n"/>
    </row>
    <row r="148" ht="20" customHeight="1">
      <c r="A148" s="3" t="n"/>
      <c r="B148" s="4" t="n"/>
      <c r="C148" s="5" t="n"/>
      <c r="D148" s="5" t="n"/>
      <c r="E148" s="4">
        <f>IF($D148="","",IFERROR(XLOOKUP($D148,Items!$A:$A,Items!$B:$B),"ERR"))</f>
        <v/>
      </c>
      <c r="F148" s="6" t="n"/>
      <c r="G148" s="6">
        <f>IF($D148="","",IFERROR(XLOOKUP($D148,Items!$A:$A,Items!$D:$D),0))</f>
        <v/>
      </c>
      <c r="H148" s="6">
        <f>IF($C148="Issue",IFERROR($F148*$G148,0),0)</f>
        <v/>
      </c>
      <c r="I148" s="6" t="n"/>
      <c r="J148" s="5" t="n"/>
      <c r="K148" s="4" t="n"/>
    </row>
    <row r="149" ht="20" customHeight="1">
      <c r="A149" s="3" t="n"/>
      <c r="B149" s="4" t="n"/>
      <c r="C149" s="5" t="n"/>
      <c r="D149" s="5" t="n"/>
      <c r="E149" s="4">
        <f>IF($D149="","",IFERROR(XLOOKUP($D149,Items!$A:$A,Items!$B:$B),"ERR"))</f>
        <v/>
      </c>
      <c r="F149" s="6" t="n"/>
      <c r="G149" s="6">
        <f>IF($D149="","",IFERROR(XLOOKUP($D149,Items!$A:$A,Items!$D:$D),0))</f>
        <v/>
      </c>
      <c r="H149" s="6">
        <f>IF($C149="Issue",IFERROR($F149*$G149,0),0)</f>
        <v/>
      </c>
      <c r="I149" s="6" t="n"/>
      <c r="J149" s="5" t="n"/>
      <c r="K149" s="4" t="n"/>
    </row>
    <row r="150" ht="20" customHeight="1">
      <c r="A150" s="3" t="n"/>
      <c r="B150" s="4" t="n"/>
      <c r="C150" s="5" t="n"/>
      <c r="D150" s="5" t="n"/>
      <c r="E150" s="4">
        <f>IF($D150="","",IFERROR(XLOOKUP($D150,Items!$A:$A,Items!$B:$B),"ERR"))</f>
        <v/>
      </c>
      <c r="F150" s="6" t="n"/>
      <c r="G150" s="6">
        <f>IF($D150="","",IFERROR(XLOOKUP($D150,Items!$A:$A,Items!$D:$D),0))</f>
        <v/>
      </c>
      <c r="H150" s="6">
        <f>IF($C150="Issue",IFERROR($F150*$G150,0),0)</f>
        <v/>
      </c>
      <c r="I150" s="6" t="n"/>
      <c r="J150" s="5" t="n"/>
      <c r="K150" s="4" t="n"/>
    </row>
    <row r="151" ht="20" customHeight="1">
      <c r="A151" s="3" t="n"/>
      <c r="B151" s="4" t="n"/>
      <c r="C151" s="5" t="n"/>
      <c r="D151" s="5" t="n"/>
      <c r="E151" s="4">
        <f>IF($D151="","",IFERROR(XLOOKUP($D151,Items!$A:$A,Items!$B:$B),"ERR"))</f>
        <v/>
      </c>
      <c r="F151" s="6" t="n"/>
      <c r="G151" s="6">
        <f>IF($D151="","",IFERROR(XLOOKUP($D151,Items!$A:$A,Items!$D:$D),0))</f>
        <v/>
      </c>
      <c r="H151" s="6">
        <f>IF($C151="Issue",IFERROR($F151*$G151,0),0)</f>
        <v/>
      </c>
      <c r="I151" s="6" t="n"/>
      <c r="J151" s="5" t="n"/>
      <c r="K151" s="4" t="n"/>
    </row>
    <row r="152" ht="20" customHeight="1">
      <c r="A152" s="3" t="n"/>
      <c r="B152" s="4" t="n"/>
      <c r="C152" s="5" t="n"/>
      <c r="D152" s="5" t="n"/>
      <c r="E152" s="4">
        <f>IF($D152="","",IFERROR(XLOOKUP($D152,Items!$A:$A,Items!$B:$B),"ERR"))</f>
        <v/>
      </c>
      <c r="F152" s="6" t="n"/>
      <c r="G152" s="6">
        <f>IF($D152="","",IFERROR(XLOOKUP($D152,Items!$A:$A,Items!$D:$D),0))</f>
        <v/>
      </c>
      <c r="H152" s="6">
        <f>IF($C152="Issue",IFERROR($F152*$G152,0),0)</f>
        <v/>
      </c>
      <c r="I152" s="6" t="n"/>
      <c r="J152" s="5" t="n"/>
      <c r="K152" s="4" t="n"/>
    </row>
    <row r="153" ht="20" customHeight="1">
      <c r="A153" s="3" t="n"/>
      <c r="B153" s="4" t="n"/>
      <c r="C153" s="5" t="n"/>
      <c r="D153" s="5" t="n"/>
      <c r="E153" s="4">
        <f>IF($D153="","",IFERROR(XLOOKUP($D153,Items!$A:$A,Items!$B:$B),"ERR"))</f>
        <v/>
      </c>
      <c r="F153" s="6" t="n"/>
      <c r="G153" s="6">
        <f>IF($D153="","",IFERROR(XLOOKUP($D153,Items!$A:$A,Items!$D:$D),0))</f>
        <v/>
      </c>
      <c r="H153" s="6">
        <f>IF($C153="Issue",IFERROR($F153*$G153,0),0)</f>
        <v/>
      </c>
      <c r="I153" s="6" t="n"/>
      <c r="J153" s="5" t="n"/>
      <c r="K153" s="4" t="n"/>
    </row>
    <row r="154" ht="20" customHeight="1">
      <c r="A154" s="3" t="n"/>
      <c r="B154" s="4" t="n"/>
      <c r="C154" s="5" t="n"/>
      <c r="D154" s="5" t="n"/>
      <c r="E154" s="4">
        <f>IF($D154="","",IFERROR(XLOOKUP($D154,Items!$A:$A,Items!$B:$B),"ERR"))</f>
        <v/>
      </c>
      <c r="F154" s="6" t="n"/>
      <c r="G154" s="6">
        <f>IF($D154="","",IFERROR(XLOOKUP($D154,Items!$A:$A,Items!$D:$D),0))</f>
        <v/>
      </c>
      <c r="H154" s="6">
        <f>IF($C154="Issue",IFERROR($F154*$G154,0),0)</f>
        <v/>
      </c>
      <c r="I154" s="6" t="n"/>
      <c r="J154" s="5" t="n"/>
      <c r="K154" s="4" t="n"/>
    </row>
    <row r="155" ht="20" customHeight="1">
      <c r="A155" s="3" t="n"/>
      <c r="B155" s="4" t="n"/>
      <c r="C155" s="5" t="n"/>
      <c r="D155" s="5" t="n"/>
      <c r="E155" s="4">
        <f>IF($D155="","",IFERROR(XLOOKUP($D155,Items!$A:$A,Items!$B:$B),"ERR"))</f>
        <v/>
      </c>
      <c r="F155" s="6" t="n"/>
      <c r="G155" s="6">
        <f>IF($D155="","",IFERROR(XLOOKUP($D155,Items!$A:$A,Items!$D:$D),0))</f>
        <v/>
      </c>
      <c r="H155" s="6">
        <f>IF($C155="Issue",IFERROR($F155*$G155,0),0)</f>
        <v/>
      </c>
      <c r="I155" s="6" t="n"/>
      <c r="J155" s="5" t="n"/>
      <c r="K155" s="4" t="n"/>
    </row>
    <row r="156" ht="20" customHeight="1">
      <c r="A156" s="3" t="n"/>
      <c r="B156" s="4" t="n"/>
      <c r="C156" s="5" t="n"/>
      <c r="D156" s="5" t="n"/>
      <c r="E156" s="4">
        <f>IF($D156="","",IFERROR(XLOOKUP($D156,Items!$A:$A,Items!$B:$B),"ERR"))</f>
        <v/>
      </c>
      <c r="F156" s="6" t="n"/>
      <c r="G156" s="6">
        <f>IF($D156="","",IFERROR(XLOOKUP($D156,Items!$A:$A,Items!$D:$D),0))</f>
        <v/>
      </c>
      <c r="H156" s="6">
        <f>IF($C156="Issue",IFERROR($F156*$G156,0),0)</f>
        <v/>
      </c>
      <c r="I156" s="6" t="n"/>
      <c r="J156" s="5" t="n"/>
      <c r="K156" s="4" t="n"/>
    </row>
    <row r="157" ht="20" customHeight="1">
      <c r="A157" s="3" t="n"/>
      <c r="B157" s="4" t="n"/>
      <c r="C157" s="5" t="n"/>
      <c r="D157" s="5" t="n"/>
      <c r="E157" s="4">
        <f>IF($D157="","",IFERROR(XLOOKUP($D157,Items!$A:$A,Items!$B:$B),"ERR"))</f>
        <v/>
      </c>
      <c r="F157" s="6" t="n"/>
      <c r="G157" s="6">
        <f>IF($D157="","",IFERROR(XLOOKUP($D157,Items!$A:$A,Items!$D:$D),0))</f>
        <v/>
      </c>
      <c r="H157" s="6">
        <f>IF($C157="Issue",IFERROR($F157*$G157,0),0)</f>
        <v/>
      </c>
      <c r="I157" s="6" t="n"/>
      <c r="J157" s="5" t="n"/>
      <c r="K157" s="4" t="n"/>
    </row>
    <row r="158" ht="20" customHeight="1">
      <c r="A158" s="3" t="n"/>
      <c r="B158" s="4" t="n"/>
      <c r="C158" s="5" t="n"/>
      <c r="D158" s="5" t="n"/>
      <c r="E158" s="4">
        <f>IF($D158="","",IFERROR(XLOOKUP($D158,Items!$A:$A,Items!$B:$B),"ERR"))</f>
        <v/>
      </c>
      <c r="F158" s="6" t="n"/>
      <c r="G158" s="6">
        <f>IF($D158="","",IFERROR(XLOOKUP($D158,Items!$A:$A,Items!$D:$D),0))</f>
        <v/>
      </c>
      <c r="H158" s="6">
        <f>IF($C158="Issue",IFERROR($F158*$G158,0),0)</f>
        <v/>
      </c>
      <c r="I158" s="6" t="n"/>
      <c r="J158" s="5" t="n"/>
      <c r="K158" s="4" t="n"/>
    </row>
    <row r="159" ht="20" customHeight="1">
      <c r="A159" s="3" t="n"/>
      <c r="B159" s="4" t="n"/>
      <c r="C159" s="5" t="n"/>
      <c r="D159" s="5" t="n"/>
      <c r="E159" s="4">
        <f>IF($D159="","",IFERROR(XLOOKUP($D159,Items!$A:$A,Items!$B:$B),"ERR"))</f>
        <v/>
      </c>
      <c r="F159" s="6" t="n"/>
      <c r="G159" s="6">
        <f>IF($D159="","",IFERROR(XLOOKUP($D159,Items!$A:$A,Items!$D:$D),0))</f>
        <v/>
      </c>
      <c r="H159" s="6">
        <f>IF($C159="Issue",IFERROR($F159*$G159,0),0)</f>
        <v/>
      </c>
      <c r="I159" s="6" t="n"/>
      <c r="J159" s="5" t="n"/>
      <c r="K159" s="4" t="n"/>
    </row>
    <row r="160" ht="20" customHeight="1">
      <c r="A160" s="3" t="n"/>
      <c r="B160" s="4" t="n"/>
      <c r="C160" s="5" t="n"/>
      <c r="D160" s="5" t="n"/>
      <c r="E160" s="4">
        <f>IF($D160="","",IFERROR(XLOOKUP($D160,Items!$A:$A,Items!$B:$B),"ERR"))</f>
        <v/>
      </c>
      <c r="F160" s="6" t="n"/>
      <c r="G160" s="6">
        <f>IF($D160="","",IFERROR(XLOOKUP($D160,Items!$A:$A,Items!$D:$D),0))</f>
        <v/>
      </c>
      <c r="H160" s="6">
        <f>IF($C160="Issue",IFERROR($F160*$G160,0),0)</f>
        <v/>
      </c>
      <c r="I160" s="6" t="n"/>
      <c r="J160" s="5" t="n"/>
      <c r="K160" s="4" t="n"/>
    </row>
    <row r="161" ht="20" customHeight="1">
      <c r="A161" s="3" t="n"/>
      <c r="B161" s="4" t="n"/>
      <c r="C161" s="5" t="n"/>
      <c r="D161" s="5" t="n"/>
      <c r="E161" s="4">
        <f>IF($D161="","",IFERROR(XLOOKUP($D161,Items!$A:$A,Items!$B:$B),"ERR"))</f>
        <v/>
      </c>
      <c r="F161" s="6" t="n"/>
      <c r="G161" s="6">
        <f>IF($D161="","",IFERROR(XLOOKUP($D161,Items!$A:$A,Items!$D:$D),0))</f>
        <v/>
      </c>
      <c r="H161" s="6">
        <f>IF($C161="Issue",IFERROR($F161*$G161,0),0)</f>
        <v/>
      </c>
      <c r="I161" s="6" t="n"/>
      <c r="J161" s="5" t="n"/>
      <c r="K161" s="4" t="n"/>
    </row>
    <row r="162" ht="20" customHeight="1">
      <c r="A162" s="3" t="n"/>
      <c r="B162" s="4" t="n"/>
      <c r="C162" s="5" t="n"/>
      <c r="D162" s="5" t="n"/>
      <c r="E162" s="4">
        <f>IF($D162="","",IFERROR(XLOOKUP($D162,Items!$A:$A,Items!$B:$B),"ERR"))</f>
        <v/>
      </c>
      <c r="F162" s="6" t="n"/>
      <c r="G162" s="6">
        <f>IF($D162="","",IFERROR(XLOOKUP($D162,Items!$A:$A,Items!$D:$D),0))</f>
        <v/>
      </c>
      <c r="H162" s="6">
        <f>IF($C162="Issue",IFERROR($F162*$G162,0),0)</f>
        <v/>
      </c>
      <c r="I162" s="6" t="n"/>
      <c r="J162" s="5" t="n"/>
      <c r="K162" s="4" t="n"/>
    </row>
    <row r="163" ht="20" customHeight="1">
      <c r="A163" s="3" t="n"/>
      <c r="B163" s="4" t="n"/>
      <c r="C163" s="5" t="n"/>
      <c r="D163" s="5" t="n"/>
      <c r="E163" s="4">
        <f>IF($D163="","",IFERROR(XLOOKUP($D163,Items!$A:$A,Items!$B:$B),"ERR"))</f>
        <v/>
      </c>
      <c r="F163" s="6" t="n"/>
      <c r="G163" s="6">
        <f>IF($D163="","",IFERROR(XLOOKUP($D163,Items!$A:$A,Items!$D:$D),0))</f>
        <v/>
      </c>
      <c r="H163" s="6">
        <f>IF($C163="Issue",IFERROR($F163*$G163,0),0)</f>
        <v/>
      </c>
      <c r="I163" s="6" t="n"/>
      <c r="J163" s="5" t="n"/>
      <c r="K163" s="4" t="n"/>
    </row>
    <row r="164" ht="20" customHeight="1">
      <c r="A164" s="3" t="n"/>
      <c r="B164" s="4" t="n"/>
      <c r="C164" s="5" t="n"/>
      <c r="D164" s="5" t="n"/>
      <c r="E164" s="4">
        <f>IF($D164="","",IFERROR(XLOOKUP($D164,Items!$A:$A,Items!$B:$B),"ERR"))</f>
        <v/>
      </c>
      <c r="F164" s="6" t="n"/>
      <c r="G164" s="6">
        <f>IF($D164="","",IFERROR(XLOOKUP($D164,Items!$A:$A,Items!$D:$D),0))</f>
        <v/>
      </c>
      <c r="H164" s="6">
        <f>IF($C164="Issue",IFERROR($F164*$G164,0),0)</f>
        <v/>
      </c>
      <c r="I164" s="6" t="n"/>
      <c r="J164" s="5" t="n"/>
      <c r="K164" s="4" t="n"/>
    </row>
    <row r="165" ht="20" customHeight="1">
      <c r="A165" s="3" t="n"/>
      <c r="B165" s="4" t="n"/>
      <c r="C165" s="5" t="n"/>
      <c r="D165" s="5" t="n"/>
      <c r="E165" s="4">
        <f>IF($D165="","",IFERROR(XLOOKUP($D165,Items!$A:$A,Items!$B:$B),"ERR"))</f>
        <v/>
      </c>
      <c r="F165" s="6" t="n"/>
      <c r="G165" s="6">
        <f>IF($D165="","",IFERROR(XLOOKUP($D165,Items!$A:$A,Items!$D:$D),0))</f>
        <v/>
      </c>
      <c r="H165" s="6">
        <f>IF($C165="Issue",IFERROR($F165*$G165,0),0)</f>
        <v/>
      </c>
      <c r="I165" s="6" t="n"/>
      <c r="J165" s="5" t="n"/>
      <c r="K165" s="4" t="n"/>
    </row>
    <row r="166" ht="20" customHeight="1">
      <c r="A166" s="3" t="n"/>
      <c r="B166" s="4" t="n"/>
      <c r="C166" s="5" t="n"/>
      <c r="D166" s="5" t="n"/>
      <c r="E166" s="4">
        <f>IF($D166="","",IFERROR(XLOOKUP($D166,Items!$A:$A,Items!$B:$B),"ERR"))</f>
        <v/>
      </c>
      <c r="F166" s="6" t="n"/>
      <c r="G166" s="6">
        <f>IF($D166="","",IFERROR(XLOOKUP($D166,Items!$A:$A,Items!$D:$D),0))</f>
        <v/>
      </c>
      <c r="H166" s="6">
        <f>IF($C166="Issue",IFERROR($F166*$G166,0),0)</f>
        <v/>
      </c>
      <c r="I166" s="6" t="n"/>
      <c r="J166" s="5" t="n"/>
      <c r="K166" s="4" t="n"/>
    </row>
    <row r="167" ht="20" customHeight="1">
      <c r="A167" s="3" t="n"/>
      <c r="B167" s="4" t="n"/>
      <c r="C167" s="5" t="n"/>
      <c r="D167" s="5" t="n"/>
      <c r="E167" s="4">
        <f>IF($D167="","",IFERROR(XLOOKUP($D167,Items!$A:$A,Items!$B:$B),"ERR"))</f>
        <v/>
      </c>
      <c r="F167" s="6" t="n"/>
      <c r="G167" s="6">
        <f>IF($D167="","",IFERROR(XLOOKUP($D167,Items!$A:$A,Items!$D:$D),0))</f>
        <v/>
      </c>
      <c r="H167" s="6">
        <f>IF($C167="Issue",IFERROR($F167*$G167,0),0)</f>
        <v/>
      </c>
      <c r="I167" s="6" t="n"/>
      <c r="J167" s="5" t="n"/>
      <c r="K167" s="4" t="n"/>
    </row>
    <row r="168" ht="20" customHeight="1">
      <c r="A168" s="3" t="n"/>
      <c r="B168" s="4" t="n"/>
      <c r="C168" s="5" t="n"/>
      <c r="D168" s="5" t="n"/>
      <c r="E168" s="4">
        <f>IF($D168="","",IFERROR(XLOOKUP($D168,Items!$A:$A,Items!$B:$B),"ERR"))</f>
        <v/>
      </c>
      <c r="F168" s="6" t="n"/>
      <c r="G168" s="6">
        <f>IF($D168="","",IFERROR(XLOOKUP($D168,Items!$A:$A,Items!$D:$D),0))</f>
        <v/>
      </c>
      <c r="H168" s="6">
        <f>IF($C168="Issue",IFERROR($F168*$G168,0),0)</f>
        <v/>
      </c>
      <c r="I168" s="6" t="n"/>
      <c r="J168" s="5" t="n"/>
      <c r="K168" s="4" t="n"/>
    </row>
    <row r="169" ht="20" customHeight="1">
      <c r="A169" s="3" t="n"/>
      <c r="B169" s="4" t="n"/>
      <c r="C169" s="5" t="n"/>
      <c r="D169" s="5" t="n"/>
      <c r="E169" s="4">
        <f>IF($D169="","",IFERROR(XLOOKUP($D169,Items!$A:$A,Items!$B:$B),"ERR"))</f>
        <v/>
      </c>
      <c r="F169" s="6" t="n"/>
      <c r="G169" s="6">
        <f>IF($D169="","",IFERROR(XLOOKUP($D169,Items!$A:$A,Items!$D:$D),0))</f>
        <v/>
      </c>
      <c r="H169" s="6">
        <f>IF($C169="Issue",IFERROR($F169*$G169,0),0)</f>
        <v/>
      </c>
      <c r="I169" s="6" t="n"/>
      <c r="J169" s="5" t="n"/>
      <c r="K169" s="4" t="n"/>
    </row>
    <row r="170" ht="20" customHeight="1">
      <c r="A170" s="3" t="n"/>
      <c r="B170" s="4" t="n"/>
      <c r="C170" s="5" t="n"/>
      <c r="D170" s="5" t="n"/>
      <c r="E170" s="4">
        <f>IF($D170="","",IFERROR(XLOOKUP($D170,Items!$A:$A,Items!$B:$B),"ERR"))</f>
        <v/>
      </c>
      <c r="F170" s="6" t="n"/>
      <c r="G170" s="6">
        <f>IF($D170="","",IFERROR(XLOOKUP($D170,Items!$A:$A,Items!$D:$D),0))</f>
        <v/>
      </c>
      <c r="H170" s="6">
        <f>IF($C170="Issue",IFERROR($F170*$G170,0),0)</f>
        <v/>
      </c>
      <c r="I170" s="6" t="n"/>
      <c r="J170" s="5" t="n"/>
      <c r="K170" s="4" t="n"/>
    </row>
    <row r="171" ht="20" customHeight="1">
      <c r="A171" s="3" t="n"/>
      <c r="B171" s="4" t="n"/>
      <c r="C171" s="5" t="n"/>
      <c r="D171" s="5" t="n"/>
      <c r="E171" s="4">
        <f>IF($D171="","",IFERROR(XLOOKUP($D171,Items!$A:$A,Items!$B:$B),"ERR"))</f>
        <v/>
      </c>
      <c r="F171" s="6" t="n"/>
      <c r="G171" s="6">
        <f>IF($D171="","",IFERROR(XLOOKUP($D171,Items!$A:$A,Items!$D:$D),0))</f>
        <v/>
      </c>
      <c r="H171" s="6">
        <f>IF($C171="Issue",IFERROR($F171*$G171,0),0)</f>
        <v/>
      </c>
      <c r="I171" s="6" t="n"/>
      <c r="J171" s="5" t="n"/>
      <c r="K171" s="4" t="n"/>
    </row>
    <row r="172" ht="20" customHeight="1">
      <c r="A172" s="3" t="n"/>
      <c r="B172" s="4" t="n"/>
      <c r="C172" s="5" t="n"/>
      <c r="D172" s="5" t="n"/>
      <c r="E172" s="4">
        <f>IF($D172="","",IFERROR(XLOOKUP($D172,Items!$A:$A,Items!$B:$B),"ERR"))</f>
        <v/>
      </c>
      <c r="F172" s="6" t="n"/>
      <c r="G172" s="6">
        <f>IF($D172="","",IFERROR(XLOOKUP($D172,Items!$A:$A,Items!$D:$D),0))</f>
        <v/>
      </c>
      <c r="H172" s="6">
        <f>IF($C172="Issue",IFERROR($F172*$G172,0),0)</f>
        <v/>
      </c>
      <c r="I172" s="6" t="n"/>
      <c r="J172" s="5" t="n"/>
      <c r="K172" s="4" t="n"/>
    </row>
    <row r="173" ht="20" customHeight="1">
      <c r="A173" s="3" t="n"/>
      <c r="B173" s="4" t="n"/>
      <c r="C173" s="5" t="n"/>
      <c r="D173" s="5" t="n"/>
      <c r="E173" s="4">
        <f>IF($D173="","",IFERROR(XLOOKUP($D173,Items!$A:$A,Items!$B:$B),"ERR"))</f>
        <v/>
      </c>
      <c r="F173" s="6" t="n"/>
      <c r="G173" s="6">
        <f>IF($D173="","",IFERROR(XLOOKUP($D173,Items!$A:$A,Items!$D:$D),0))</f>
        <v/>
      </c>
      <c r="H173" s="6">
        <f>IF($C173="Issue",IFERROR($F173*$G173,0),0)</f>
        <v/>
      </c>
      <c r="I173" s="6" t="n"/>
      <c r="J173" s="5" t="n"/>
      <c r="K173" s="4" t="n"/>
    </row>
    <row r="174" ht="20" customHeight="1">
      <c r="A174" s="3" t="n"/>
      <c r="B174" s="4" t="n"/>
      <c r="C174" s="5" t="n"/>
      <c r="D174" s="5" t="n"/>
      <c r="E174" s="4">
        <f>IF($D174="","",IFERROR(XLOOKUP($D174,Items!$A:$A,Items!$B:$B),"ERR"))</f>
        <v/>
      </c>
      <c r="F174" s="6" t="n"/>
      <c r="G174" s="6">
        <f>IF($D174="","",IFERROR(XLOOKUP($D174,Items!$A:$A,Items!$D:$D),0))</f>
        <v/>
      </c>
      <c r="H174" s="6">
        <f>IF($C174="Issue",IFERROR($F174*$G174,0),0)</f>
        <v/>
      </c>
      <c r="I174" s="6" t="n"/>
      <c r="J174" s="5" t="n"/>
      <c r="K174" s="4" t="n"/>
    </row>
    <row r="175" ht="20" customHeight="1">
      <c r="A175" s="3" t="n"/>
      <c r="B175" s="4" t="n"/>
      <c r="C175" s="5" t="n"/>
      <c r="D175" s="5" t="n"/>
      <c r="E175" s="4">
        <f>IF($D175="","",IFERROR(XLOOKUP($D175,Items!$A:$A,Items!$B:$B),"ERR"))</f>
        <v/>
      </c>
      <c r="F175" s="6" t="n"/>
      <c r="G175" s="6">
        <f>IF($D175="","",IFERROR(XLOOKUP($D175,Items!$A:$A,Items!$D:$D),0))</f>
        <v/>
      </c>
      <c r="H175" s="6">
        <f>IF($C175="Issue",IFERROR($F175*$G175,0),0)</f>
        <v/>
      </c>
      <c r="I175" s="6" t="n"/>
      <c r="J175" s="5" t="n"/>
      <c r="K175" s="4" t="n"/>
    </row>
    <row r="176" ht="20" customHeight="1">
      <c r="A176" s="3" t="n"/>
      <c r="B176" s="4" t="n"/>
      <c r="C176" s="5" t="n"/>
      <c r="D176" s="5" t="n"/>
      <c r="E176" s="4">
        <f>IF($D176="","",IFERROR(XLOOKUP($D176,Items!$A:$A,Items!$B:$B),"ERR"))</f>
        <v/>
      </c>
      <c r="F176" s="6" t="n"/>
      <c r="G176" s="6">
        <f>IF($D176="","",IFERROR(XLOOKUP($D176,Items!$A:$A,Items!$D:$D),0))</f>
        <v/>
      </c>
      <c r="H176" s="6">
        <f>IF($C176="Issue",IFERROR($F176*$G176,0),0)</f>
        <v/>
      </c>
      <c r="I176" s="6" t="n"/>
      <c r="J176" s="5" t="n"/>
      <c r="K176" s="4" t="n"/>
    </row>
    <row r="177" ht="20" customHeight="1">
      <c r="A177" s="3" t="n"/>
      <c r="B177" s="4" t="n"/>
      <c r="C177" s="5" t="n"/>
      <c r="D177" s="5" t="n"/>
      <c r="E177" s="4">
        <f>IF($D177="","",IFERROR(XLOOKUP($D177,Items!$A:$A,Items!$B:$B),"ERR"))</f>
        <v/>
      </c>
      <c r="F177" s="6" t="n"/>
      <c r="G177" s="6">
        <f>IF($D177="","",IFERROR(XLOOKUP($D177,Items!$A:$A,Items!$D:$D),0))</f>
        <v/>
      </c>
      <c r="H177" s="6">
        <f>IF($C177="Issue",IFERROR($F177*$G177,0),0)</f>
        <v/>
      </c>
      <c r="I177" s="6" t="n"/>
      <c r="J177" s="5" t="n"/>
      <c r="K177" s="4" t="n"/>
    </row>
    <row r="178" ht="20" customHeight="1">
      <c r="A178" s="3" t="n"/>
      <c r="B178" s="4" t="n"/>
      <c r="C178" s="5" t="n"/>
      <c r="D178" s="5" t="n"/>
      <c r="E178" s="4">
        <f>IF($D178="","",IFERROR(XLOOKUP($D178,Items!$A:$A,Items!$B:$B),"ERR"))</f>
        <v/>
      </c>
      <c r="F178" s="6" t="n"/>
      <c r="G178" s="6">
        <f>IF($D178="","",IFERROR(XLOOKUP($D178,Items!$A:$A,Items!$D:$D),0))</f>
        <v/>
      </c>
      <c r="H178" s="6">
        <f>IF($C178="Issue",IFERROR($F178*$G178,0),0)</f>
        <v/>
      </c>
      <c r="I178" s="6" t="n"/>
      <c r="J178" s="5" t="n"/>
      <c r="K178" s="4" t="n"/>
    </row>
    <row r="179" ht="20" customHeight="1">
      <c r="A179" s="3" t="n"/>
      <c r="B179" s="4" t="n"/>
      <c r="C179" s="5" t="n"/>
      <c r="D179" s="5" t="n"/>
      <c r="E179" s="4">
        <f>IF($D179="","",IFERROR(XLOOKUP($D179,Items!$A:$A,Items!$B:$B),"ERR"))</f>
        <v/>
      </c>
      <c r="F179" s="6" t="n"/>
      <c r="G179" s="6">
        <f>IF($D179="","",IFERROR(XLOOKUP($D179,Items!$A:$A,Items!$D:$D),0))</f>
        <v/>
      </c>
      <c r="H179" s="6">
        <f>IF($C179="Issue",IFERROR($F179*$G179,0),0)</f>
        <v/>
      </c>
      <c r="I179" s="6" t="n"/>
      <c r="J179" s="5" t="n"/>
      <c r="K179" s="4" t="n"/>
    </row>
    <row r="180" ht="20" customHeight="1">
      <c r="A180" s="3" t="n"/>
      <c r="B180" s="4" t="n"/>
      <c r="C180" s="5" t="n"/>
      <c r="D180" s="5" t="n"/>
      <c r="E180" s="4">
        <f>IF($D180="","",IFERROR(XLOOKUP($D180,Items!$A:$A,Items!$B:$B),"ERR"))</f>
        <v/>
      </c>
      <c r="F180" s="6" t="n"/>
      <c r="G180" s="6">
        <f>IF($D180="","",IFERROR(XLOOKUP($D180,Items!$A:$A,Items!$D:$D),0))</f>
        <v/>
      </c>
      <c r="H180" s="6">
        <f>IF($C180="Issue",IFERROR($F180*$G180,0),0)</f>
        <v/>
      </c>
      <c r="I180" s="6" t="n"/>
      <c r="J180" s="5" t="n"/>
      <c r="K180" s="4" t="n"/>
    </row>
    <row r="181" ht="20" customHeight="1">
      <c r="A181" s="3" t="n"/>
      <c r="B181" s="4" t="n"/>
      <c r="C181" s="5" t="n"/>
      <c r="D181" s="5" t="n"/>
      <c r="E181" s="4">
        <f>IF($D181="","",IFERROR(XLOOKUP($D181,Items!$A:$A,Items!$B:$B),"ERR"))</f>
        <v/>
      </c>
      <c r="F181" s="6" t="n"/>
      <c r="G181" s="6">
        <f>IF($D181="","",IFERROR(XLOOKUP($D181,Items!$A:$A,Items!$D:$D),0))</f>
        <v/>
      </c>
      <c r="H181" s="6">
        <f>IF($C181="Issue",IFERROR($F181*$G181,0),0)</f>
        <v/>
      </c>
      <c r="I181" s="6" t="n"/>
      <c r="J181" s="5" t="n"/>
      <c r="K181" s="4" t="n"/>
    </row>
    <row r="182" ht="20" customHeight="1">
      <c r="A182" s="3" t="n"/>
      <c r="B182" s="4" t="n"/>
      <c r="C182" s="5" t="n"/>
      <c r="D182" s="5" t="n"/>
      <c r="E182" s="4">
        <f>IF($D182="","",IFERROR(XLOOKUP($D182,Items!$A:$A,Items!$B:$B),"ERR"))</f>
        <v/>
      </c>
      <c r="F182" s="6" t="n"/>
      <c r="G182" s="6">
        <f>IF($D182="","",IFERROR(XLOOKUP($D182,Items!$A:$A,Items!$D:$D),0))</f>
        <v/>
      </c>
      <c r="H182" s="6">
        <f>IF($C182="Issue",IFERROR($F182*$G182,0),0)</f>
        <v/>
      </c>
      <c r="I182" s="6" t="n"/>
      <c r="J182" s="5" t="n"/>
      <c r="K182" s="4" t="n"/>
    </row>
    <row r="183" ht="20" customHeight="1">
      <c r="A183" s="3" t="n"/>
      <c r="B183" s="4" t="n"/>
      <c r="C183" s="5" t="n"/>
      <c r="D183" s="5" t="n"/>
      <c r="E183" s="4">
        <f>IF($D183="","",IFERROR(XLOOKUP($D183,Items!$A:$A,Items!$B:$B),"ERR"))</f>
        <v/>
      </c>
      <c r="F183" s="6" t="n"/>
      <c r="G183" s="6">
        <f>IF($D183="","",IFERROR(XLOOKUP($D183,Items!$A:$A,Items!$D:$D),0))</f>
        <v/>
      </c>
      <c r="H183" s="6">
        <f>IF($C183="Issue",IFERROR($F183*$G183,0),0)</f>
        <v/>
      </c>
      <c r="I183" s="6" t="n"/>
      <c r="J183" s="5" t="n"/>
      <c r="K183" s="4" t="n"/>
    </row>
    <row r="184" ht="20" customHeight="1">
      <c r="A184" s="3" t="n"/>
      <c r="B184" s="4" t="n"/>
      <c r="C184" s="5" t="n"/>
      <c r="D184" s="5" t="n"/>
      <c r="E184" s="4">
        <f>IF($D184="","",IFERROR(XLOOKUP($D184,Items!$A:$A,Items!$B:$B),"ERR"))</f>
        <v/>
      </c>
      <c r="F184" s="6" t="n"/>
      <c r="G184" s="6">
        <f>IF($D184="","",IFERROR(XLOOKUP($D184,Items!$A:$A,Items!$D:$D),0))</f>
        <v/>
      </c>
      <c r="H184" s="6">
        <f>IF($C184="Issue",IFERROR($F184*$G184,0),0)</f>
        <v/>
      </c>
      <c r="I184" s="6" t="n"/>
      <c r="J184" s="5" t="n"/>
      <c r="K184" s="4" t="n"/>
    </row>
    <row r="185" ht="20" customHeight="1">
      <c r="A185" s="3" t="n"/>
      <c r="B185" s="4" t="n"/>
      <c r="C185" s="5" t="n"/>
      <c r="D185" s="5" t="n"/>
      <c r="E185" s="4">
        <f>IF($D185="","",IFERROR(XLOOKUP($D185,Items!$A:$A,Items!$B:$B),"ERR"))</f>
        <v/>
      </c>
      <c r="F185" s="6" t="n"/>
      <c r="G185" s="6">
        <f>IF($D185="","",IFERROR(XLOOKUP($D185,Items!$A:$A,Items!$D:$D),0))</f>
        <v/>
      </c>
      <c r="H185" s="6">
        <f>IF($C185="Issue",IFERROR($F185*$G185,0),0)</f>
        <v/>
      </c>
      <c r="I185" s="6" t="n"/>
      <c r="J185" s="5" t="n"/>
      <c r="K185" s="4" t="n"/>
    </row>
    <row r="186" ht="20" customHeight="1">
      <c r="A186" s="3" t="n"/>
      <c r="B186" s="4" t="n"/>
      <c r="C186" s="5" t="n"/>
      <c r="D186" s="5" t="n"/>
      <c r="E186" s="4">
        <f>IF($D186="","",IFERROR(XLOOKUP($D186,Items!$A:$A,Items!$B:$B),"ERR"))</f>
        <v/>
      </c>
      <c r="F186" s="6" t="n"/>
      <c r="G186" s="6">
        <f>IF($D186="","",IFERROR(XLOOKUP($D186,Items!$A:$A,Items!$D:$D),0))</f>
        <v/>
      </c>
      <c r="H186" s="6">
        <f>IF($C186="Issue",IFERROR($F186*$G186,0),0)</f>
        <v/>
      </c>
      <c r="I186" s="6" t="n"/>
      <c r="J186" s="5" t="n"/>
      <c r="K186" s="4" t="n"/>
    </row>
    <row r="187" ht="20" customHeight="1">
      <c r="A187" s="3" t="n"/>
      <c r="B187" s="4" t="n"/>
      <c r="C187" s="5" t="n"/>
      <c r="D187" s="5" t="n"/>
      <c r="E187" s="4">
        <f>IF($D187="","",IFERROR(XLOOKUP($D187,Items!$A:$A,Items!$B:$B),"ERR"))</f>
        <v/>
      </c>
      <c r="F187" s="6" t="n"/>
      <c r="G187" s="6">
        <f>IF($D187="","",IFERROR(XLOOKUP($D187,Items!$A:$A,Items!$D:$D),0))</f>
        <v/>
      </c>
      <c r="H187" s="6">
        <f>IF($C187="Issue",IFERROR($F187*$G187,0),0)</f>
        <v/>
      </c>
      <c r="I187" s="6" t="n"/>
      <c r="J187" s="5" t="n"/>
      <c r="K187" s="4" t="n"/>
    </row>
    <row r="188" ht="20" customHeight="1">
      <c r="A188" s="3" t="n"/>
      <c r="B188" s="4" t="n"/>
      <c r="C188" s="5" t="n"/>
      <c r="D188" s="5" t="n"/>
      <c r="E188" s="4">
        <f>IF($D188="","",IFERROR(XLOOKUP($D188,Items!$A:$A,Items!$B:$B),"ERR"))</f>
        <v/>
      </c>
      <c r="F188" s="6" t="n"/>
      <c r="G188" s="6">
        <f>IF($D188="","",IFERROR(XLOOKUP($D188,Items!$A:$A,Items!$D:$D),0))</f>
        <v/>
      </c>
      <c r="H188" s="6">
        <f>IF($C188="Issue",IFERROR($F188*$G188,0),0)</f>
        <v/>
      </c>
      <c r="I188" s="6" t="n"/>
      <c r="J188" s="5" t="n"/>
      <c r="K188" s="4" t="n"/>
    </row>
    <row r="189" ht="20" customHeight="1">
      <c r="A189" s="3" t="n"/>
      <c r="B189" s="4" t="n"/>
      <c r="C189" s="5" t="n"/>
      <c r="D189" s="5" t="n"/>
      <c r="E189" s="4">
        <f>IF($D189="","",IFERROR(XLOOKUP($D189,Items!$A:$A,Items!$B:$B),"ERR"))</f>
        <v/>
      </c>
      <c r="F189" s="6" t="n"/>
      <c r="G189" s="6">
        <f>IF($D189="","",IFERROR(XLOOKUP($D189,Items!$A:$A,Items!$D:$D),0))</f>
        <v/>
      </c>
      <c r="H189" s="6">
        <f>IF($C189="Issue",IFERROR($F189*$G189,0),0)</f>
        <v/>
      </c>
      <c r="I189" s="6" t="n"/>
      <c r="J189" s="5" t="n"/>
      <c r="K189" s="4" t="n"/>
    </row>
    <row r="190" ht="20" customHeight="1">
      <c r="A190" s="3" t="n"/>
      <c r="B190" s="4" t="n"/>
      <c r="C190" s="5" t="n"/>
      <c r="D190" s="5" t="n"/>
      <c r="E190" s="4">
        <f>IF($D190="","",IFERROR(XLOOKUP($D190,Items!$A:$A,Items!$B:$B),"ERR"))</f>
        <v/>
      </c>
      <c r="F190" s="6" t="n"/>
      <c r="G190" s="6">
        <f>IF($D190="","",IFERROR(XLOOKUP($D190,Items!$A:$A,Items!$D:$D),0))</f>
        <v/>
      </c>
      <c r="H190" s="6">
        <f>IF($C190="Issue",IFERROR($F190*$G190,0),0)</f>
        <v/>
      </c>
      <c r="I190" s="6" t="n"/>
      <c r="J190" s="5" t="n"/>
      <c r="K190" s="4" t="n"/>
    </row>
    <row r="191" ht="20" customHeight="1">
      <c r="A191" s="3" t="n"/>
      <c r="B191" s="4" t="n"/>
      <c r="C191" s="5" t="n"/>
      <c r="D191" s="5" t="n"/>
      <c r="E191" s="4">
        <f>IF($D191="","",IFERROR(XLOOKUP($D191,Items!$A:$A,Items!$B:$B),"ERR"))</f>
        <v/>
      </c>
      <c r="F191" s="6" t="n"/>
      <c r="G191" s="6">
        <f>IF($D191="","",IFERROR(XLOOKUP($D191,Items!$A:$A,Items!$D:$D),0))</f>
        <v/>
      </c>
      <c r="H191" s="6">
        <f>IF($C191="Issue",IFERROR($F191*$G191,0),0)</f>
        <v/>
      </c>
      <c r="I191" s="6" t="n"/>
      <c r="J191" s="5" t="n"/>
      <c r="K191" s="4" t="n"/>
    </row>
    <row r="192" ht="20" customHeight="1">
      <c r="A192" s="3" t="n"/>
      <c r="B192" s="4" t="n"/>
      <c r="C192" s="5" t="n"/>
      <c r="D192" s="5" t="n"/>
      <c r="E192" s="4">
        <f>IF($D192="","",IFERROR(XLOOKUP($D192,Items!$A:$A,Items!$B:$B),"ERR"))</f>
        <v/>
      </c>
      <c r="F192" s="6" t="n"/>
      <c r="G192" s="6">
        <f>IF($D192="","",IFERROR(XLOOKUP($D192,Items!$A:$A,Items!$D:$D),0))</f>
        <v/>
      </c>
      <c r="H192" s="6">
        <f>IF($C192="Issue",IFERROR($F192*$G192,0),0)</f>
        <v/>
      </c>
      <c r="I192" s="6" t="n"/>
      <c r="J192" s="5" t="n"/>
      <c r="K192" s="4" t="n"/>
    </row>
    <row r="193" ht="20" customHeight="1">
      <c r="A193" s="3" t="n"/>
      <c r="B193" s="4" t="n"/>
      <c r="C193" s="5" t="n"/>
      <c r="D193" s="5" t="n"/>
      <c r="E193" s="4">
        <f>IF($D193="","",IFERROR(XLOOKUP($D193,Items!$A:$A,Items!$B:$B),"ERR"))</f>
        <v/>
      </c>
      <c r="F193" s="6" t="n"/>
      <c r="G193" s="6">
        <f>IF($D193="","",IFERROR(XLOOKUP($D193,Items!$A:$A,Items!$D:$D),0))</f>
        <v/>
      </c>
      <c r="H193" s="6">
        <f>IF($C193="Issue",IFERROR($F193*$G193,0),0)</f>
        <v/>
      </c>
      <c r="I193" s="6" t="n"/>
      <c r="J193" s="5" t="n"/>
      <c r="K193" s="4" t="n"/>
    </row>
    <row r="194" ht="20" customHeight="1">
      <c r="A194" s="3" t="n"/>
      <c r="B194" s="4" t="n"/>
      <c r="C194" s="5" t="n"/>
      <c r="D194" s="5" t="n"/>
      <c r="E194" s="4">
        <f>IF($D194="","",IFERROR(XLOOKUP($D194,Items!$A:$A,Items!$B:$B),"ERR"))</f>
        <v/>
      </c>
      <c r="F194" s="6" t="n"/>
      <c r="G194" s="6">
        <f>IF($D194="","",IFERROR(XLOOKUP($D194,Items!$A:$A,Items!$D:$D),0))</f>
        <v/>
      </c>
      <c r="H194" s="6">
        <f>IF($C194="Issue",IFERROR($F194*$G194,0),0)</f>
        <v/>
      </c>
      <c r="I194" s="6" t="n"/>
      <c r="J194" s="5" t="n"/>
      <c r="K194" s="4" t="n"/>
    </row>
    <row r="195" ht="20" customHeight="1">
      <c r="A195" s="3" t="n"/>
      <c r="B195" s="4" t="n"/>
      <c r="C195" s="5" t="n"/>
      <c r="D195" s="5" t="n"/>
      <c r="E195" s="4">
        <f>IF($D195="","",IFERROR(XLOOKUP($D195,Items!$A:$A,Items!$B:$B),"ERR"))</f>
        <v/>
      </c>
      <c r="F195" s="6" t="n"/>
      <c r="G195" s="6">
        <f>IF($D195="","",IFERROR(XLOOKUP($D195,Items!$A:$A,Items!$D:$D),0))</f>
        <v/>
      </c>
      <c r="H195" s="6">
        <f>IF($C195="Issue",IFERROR($F195*$G195,0),0)</f>
        <v/>
      </c>
      <c r="I195" s="6" t="n"/>
      <c r="J195" s="5" t="n"/>
      <c r="K195" s="4" t="n"/>
    </row>
    <row r="196" ht="20" customHeight="1">
      <c r="A196" s="3" t="n"/>
      <c r="B196" s="4" t="n"/>
      <c r="C196" s="5" t="n"/>
      <c r="D196" s="5" t="n"/>
      <c r="E196" s="4">
        <f>IF($D196="","",IFERROR(XLOOKUP($D196,Items!$A:$A,Items!$B:$B),"ERR"))</f>
        <v/>
      </c>
      <c r="F196" s="6" t="n"/>
      <c r="G196" s="6">
        <f>IF($D196="","",IFERROR(XLOOKUP($D196,Items!$A:$A,Items!$D:$D),0))</f>
        <v/>
      </c>
      <c r="H196" s="6">
        <f>IF($C196="Issue",IFERROR($F196*$G196,0),0)</f>
        <v/>
      </c>
      <c r="I196" s="6" t="n"/>
      <c r="J196" s="5" t="n"/>
      <c r="K196" s="4" t="n"/>
    </row>
    <row r="197" ht="20" customHeight="1">
      <c r="A197" s="3" t="n"/>
      <c r="B197" s="4" t="n"/>
      <c r="C197" s="5" t="n"/>
      <c r="D197" s="5" t="n"/>
      <c r="E197" s="4">
        <f>IF($D197="","",IFERROR(XLOOKUP($D197,Items!$A:$A,Items!$B:$B),"ERR"))</f>
        <v/>
      </c>
      <c r="F197" s="6" t="n"/>
      <c r="G197" s="6">
        <f>IF($D197="","",IFERROR(XLOOKUP($D197,Items!$A:$A,Items!$D:$D),0))</f>
        <v/>
      </c>
      <c r="H197" s="6">
        <f>IF($C197="Issue",IFERROR($F197*$G197,0),0)</f>
        <v/>
      </c>
      <c r="I197" s="6" t="n"/>
      <c r="J197" s="5" t="n"/>
      <c r="K197" s="4" t="n"/>
    </row>
    <row r="198" ht="20" customHeight="1">
      <c r="A198" s="3" t="n"/>
      <c r="B198" s="4" t="n"/>
      <c r="C198" s="5" t="n"/>
      <c r="D198" s="5" t="n"/>
      <c r="E198" s="4">
        <f>IF($D198="","",IFERROR(XLOOKUP($D198,Items!$A:$A,Items!$B:$B),"ERR"))</f>
        <v/>
      </c>
      <c r="F198" s="6" t="n"/>
      <c r="G198" s="6">
        <f>IF($D198="","",IFERROR(XLOOKUP($D198,Items!$A:$A,Items!$D:$D),0))</f>
        <v/>
      </c>
      <c r="H198" s="6">
        <f>IF($C198="Issue",IFERROR($F198*$G198,0),0)</f>
        <v/>
      </c>
      <c r="I198" s="6" t="n"/>
      <c r="J198" s="5" t="n"/>
      <c r="K198" s="4" t="n"/>
    </row>
    <row r="199" ht="20" customHeight="1">
      <c r="A199" s="3" t="n"/>
      <c r="B199" s="4" t="n"/>
      <c r="C199" s="5" t="n"/>
      <c r="D199" s="5" t="n"/>
      <c r="E199" s="4">
        <f>IF($D199="","",IFERROR(XLOOKUP($D199,Items!$A:$A,Items!$B:$B),"ERR"))</f>
        <v/>
      </c>
      <c r="F199" s="6" t="n"/>
      <c r="G199" s="6">
        <f>IF($D199="","",IFERROR(XLOOKUP($D199,Items!$A:$A,Items!$D:$D),0))</f>
        <v/>
      </c>
      <c r="H199" s="6">
        <f>IF($C199="Issue",IFERROR($F199*$G199,0),0)</f>
        <v/>
      </c>
      <c r="I199" s="6" t="n"/>
      <c r="J199" s="5" t="n"/>
      <c r="K199" s="4" t="n"/>
    </row>
    <row r="200" ht="20" customHeight="1">
      <c r="A200" s="3" t="n"/>
      <c r="B200" s="4" t="n"/>
      <c r="C200" s="5" t="n"/>
      <c r="D200" s="5" t="n"/>
      <c r="E200" s="4">
        <f>IF($D200="","",IFERROR(XLOOKUP($D200,Items!$A:$A,Items!$B:$B),"ERR"))</f>
        <v/>
      </c>
      <c r="F200" s="6" t="n"/>
      <c r="G200" s="6">
        <f>IF($D200="","",IFERROR(XLOOKUP($D200,Items!$A:$A,Items!$D:$D),0))</f>
        <v/>
      </c>
      <c r="H200" s="6">
        <f>IF($C200="Issue",IFERROR($F200*$G200,0),0)</f>
        <v/>
      </c>
      <c r="I200" s="6" t="n"/>
      <c r="J200" s="5" t="n"/>
      <c r="K200" s="4" t="n"/>
    </row>
    <row r="201" ht="20" customHeight="1">
      <c r="A201" s="3" t="n"/>
      <c r="B201" s="4" t="n"/>
      <c r="C201" s="5" t="n"/>
      <c r="D201" s="5" t="n"/>
      <c r="E201" s="4">
        <f>IF($D201="","",IFERROR(XLOOKUP($D201,Items!$A:$A,Items!$B:$B),"ERR"))</f>
        <v/>
      </c>
      <c r="F201" s="6" t="n"/>
      <c r="G201" s="6">
        <f>IF($D201="","",IFERROR(XLOOKUP($D201,Items!$A:$A,Items!$D:$D),0))</f>
        <v/>
      </c>
      <c r="H201" s="6">
        <f>IF($C201="Issue",IFERROR($F201*$G201,0),0)</f>
        <v/>
      </c>
      <c r="I201" s="6" t="n"/>
      <c r="J201" s="5" t="n"/>
      <c r="K201" s="4" t="n"/>
    </row>
    <row r="202" ht="20" customHeight="1">
      <c r="A202" s="3" t="n"/>
      <c r="B202" s="4" t="n"/>
      <c r="C202" s="5" t="n"/>
      <c r="D202" s="5" t="n"/>
      <c r="E202" s="4">
        <f>IF($D202="","",IFERROR(XLOOKUP($D202,Items!$A:$A,Items!$B:$B),"ERR"))</f>
        <v/>
      </c>
      <c r="F202" s="6" t="n"/>
      <c r="G202" s="6">
        <f>IF($D202="","",IFERROR(XLOOKUP($D202,Items!$A:$A,Items!$D:$D),0))</f>
        <v/>
      </c>
      <c r="H202" s="6">
        <f>IF($C202="Issue",IFERROR($F202*$G202,0),0)</f>
        <v/>
      </c>
      <c r="I202" s="6" t="n"/>
      <c r="J202" s="5" t="n"/>
      <c r="K202" s="4" t="n"/>
    </row>
    <row r="203" ht="20" customHeight="1">
      <c r="A203" s="3" t="n"/>
      <c r="B203" s="4" t="n"/>
      <c r="C203" s="5" t="n"/>
      <c r="D203" s="5" t="n"/>
      <c r="E203" s="4">
        <f>IF($D203="","",IFERROR(XLOOKUP($D203,Items!$A:$A,Items!$B:$B),"ERR"))</f>
        <v/>
      </c>
      <c r="F203" s="6" t="n"/>
      <c r="G203" s="6">
        <f>IF($D203="","",IFERROR(XLOOKUP($D203,Items!$A:$A,Items!$D:$D),0))</f>
        <v/>
      </c>
      <c r="H203" s="6">
        <f>IF($C203="Issue",IFERROR($F203*$G203,0),0)</f>
        <v/>
      </c>
      <c r="I203" s="6" t="n"/>
      <c r="J203" s="5" t="n"/>
      <c r="K203" s="4" t="n"/>
    </row>
    <row r="204" ht="20" customHeight="1">
      <c r="A204" s="3" t="n"/>
      <c r="B204" s="4" t="n"/>
      <c r="C204" s="5" t="n"/>
      <c r="D204" s="5" t="n"/>
      <c r="E204" s="4">
        <f>IF($D204="","",IFERROR(XLOOKUP($D204,Items!$A:$A,Items!$B:$B),"ERR"))</f>
        <v/>
      </c>
      <c r="F204" s="6" t="n"/>
      <c r="G204" s="6">
        <f>IF($D204="","",IFERROR(XLOOKUP($D204,Items!$A:$A,Items!$D:$D),0))</f>
        <v/>
      </c>
      <c r="H204" s="6">
        <f>IF($C204="Issue",IFERROR($F204*$G204,0),0)</f>
        <v/>
      </c>
      <c r="I204" s="6" t="n"/>
      <c r="J204" s="5" t="n"/>
      <c r="K204" s="4" t="n"/>
    </row>
    <row r="205" ht="20" customHeight="1">
      <c r="A205" s="3" t="n"/>
      <c r="B205" s="4" t="n"/>
      <c r="C205" s="5" t="n"/>
      <c r="D205" s="5" t="n"/>
      <c r="E205" s="4">
        <f>IF($D205="","",IFERROR(XLOOKUP($D205,Items!$A:$A,Items!$B:$B),"ERR"))</f>
        <v/>
      </c>
      <c r="F205" s="6" t="n"/>
      <c r="G205" s="6">
        <f>IF($D205="","",IFERROR(XLOOKUP($D205,Items!$A:$A,Items!$D:$D),0))</f>
        <v/>
      </c>
      <c r="H205" s="6">
        <f>IF($C205="Issue",IFERROR($F205*$G205,0),0)</f>
        <v/>
      </c>
      <c r="I205" s="6" t="n"/>
      <c r="J205" s="5" t="n"/>
      <c r="K205" s="4" t="n"/>
    </row>
    <row r="206" ht="20" customHeight="1">
      <c r="A206" s="3" t="n"/>
      <c r="B206" s="4" t="n"/>
      <c r="C206" s="5" t="n"/>
      <c r="D206" s="5" t="n"/>
      <c r="E206" s="4">
        <f>IF($D206="","",IFERROR(XLOOKUP($D206,Items!$A:$A,Items!$B:$B),"ERR"))</f>
        <v/>
      </c>
      <c r="F206" s="6" t="n"/>
      <c r="G206" s="6">
        <f>IF($D206="","",IFERROR(XLOOKUP($D206,Items!$A:$A,Items!$D:$D),0))</f>
        <v/>
      </c>
      <c r="H206" s="6">
        <f>IF($C206="Issue",IFERROR($F206*$G206,0),0)</f>
        <v/>
      </c>
      <c r="I206" s="6" t="n"/>
      <c r="J206" s="5" t="n"/>
      <c r="K206" s="4" t="n"/>
    </row>
    <row r="207" ht="20" customHeight="1">
      <c r="A207" s="3" t="n"/>
      <c r="B207" s="4" t="n"/>
      <c r="C207" s="5" t="n"/>
      <c r="D207" s="5" t="n"/>
      <c r="E207" s="4">
        <f>IF($D207="","",IFERROR(XLOOKUP($D207,Items!$A:$A,Items!$B:$B),"ERR"))</f>
        <v/>
      </c>
      <c r="F207" s="6" t="n"/>
      <c r="G207" s="6">
        <f>IF($D207="","",IFERROR(XLOOKUP($D207,Items!$A:$A,Items!$D:$D),0))</f>
        <v/>
      </c>
      <c r="H207" s="6">
        <f>IF($C207="Issue",IFERROR($F207*$G207,0),0)</f>
        <v/>
      </c>
      <c r="I207" s="6" t="n"/>
      <c r="J207" s="5" t="n"/>
      <c r="K207" s="4" t="n"/>
    </row>
    <row r="208" ht="20" customHeight="1">
      <c r="A208" s="3" t="n"/>
      <c r="B208" s="4" t="n"/>
      <c r="C208" s="5" t="n"/>
      <c r="D208" s="5" t="n"/>
      <c r="E208" s="4">
        <f>IF($D208="","",IFERROR(XLOOKUP($D208,Items!$A:$A,Items!$B:$B),"ERR"))</f>
        <v/>
      </c>
      <c r="F208" s="6" t="n"/>
      <c r="G208" s="6">
        <f>IF($D208="","",IFERROR(XLOOKUP($D208,Items!$A:$A,Items!$D:$D),0))</f>
        <v/>
      </c>
      <c r="H208" s="6">
        <f>IF($C208="Issue",IFERROR($F208*$G208,0),0)</f>
        <v/>
      </c>
      <c r="I208" s="6" t="n"/>
      <c r="J208" s="5" t="n"/>
      <c r="K208" s="4" t="n"/>
    </row>
    <row r="209" ht="20" customHeight="1">
      <c r="A209" s="3" t="n"/>
      <c r="B209" s="4" t="n"/>
      <c r="C209" s="5" t="n"/>
      <c r="D209" s="5" t="n"/>
      <c r="E209" s="4">
        <f>IF($D209="","",IFERROR(XLOOKUP($D209,Items!$A:$A,Items!$B:$B),"ERR"))</f>
        <v/>
      </c>
      <c r="F209" s="6" t="n"/>
      <c r="G209" s="6">
        <f>IF($D209="","",IFERROR(XLOOKUP($D209,Items!$A:$A,Items!$D:$D),0))</f>
        <v/>
      </c>
      <c r="H209" s="6">
        <f>IF($C209="Issue",IFERROR($F209*$G209,0),0)</f>
        <v/>
      </c>
      <c r="I209" s="6" t="n"/>
      <c r="J209" s="5" t="n"/>
      <c r="K209" s="4" t="n"/>
    </row>
    <row r="210" ht="20" customHeight="1">
      <c r="A210" s="3" t="n"/>
      <c r="B210" s="4" t="n"/>
      <c r="C210" s="5" t="n"/>
      <c r="D210" s="5" t="n"/>
      <c r="E210" s="4">
        <f>IF($D210="","",IFERROR(XLOOKUP($D210,Items!$A:$A,Items!$B:$B),"ERR"))</f>
        <v/>
      </c>
      <c r="F210" s="6" t="n"/>
      <c r="G210" s="6">
        <f>IF($D210="","",IFERROR(XLOOKUP($D210,Items!$A:$A,Items!$D:$D),0))</f>
        <v/>
      </c>
      <c r="H210" s="6">
        <f>IF($C210="Issue",IFERROR($F210*$G210,0),0)</f>
        <v/>
      </c>
      <c r="I210" s="6" t="n"/>
      <c r="J210" s="5" t="n"/>
      <c r="K210" s="4" t="n"/>
    </row>
    <row r="211" ht="20" customHeight="1">
      <c r="A211" s="3" t="n"/>
      <c r="B211" s="4" t="n"/>
      <c r="C211" s="5" t="n"/>
      <c r="D211" s="5" t="n"/>
      <c r="E211" s="4">
        <f>IF($D211="","",IFERROR(XLOOKUP($D211,Items!$A:$A,Items!$B:$B),"ERR"))</f>
        <v/>
      </c>
      <c r="F211" s="6" t="n"/>
      <c r="G211" s="6">
        <f>IF($D211="","",IFERROR(XLOOKUP($D211,Items!$A:$A,Items!$D:$D),0))</f>
        <v/>
      </c>
      <c r="H211" s="6">
        <f>IF($C211="Issue",IFERROR($F211*$G211,0),0)</f>
        <v/>
      </c>
      <c r="I211" s="6" t="n"/>
      <c r="J211" s="5" t="n"/>
      <c r="K211" s="4" t="n"/>
    </row>
    <row r="212" ht="20" customHeight="1">
      <c r="A212" s="3" t="n"/>
      <c r="B212" s="4" t="n"/>
      <c r="C212" s="5" t="n"/>
      <c r="D212" s="5" t="n"/>
      <c r="E212" s="4">
        <f>IF($D212="","",IFERROR(XLOOKUP($D212,Items!$A:$A,Items!$B:$B),"ERR"))</f>
        <v/>
      </c>
      <c r="F212" s="6" t="n"/>
      <c r="G212" s="6">
        <f>IF($D212="","",IFERROR(XLOOKUP($D212,Items!$A:$A,Items!$D:$D),0))</f>
        <v/>
      </c>
      <c r="H212" s="6">
        <f>IF($C212="Issue",IFERROR($F212*$G212,0),0)</f>
        <v/>
      </c>
      <c r="I212" s="6" t="n"/>
      <c r="J212" s="5" t="n"/>
      <c r="K212" s="4" t="n"/>
    </row>
    <row r="213" ht="20" customHeight="1">
      <c r="A213" s="3" t="n"/>
      <c r="B213" s="4" t="n"/>
      <c r="C213" s="5" t="n"/>
      <c r="D213" s="5" t="n"/>
      <c r="E213" s="4">
        <f>IF($D213="","",IFERROR(XLOOKUP($D213,Items!$A:$A,Items!$B:$B),"ERR"))</f>
        <v/>
      </c>
      <c r="F213" s="6" t="n"/>
      <c r="G213" s="6">
        <f>IF($D213="","",IFERROR(XLOOKUP($D213,Items!$A:$A,Items!$D:$D),0))</f>
        <v/>
      </c>
      <c r="H213" s="6">
        <f>IF($C213="Issue",IFERROR($F213*$G213,0),0)</f>
        <v/>
      </c>
      <c r="I213" s="6" t="n"/>
      <c r="J213" s="5" t="n"/>
      <c r="K213" s="4" t="n"/>
    </row>
    <row r="214" ht="20" customHeight="1">
      <c r="A214" s="3" t="n"/>
      <c r="B214" s="4" t="n"/>
      <c r="C214" s="5" t="n"/>
      <c r="D214" s="5" t="n"/>
      <c r="E214" s="4">
        <f>IF($D214="","",IFERROR(XLOOKUP($D214,Items!$A:$A,Items!$B:$B),"ERR"))</f>
        <v/>
      </c>
      <c r="F214" s="6" t="n"/>
      <c r="G214" s="6">
        <f>IF($D214="","",IFERROR(XLOOKUP($D214,Items!$A:$A,Items!$D:$D),0))</f>
        <v/>
      </c>
      <c r="H214" s="6">
        <f>IF($C214="Issue",IFERROR($F214*$G214,0),0)</f>
        <v/>
      </c>
      <c r="I214" s="6" t="n"/>
      <c r="J214" s="5" t="n"/>
      <c r="K214" s="4" t="n"/>
    </row>
    <row r="215" ht="20" customHeight="1">
      <c r="A215" s="3" t="n"/>
      <c r="B215" s="4" t="n"/>
      <c r="C215" s="5" t="n"/>
      <c r="D215" s="5" t="n"/>
      <c r="E215" s="4">
        <f>IF($D215="","",IFERROR(XLOOKUP($D215,Items!$A:$A,Items!$B:$B),"ERR"))</f>
        <v/>
      </c>
      <c r="F215" s="6" t="n"/>
      <c r="G215" s="6">
        <f>IF($D215="","",IFERROR(XLOOKUP($D215,Items!$A:$A,Items!$D:$D),0))</f>
        <v/>
      </c>
      <c r="H215" s="6">
        <f>IF($C215="Issue",IFERROR($F215*$G215,0),0)</f>
        <v/>
      </c>
      <c r="I215" s="6" t="n"/>
      <c r="J215" s="5" t="n"/>
      <c r="K215" s="4" t="n"/>
    </row>
    <row r="216" ht="20" customHeight="1">
      <c r="A216" s="3" t="n"/>
      <c r="B216" s="4" t="n"/>
      <c r="C216" s="5" t="n"/>
      <c r="D216" s="5" t="n"/>
      <c r="E216" s="4">
        <f>IF($D216="","",IFERROR(XLOOKUP($D216,Items!$A:$A,Items!$B:$B),"ERR"))</f>
        <v/>
      </c>
      <c r="F216" s="6" t="n"/>
      <c r="G216" s="6">
        <f>IF($D216="","",IFERROR(XLOOKUP($D216,Items!$A:$A,Items!$D:$D),0))</f>
        <v/>
      </c>
      <c r="H216" s="6">
        <f>IF($C216="Issue",IFERROR($F216*$G216,0),0)</f>
        <v/>
      </c>
      <c r="I216" s="6" t="n"/>
      <c r="J216" s="5" t="n"/>
      <c r="K216" s="4" t="n"/>
    </row>
    <row r="217" ht="20" customHeight="1">
      <c r="A217" s="3" t="n"/>
      <c r="B217" s="4" t="n"/>
      <c r="C217" s="5" t="n"/>
      <c r="D217" s="5" t="n"/>
      <c r="E217" s="4">
        <f>IF($D217="","",IFERROR(XLOOKUP($D217,Items!$A:$A,Items!$B:$B),"ERR"))</f>
        <v/>
      </c>
      <c r="F217" s="6" t="n"/>
      <c r="G217" s="6">
        <f>IF($D217="","",IFERROR(XLOOKUP($D217,Items!$A:$A,Items!$D:$D),0))</f>
        <v/>
      </c>
      <c r="H217" s="6">
        <f>IF($C217="Issue",IFERROR($F217*$G217,0),0)</f>
        <v/>
      </c>
      <c r="I217" s="6" t="n"/>
      <c r="J217" s="5" t="n"/>
      <c r="K217" s="4" t="n"/>
    </row>
    <row r="218" ht="20" customHeight="1">
      <c r="A218" s="3" t="n"/>
      <c r="B218" s="4" t="n"/>
      <c r="C218" s="5" t="n"/>
      <c r="D218" s="5" t="n"/>
      <c r="E218" s="4">
        <f>IF($D218="","",IFERROR(XLOOKUP($D218,Items!$A:$A,Items!$B:$B),"ERR"))</f>
        <v/>
      </c>
      <c r="F218" s="6" t="n"/>
      <c r="G218" s="6">
        <f>IF($D218="","",IFERROR(XLOOKUP($D218,Items!$A:$A,Items!$D:$D),0))</f>
        <v/>
      </c>
      <c r="H218" s="6">
        <f>IF($C218="Issue",IFERROR($F218*$G218,0),0)</f>
        <v/>
      </c>
      <c r="I218" s="6" t="n"/>
      <c r="J218" s="5" t="n"/>
      <c r="K218" s="4" t="n"/>
    </row>
    <row r="219" ht="20" customHeight="1">
      <c r="A219" s="3" t="n"/>
      <c r="B219" s="4" t="n"/>
      <c r="C219" s="5" t="n"/>
      <c r="D219" s="5" t="n"/>
      <c r="E219" s="4">
        <f>IF($D219="","",IFERROR(XLOOKUP($D219,Items!$A:$A,Items!$B:$B),"ERR"))</f>
        <v/>
      </c>
      <c r="F219" s="6" t="n"/>
      <c r="G219" s="6">
        <f>IF($D219="","",IFERROR(XLOOKUP($D219,Items!$A:$A,Items!$D:$D),0))</f>
        <v/>
      </c>
      <c r="H219" s="6">
        <f>IF($C219="Issue",IFERROR($F219*$G219,0),0)</f>
        <v/>
      </c>
      <c r="I219" s="6" t="n"/>
      <c r="J219" s="5" t="n"/>
      <c r="K219" s="4" t="n"/>
    </row>
    <row r="220" ht="20" customHeight="1">
      <c r="A220" s="3" t="n"/>
      <c r="B220" s="4" t="n"/>
      <c r="C220" s="5" t="n"/>
      <c r="D220" s="5" t="n"/>
      <c r="E220" s="4">
        <f>IF($D220="","",IFERROR(XLOOKUP($D220,Items!$A:$A,Items!$B:$B),"ERR"))</f>
        <v/>
      </c>
      <c r="F220" s="6" t="n"/>
      <c r="G220" s="6">
        <f>IF($D220="","",IFERROR(XLOOKUP($D220,Items!$A:$A,Items!$D:$D),0))</f>
        <v/>
      </c>
      <c r="H220" s="6">
        <f>IF($C220="Issue",IFERROR($F220*$G220,0),0)</f>
        <v/>
      </c>
      <c r="I220" s="6" t="n"/>
      <c r="J220" s="5" t="n"/>
      <c r="K220" s="4" t="n"/>
    </row>
    <row r="221" ht="20" customHeight="1">
      <c r="A221" s="3" t="n"/>
      <c r="B221" s="4" t="n"/>
      <c r="C221" s="5" t="n"/>
      <c r="D221" s="5" t="n"/>
      <c r="E221" s="4">
        <f>IF($D221="","",IFERROR(XLOOKUP($D221,Items!$A:$A,Items!$B:$B),"ERR"))</f>
        <v/>
      </c>
      <c r="F221" s="6" t="n"/>
      <c r="G221" s="6">
        <f>IF($D221="","",IFERROR(XLOOKUP($D221,Items!$A:$A,Items!$D:$D),0))</f>
        <v/>
      </c>
      <c r="H221" s="6">
        <f>IF($C221="Issue",IFERROR($F221*$G221,0),0)</f>
        <v/>
      </c>
      <c r="I221" s="6" t="n"/>
      <c r="J221" s="5" t="n"/>
      <c r="K221" s="4" t="n"/>
    </row>
    <row r="222" ht="20" customHeight="1">
      <c r="A222" s="3" t="n"/>
      <c r="B222" s="4" t="n"/>
      <c r="C222" s="5" t="n"/>
      <c r="D222" s="5" t="n"/>
      <c r="E222" s="4">
        <f>IF($D222="","",IFERROR(XLOOKUP($D222,Items!$A:$A,Items!$B:$B),"ERR"))</f>
        <v/>
      </c>
      <c r="F222" s="6" t="n"/>
      <c r="G222" s="6">
        <f>IF($D222="","",IFERROR(XLOOKUP($D222,Items!$A:$A,Items!$D:$D),0))</f>
        <v/>
      </c>
      <c r="H222" s="6">
        <f>IF($C222="Issue",IFERROR($F222*$G222,0),0)</f>
        <v/>
      </c>
      <c r="I222" s="6" t="n"/>
      <c r="J222" s="5" t="n"/>
      <c r="K222" s="4" t="n"/>
    </row>
    <row r="223" ht="20" customHeight="1">
      <c r="A223" s="3" t="n"/>
      <c r="B223" s="4" t="n"/>
      <c r="C223" s="5" t="n"/>
      <c r="D223" s="5" t="n"/>
      <c r="E223" s="4">
        <f>IF($D223="","",IFERROR(XLOOKUP($D223,Items!$A:$A,Items!$B:$B),"ERR"))</f>
        <v/>
      </c>
      <c r="F223" s="6" t="n"/>
      <c r="G223" s="6">
        <f>IF($D223="","",IFERROR(XLOOKUP($D223,Items!$A:$A,Items!$D:$D),0))</f>
        <v/>
      </c>
      <c r="H223" s="6">
        <f>IF($C223="Issue",IFERROR($F223*$G223,0),0)</f>
        <v/>
      </c>
      <c r="I223" s="6" t="n"/>
      <c r="J223" s="5" t="n"/>
      <c r="K223" s="4" t="n"/>
    </row>
    <row r="224" ht="20" customHeight="1">
      <c r="A224" s="3" t="n"/>
      <c r="B224" s="4" t="n"/>
      <c r="C224" s="5" t="n"/>
      <c r="D224" s="5" t="n"/>
      <c r="E224" s="4">
        <f>IF($D224="","",IFERROR(XLOOKUP($D224,Items!$A:$A,Items!$B:$B),"ERR"))</f>
        <v/>
      </c>
      <c r="F224" s="6" t="n"/>
      <c r="G224" s="6">
        <f>IF($D224="","",IFERROR(XLOOKUP($D224,Items!$A:$A,Items!$D:$D),0))</f>
        <v/>
      </c>
      <c r="H224" s="6">
        <f>IF($C224="Issue",IFERROR($F224*$G224,0),0)</f>
        <v/>
      </c>
      <c r="I224" s="6" t="n"/>
      <c r="J224" s="5" t="n"/>
      <c r="K224" s="4" t="n"/>
    </row>
    <row r="225" ht="20" customHeight="1">
      <c r="A225" s="3" t="n"/>
      <c r="B225" s="4" t="n"/>
      <c r="C225" s="5" t="n"/>
      <c r="D225" s="5" t="n"/>
      <c r="E225" s="4">
        <f>IF($D225="","",IFERROR(XLOOKUP($D225,Items!$A:$A,Items!$B:$B),"ERR"))</f>
        <v/>
      </c>
      <c r="F225" s="6" t="n"/>
      <c r="G225" s="6">
        <f>IF($D225="","",IFERROR(XLOOKUP($D225,Items!$A:$A,Items!$D:$D),0))</f>
        <v/>
      </c>
      <c r="H225" s="6">
        <f>IF($C225="Issue",IFERROR($F225*$G225,0),0)</f>
        <v/>
      </c>
      <c r="I225" s="6" t="n"/>
      <c r="J225" s="5" t="n"/>
      <c r="K225" s="4" t="n"/>
    </row>
    <row r="226" ht="20" customHeight="1">
      <c r="A226" s="3" t="n"/>
      <c r="B226" s="4" t="n"/>
      <c r="C226" s="5" t="n"/>
      <c r="D226" s="5" t="n"/>
      <c r="E226" s="4">
        <f>IF($D226="","",IFERROR(XLOOKUP($D226,Items!$A:$A,Items!$B:$B),"ERR"))</f>
        <v/>
      </c>
      <c r="F226" s="6" t="n"/>
      <c r="G226" s="6">
        <f>IF($D226="","",IFERROR(XLOOKUP($D226,Items!$A:$A,Items!$D:$D),0))</f>
        <v/>
      </c>
      <c r="H226" s="6">
        <f>IF($C226="Issue",IFERROR($F226*$G226,0),0)</f>
        <v/>
      </c>
      <c r="I226" s="6" t="n"/>
      <c r="J226" s="5" t="n"/>
      <c r="K226" s="4" t="n"/>
    </row>
    <row r="227" ht="20" customHeight="1">
      <c r="A227" s="3" t="n"/>
      <c r="B227" s="4" t="n"/>
      <c r="C227" s="5" t="n"/>
      <c r="D227" s="5" t="n"/>
      <c r="E227" s="4">
        <f>IF($D227="","",IFERROR(XLOOKUP($D227,Items!$A:$A,Items!$B:$B),"ERR"))</f>
        <v/>
      </c>
      <c r="F227" s="6" t="n"/>
      <c r="G227" s="6">
        <f>IF($D227="","",IFERROR(XLOOKUP($D227,Items!$A:$A,Items!$D:$D),0))</f>
        <v/>
      </c>
      <c r="H227" s="6">
        <f>IF($C227="Issue",IFERROR($F227*$G227,0),0)</f>
        <v/>
      </c>
      <c r="I227" s="6" t="n"/>
      <c r="J227" s="5" t="n"/>
      <c r="K227" s="4" t="n"/>
    </row>
    <row r="228" ht="20" customHeight="1">
      <c r="A228" s="3" t="n"/>
      <c r="B228" s="4" t="n"/>
      <c r="C228" s="5" t="n"/>
      <c r="D228" s="5" t="n"/>
      <c r="E228" s="4">
        <f>IF($D228="","",IFERROR(XLOOKUP($D228,Items!$A:$A,Items!$B:$B),"ERR"))</f>
        <v/>
      </c>
      <c r="F228" s="6" t="n"/>
      <c r="G228" s="6">
        <f>IF($D228="","",IFERROR(XLOOKUP($D228,Items!$A:$A,Items!$D:$D),0))</f>
        <v/>
      </c>
      <c r="H228" s="6">
        <f>IF($C228="Issue",IFERROR($F228*$G228,0),0)</f>
        <v/>
      </c>
      <c r="I228" s="6" t="n"/>
      <c r="J228" s="5" t="n"/>
      <c r="K228" s="4" t="n"/>
    </row>
    <row r="229" ht="20" customHeight="1">
      <c r="A229" s="3" t="n"/>
      <c r="B229" s="4" t="n"/>
      <c r="C229" s="5" t="n"/>
      <c r="D229" s="5" t="n"/>
      <c r="E229" s="4">
        <f>IF($D229="","",IFERROR(XLOOKUP($D229,Items!$A:$A,Items!$B:$B),"ERR"))</f>
        <v/>
      </c>
      <c r="F229" s="6" t="n"/>
      <c r="G229" s="6">
        <f>IF($D229="","",IFERROR(XLOOKUP($D229,Items!$A:$A,Items!$D:$D),0))</f>
        <v/>
      </c>
      <c r="H229" s="6">
        <f>IF($C229="Issue",IFERROR($F229*$G229,0),0)</f>
        <v/>
      </c>
      <c r="I229" s="6" t="n"/>
      <c r="J229" s="5" t="n"/>
      <c r="K229" s="4" t="n"/>
    </row>
    <row r="230" ht="20" customHeight="1">
      <c r="A230" s="3" t="n"/>
      <c r="B230" s="4" t="n"/>
      <c r="C230" s="5" t="n"/>
      <c r="D230" s="5" t="n"/>
      <c r="E230" s="4">
        <f>IF($D230="","",IFERROR(XLOOKUP($D230,Items!$A:$A,Items!$B:$B),"ERR"))</f>
        <v/>
      </c>
      <c r="F230" s="6" t="n"/>
      <c r="G230" s="6">
        <f>IF($D230="","",IFERROR(XLOOKUP($D230,Items!$A:$A,Items!$D:$D),0))</f>
        <v/>
      </c>
      <c r="H230" s="6">
        <f>IF($C230="Issue",IFERROR($F230*$G230,0),0)</f>
        <v/>
      </c>
      <c r="I230" s="6" t="n"/>
      <c r="J230" s="5" t="n"/>
      <c r="K230" s="4" t="n"/>
    </row>
    <row r="231" ht="20" customHeight="1">
      <c r="A231" s="3" t="n"/>
      <c r="B231" s="4" t="n"/>
      <c r="C231" s="5" t="n"/>
      <c r="D231" s="5" t="n"/>
      <c r="E231" s="4">
        <f>IF($D231="","",IFERROR(XLOOKUP($D231,Items!$A:$A,Items!$B:$B),"ERR"))</f>
        <v/>
      </c>
      <c r="F231" s="6" t="n"/>
      <c r="G231" s="6">
        <f>IF($D231="","",IFERROR(XLOOKUP($D231,Items!$A:$A,Items!$D:$D),0))</f>
        <v/>
      </c>
      <c r="H231" s="6">
        <f>IF($C231="Issue",IFERROR($F231*$G231,0),0)</f>
        <v/>
      </c>
      <c r="I231" s="6" t="n"/>
      <c r="J231" s="5" t="n"/>
      <c r="K231" s="4" t="n"/>
    </row>
    <row r="232" ht="20" customHeight="1">
      <c r="A232" s="3" t="n"/>
      <c r="B232" s="4" t="n"/>
      <c r="C232" s="5" t="n"/>
      <c r="D232" s="5" t="n"/>
      <c r="E232" s="4">
        <f>IF($D232="","",IFERROR(XLOOKUP($D232,Items!$A:$A,Items!$B:$B),"ERR"))</f>
        <v/>
      </c>
      <c r="F232" s="6" t="n"/>
      <c r="G232" s="6">
        <f>IF($D232="","",IFERROR(XLOOKUP($D232,Items!$A:$A,Items!$D:$D),0))</f>
        <v/>
      </c>
      <c r="H232" s="6">
        <f>IF($C232="Issue",IFERROR($F232*$G232,0),0)</f>
        <v/>
      </c>
      <c r="I232" s="6" t="n"/>
      <c r="J232" s="5" t="n"/>
      <c r="K232" s="4" t="n"/>
    </row>
    <row r="233" ht="20" customHeight="1">
      <c r="A233" s="3" t="n"/>
      <c r="B233" s="4" t="n"/>
      <c r="C233" s="5" t="n"/>
      <c r="D233" s="5" t="n"/>
      <c r="E233" s="4">
        <f>IF($D233="","",IFERROR(XLOOKUP($D233,Items!$A:$A,Items!$B:$B),"ERR"))</f>
        <v/>
      </c>
      <c r="F233" s="6" t="n"/>
      <c r="G233" s="6">
        <f>IF($D233="","",IFERROR(XLOOKUP($D233,Items!$A:$A,Items!$D:$D),0))</f>
        <v/>
      </c>
      <c r="H233" s="6">
        <f>IF($C233="Issue",IFERROR($F233*$G233,0),0)</f>
        <v/>
      </c>
      <c r="I233" s="6" t="n"/>
      <c r="J233" s="5" t="n"/>
      <c r="K233" s="4" t="n"/>
    </row>
    <row r="234" ht="20" customHeight="1">
      <c r="A234" s="3" t="n"/>
      <c r="B234" s="4" t="n"/>
      <c r="C234" s="5" t="n"/>
      <c r="D234" s="5" t="n"/>
      <c r="E234" s="4">
        <f>IF($D234="","",IFERROR(XLOOKUP($D234,Items!$A:$A,Items!$B:$B),"ERR"))</f>
        <v/>
      </c>
      <c r="F234" s="6" t="n"/>
      <c r="G234" s="6">
        <f>IF($D234="","",IFERROR(XLOOKUP($D234,Items!$A:$A,Items!$D:$D),0))</f>
        <v/>
      </c>
      <c r="H234" s="6">
        <f>IF($C234="Issue",IFERROR($F234*$G234,0),0)</f>
        <v/>
      </c>
      <c r="I234" s="6" t="n"/>
      <c r="J234" s="5" t="n"/>
      <c r="K234" s="4" t="n"/>
    </row>
    <row r="235" ht="20" customHeight="1">
      <c r="A235" s="3" t="n"/>
      <c r="B235" s="4" t="n"/>
      <c r="C235" s="5" t="n"/>
      <c r="D235" s="5" t="n"/>
      <c r="E235" s="4">
        <f>IF($D235="","",IFERROR(XLOOKUP($D235,Items!$A:$A,Items!$B:$B),"ERR"))</f>
        <v/>
      </c>
      <c r="F235" s="6" t="n"/>
      <c r="G235" s="6">
        <f>IF($D235="","",IFERROR(XLOOKUP($D235,Items!$A:$A,Items!$D:$D),0))</f>
        <v/>
      </c>
      <c r="H235" s="6">
        <f>IF($C235="Issue",IFERROR($F235*$G235,0),0)</f>
        <v/>
      </c>
      <c r="I235" s="6" t="n"/>
      <c r="J235" s="5" t="n"/>
      <c r="K235" s="4" t="n"/>
    </row>
    <row r="236" ht="20" customHeight="1">
      <c r="A236" s="3" t="n"/>
      <c r="B236" s="4" t="n"/>
      <c r="C236" s="5" t="n"/>
      <c r="D236" s="5" t="n"/>
      <c r="E236" s="4">
        <f>IF($D236="","",IFERROR(XLOOKUP($D236,Items!$A:$A,Items!$B:$B),"ERR"))</f>
        <v/>
      </c>
      <c r="F236" s="6" t="n"/>
      <c r="G236" s="6">
        <f>IF($D236="","",IFERROR(XLOOKUP($D236,Items!$A:$A,Items!$D:$D),0))</f>
        <v/>
      </c>
      <c r="H236" s="6">
        <f>IF($C236="Issue",IFERROR($F236*$G236,0),0)</f>
        <v/>
      </c>
      <c r="I236" s="6" t="n"/>
      <c r="J236" s="5" t="n"/>
      <c r="K236" s="4" t="n"/>
    </row>
    <row r="237" ht="20" customHeight="1">
      <c r="A237" s="3" t="n"/>
      <c r="B237" s="4" t="n"/>
      <c r="C237" s="5" t="n"/>
      <c r="D237" s="5" t="n"/>
      <c r="E237" s="4">
        <f>IF($D237="","",IFERROR(XLOOKUP($D237,Items!$A:$A,Items!$B:$B),"ERR"))</f>
        <v/>
      </c>
      <c r="F237" s="6" t="n"/>
      <c r="G237" s="6">
        <f>IF($D237="","",IFERROR(XLOOKUP($D237,Items!$A:$A,Items!$D:$D),0))</f>
        <v/>
      </c>
      <c r="H237" s="6">
        <f>IF($C237="Issue",IFERROR($F237*$G237,0),0)</f>
        <v/>
      </c>
      <c r="I237" s="6" t="n"/>
      <c r="J237" s="5" t="n"/>
      <c r="K237" s="4" t="n"/>
    </row>
    <row r="238" ht="20" customHeight="1">
      <c r="A238" s="3" t="n"/>
      <c r="B238" s="4" t="n"/>
      <c r="C238" s="5" t="n"/>
      <c r="D238" s="5" t="n"/>
      <c r="E238" s="4">
        <f>IF($D238="","",IFERROR(XLOOKUP($D238,Items!$A:$A,Items!$B:$B),"ERR"))</f>
        <v/>
      </c>
      <c r="F238" s="6" t="n"/>
      <c r="G238" s="6">
        <f>IF($D238="","",IFERROR(XLOOKUP($D238,Items!$A:$A,Items!$D:$D),0))</f>
        <v/>
      </c>
      <c r="H238" s="6">
        <f>IF($C238="Issue",IFERROR($F238*$G238,0),0)</f>
        <v/>
      </c>
      <c r="I238" s="6" t="n"/>
      <c r="J238" s="5" t="n"/>
      <c r="K238" s="4" t="n"/>
    </row>
    <row r="239" ht="20" customHeight="1">
      <c r="A239" s="3" t="n"/>
      <c r="B239" s="4" t="n"/>
      <c r="C239" s="5" t="n"/>
      <c r="D239" s="5" t="n"/>
      <c r="E239" s="4">
        <f>IF($D239="","",IFERROR(XLOOKUP($D239,Items!$A:$A,Items!$B:$B),"ERR"))</f>
        <v/>
      </c>
      <c r="F239" s="6" t="n"/>
      <c r="G239" s="6">
        <f>IF($D239="","",IFERROR(XLOOKUP($D239,Items!$A:$A,Items!$D:$D),0))</f>
        <v/>
      </c>
      <c r="H239" s="6">
        <f>IF($C239="Issue",IFERROR($F239*$G239,0),0)</f>
        <v/>
      </c>
      <c r="I239" s="6" t="n"/>
      <c r="J239" s="5" t="n"/>
      <c r="K239" s="4" t="n"/>
    </row>
    <row r="240" ht="20" customHeight="1">
      <c r="A240" s="3" t="n"/>
      <c r="B240" s="4" t="n"/>
      <c r="C240" s="5" t="n"/>
      <c r="D240" s="5" t="n"/>
      <c r="E240" s="4">
        <f>IF($D240="","",IFERROR(XLOOKUP($D240,Items!$A:$A,Items!$B:$B),"ERR"))</f>
        <v/>
      </c>
      <c r="F240" s="6" t="n"/>
      <c r="G240" s="6">
        <f>IF($D240="","",IFERROR(XLOOKUP($D240,Items!$A:$A,Items!$D:$D),0))</f>
        <v/>
      </c>
      <c r="H240" s="6">
        <f>IF($C240="Issue",IFERROR($F240*$G240,0),0)</f>
        <v/>
      </c>
      <c r="I240" s="6" t="n"/>
      <c r="J240" s="5" t="n"/>
      <c r="K240" s="4" t="n"/>
    </row>
    <row r="241" ht="20" customHeight="1">
      <c r="A241" s="3" t="n"/>
      <c r="B241" s="4" t="n"/>
      <c r="C241" s="5" t="n"/>
      <c r="D241" s="5" t="n"/>
      <c r="E241" s="4">
        <f>IF($D241="","",IFERROR(XLOOKUP($D241,Items!$A:$A,Items!$B:$B),"ERR"))</f>
        <v/>
      </c>
      <c r="F241" s="6" t="n"/>
      <c r="G241" s="6">
        <f>IF($D241="","",IFERROR(XLOOKUP($D241,Items!$A:$A,Items!$D:$D),0))</f>
        <v/>
      </c>
      <c r="H241" s="6">
        <f>IF($C241="Issue",IFERROR($F241*$G241,0),0)</f>
        <v/>
      </c>
      <c r="I241" s="6" t="n"/>
      <c r="J241" s="5" t="n"/>
      <c r="K241" s="4" t="n"/>
    </row>
    <row r="242" ht="20" customHeight="1">
      <c r="A242" s="3" t="n"/>
      <c r="B242" s="4" t="n"/>
      <c r="C242" s="5" t="n"/>
      <c r="D242" s="5" t="n"/>
      <c r="E242" s="4">
        <f>IF($D242="","",IFERROR(XLOOKUP($D242,Items!$A:$A,Items!$B:$B),"ERR"))</f>
        <v/>
      </c>
      <c r="F242" s="6" t="n"/>
      <c r="G242" s="6">
        <f>IF($D242="","",IFERROR(XLOOKUP($D242,Items!$A:$A,Items!$D:$D),0))</f>
        <v/>
      </c>
      <c r="H242" s="6">
        <f>IF($C242="Issue",IFERROR($F242*$G242,0),0)</f>
        <v/>
      </c>
      <c r="I242" s="6" t="n"/>
      <c r="J242" s="5" t="n"/>
      <c r="K242" s="4" t="n"/>
    </row>
    <row r="243" ht="20" customHeight="1">
      <c r="A243" s="3" t="n"/>
      <c r="B243" s="4" t="n"/>
      <c r="C243" s="5" t="n"/>
      <c r="D243" s="5" t="n"/>
      <c r="E243" s="4">
        <f>IF($D243="","",IFERROR(XLOOKUP($D243,Items!$A:$A,Items!$B:$B),"ERR"))</f>
        <v/>
      </c>
      <c r="F243" s="6" t="n"/>
      <c r="G243" s="6">
        <f>IF($D243="","",IFERROR(XLOOKUP($D243,Items!$A:$A,Items!$D:$D),0))</f>
        <v/>
      </c>
      <c r="H243" s="6">
        <f>IF($C243="Issue",IFERROR($F243*$G243,0),0)</f>
        <v/>
      </c>
      <c r="I243" s="6" t="n"/>
      <c r="J243" s="5" t="n"/>
      <c r="K243" s="4" t="n"/>
    </row>
    <row r="244" ht="20" customHeight="1">
      <c r="A244" s="3" t="n"/>
      <c r="B244" s="4" t="n"/>
      <c r="C244" s="5" t="n"/>
      <c r="D244" s="5" t="n"/>
      <c r="E244" s="4">
        <f>IF($D244="","",IFERROR(XLOOKUP($D244,Items!$A:$A,Items!$B:$B),"ERR"))</f>
        <v/>
      </c>
      <c r="F244" s="6" t="n"/>
      <c r="G244" s="6">
        <f>IF($D244="","",IFERROR(XLOOKUP($D244,Items!$A:$A,Items!$D:$D),0))</f>
        <v/>
      </c>
      <c r="H244" s="6">
        <f>IF($C244="Issue",IFERROR($F244*$G244,0),0)</f>
        <v/>
      </c>
      <c r="I244" s="6" t="n"/>
      <c r="J244" s="5" t="n"/>
      <c r="K244" s="4" t="n"/>
    </row>
    <row r="245" ht="20" customHeight="1">
      <c r="A245" s="3" t="n"/>
      <c r="B245" s="4" t="n"/>
      <c r="C245" s="5" t="n"/>
      <c r="D245" s="5" t="n"/>
      <c r="E245" s="4">
        <f>IF($D245="","",IFERROR(XLOOKUP($D245,Items!$A:$A,Items!$B:$B),"ERR"))</f>
        <v/>
      </c>
      <c r="F245" s="6" t="n"/>
      <c r="G245" s="6">
        <f>IF($D245="","",IFERROR(XLOOKUP($D245,Items!$A:$A,Items!$D:$D),0))</f>
        <v/>
      </c>
      <c r="H245" s="6">
        <f>IF($C245="Issue",IFERROR($F245*$G245,0),0)</f>
        <v/>
      </c>
      <c r="I245" s="6" t="n"/>
      <c r="J245" s="5" t="n"/>
      <c r="K245" s="4" t="n"/>
    </row>
    <row r="246" ht="20" customHeight="1">
      <c r="A246" s="3" t="n"/>
      <c r="B246" s="4" t="n"/>
      <c r="C246" s="5" t="n"/>
      <c r="D246" s="5" t="n"/>
      <c r="E246" s="4">
        <f>IF($D246="","",IFERROR(XLOOKUP($D246,Items!$A:$A,Items!$B:$B),"ERR"))</f>
        <v/>
      </c>
      <c r="F246" s="6" t="n"/>
      <c r="G246" s="6">
        <f>IF($D246="","",IFERROR(XLOOKUP($D246,Items!$A:$A,Items!$D:$D),0))</f>
        <v/>
      </c>
      <c r="H246" s="6">
        <f>IF($C246="Issue",IFERROR($F246*$G246,0),0)</f>
        <v/>
      </c>
      <c r="I246" s="6" t="n"/>
      <c r="J246" s="5" t="n"/>
      <c r="K246" s="4" t="n"/>
    </row>
    <row r="247" ht="20" customHeight="1">
      <c r="A247" s="3" t="n"/>
      <c r="B247" s="4" t="n"/>
      <c r="C247" s="5" t="n"/>
      <c r="D247" s="5" t="n"/>
      <c r="E247" s="4">
        <f>IF($D247="","",IFERROR(XLOOKUP($D247,Items!$A:$A,Items!$B:$B),"ERR"))</f>
        <v/>
      </c>
      <c r="F247" s="6" t="n"/>
      <c r="G247" s="6">
        <f>IF($D247="","",IFERROR(XLOOKUP($D247,Items!$A:$A,Items!$D:$D),0))</f>
        <v/>
      </c>
      <c r="H247" s="6">
        <f>IF($C247="Issue",IFERROR($F247*$G247,0),0)</f>
        <v/>
      </c>
      <c r="I247" s="6" t="n"/>
      <c r="J247" s="5" t="n"/>
      <c r="K247" s="4" t="n"/>
    </row>
    <row r="248" ht="20" customHeight="1">
      <c r="A248" s="3" t="n"/>
      <c r="B248" s="4" t="n"/>
      <c r="C248" s="5" t="n"/>
      <c r="D248" s="5" t="n"/>
      <c r="E248" s="4">
        <f>IF($D248="","",IFERROR(XLOOKUP($D248,Items!$A:$A,Items!$B:$B),"ERR"))</f>
        <v/>
      </c>
      <c r="F248" s="6" t="n"/>
      <c r="G248" s="6">
        <f>IF($D248="","",IFERROR(XLOOKUP($D248,Items!$A:$A,Items!$D:$D),0))</f>
        <v/>
      </c>
      <c r="H248" s="6">
        <f>IF($C248="Issue",IFERROR($F248*$G248,0),0)</f>
        <v/>
      </c>
      <c r="I248" s="6" t="n"/>
      <c r="J248" s="5" t="n"/>
      <c r="K248" s="4" t="n"/>
    </row>
    <row r="249" ht="20" customHeight="1">
      <c r="A249" s="3" t="n"/>
      <c r="B249" s="4" t="n"/>
      <c r="C249" s="5" t="n"/>
      <c r="D249" s="5" t="n"/>
      <c r="E249" s="4">
        <f>IF($D249="","",IFERROR(XLOOKUP($D249,Items!$A:$A,Items!$B:$B),"ERR"))</f>
        <v/>
      </c>
      <c r="F249" s="6" t="n"/>
      <c r="G249" s="6">
        <f>IF($D249="","",IFERROR(XLOOKUP($D249,Items!$A:$A,Items!$D:$D),0))</f>
        <v/>
      </c>
      <c r="H249" s="6">
        <f>IF($C249="Issue",IFERROR($F249*$G249,0),0)</f>
        <v/>
      </c>
      <c r="I249" s="6" t="n"/>
      <c r="J249" s="5" t="n"/>
      <c r="K249" s="4" t="n"/>
    </row>
    <row r="250" ht="20" customHeight="1">
      <c r="A250" s="3" t="n"/>
      <c r="B250" s="4" t="n"/>
      <c r="C250" s="5" t="n"/>
      <c r="D250" s="5" t="n"/>
      <c r="E250" s="4">
        <f>IF($D250="","",IFERROR(XLOOKUP($D250,Items!$A:$A,Items!$B:$B),"ERR"))</f>
        <v/>
      </c>
      <c r="F250" s="6" t="n"/>
      <c r="G250" s="6">
        <f>IF($D250="","",IFERROR(XLOOKUP($D250,Items!$A:$A,Items!$D:$D),0))</f>
        <v/>
      </c>
      <c r="H250" s="6">
        <f>IF($C250="Issue",IFERROR($F250*$G250,0),0)</f>
        <v/>
      </c>
      <c r="I250" s="6" t="n"/>
      <c r="J250" s="5" t="n"/>
      <c r="K250" s="4" t="n"/>
    </row>
    <row r="251" ht="20" customHeight="1">
      <c r="A251" s="3" t="n"/>
      <c r="B251" s="4" t="n"/>
      <c r="C251" s="5" t="n"/>
      <c r="D251" s="5" t="n"/>
      <c r="E251" s="4">
        <f>IF($D251="","",IFERROR(XLOOKUP($D251,Items!$A:$A,Items!$B:$B),"ERR"))</f>
        <v/>
      </c>
      <c r="F251" s="6" t="n"/>
      <c r="G251" s="6">
        <f>IF($D251="","",IFERROR(XLOOKUP($D251,Items!$A:$A,Items!$D:$D),0))</f>
        <v/>
      </c>
      <c r="H251" s="6">
        <f>IF($C251="Issue",IFERROR($F251*$G251,0),0)</f>
        <v/>
      </c>
      <c r="I251" s="6" t="n"/>
      <c r="J251" s="5" t="n"/>
      <c r="K251" s="4" t="n"/>
    </row>
    <row r="252" ht="20" customHeight="1">
      <c r="A252" s="3" t="n"/>
      <c r="B252" s="4" t="n"/>
      <c r="C252" s="5" t="n"/>
      <c r="D252" s="5" t="n"/>
      <c r="E252" s="4">
        <f>IF($D252="","",IFERROR(XLOOKUP($D252,Items!$A:$A,Items!$B:$B),"ERR"))</f>
        <v/>
      </c>
      <c r="F252" s="6" t="n"/>
      <c r="G252" s="6">
        <f>IF($D252="","",IFERROR(XLOOKUP($D252,Items!$A:$A,Items!$D:$D),0))</f>
        <v/>
      </c>
      <c r="H252" s="6">
        <f>IF($C252="Issue",IFERROR($F252*$G252,0),0)</f>
        <v/>
      </c>
      <c r="I252" s="6" t="n"/>
      <c r="J252" s="5" t="n"/>
      <c r="K252" s="4" t="n"/>
    </row>
    <row r="253" ht="20" customHeight="1">
      <c r="A253" s="3" t="n"/>
      <c r="B253" s="4" t="n"/>
      <c r="C253" s="5" t="n"/>
      <c r="D253" s="5" t="n"/>
      <c r="E253" s="4">
        <f>IF($D253="","",IFERROR(XLOOKUP($D253,Items!$A:$A,Items!$B:$B),"ERR"))</f>
        <v/>
      </c>
      <c r="F253" s="6" t="n"/>
      <c r="G253" s="6">
        <f>IF($D253="","",IFERROR(XLOOKUP($D253,Items!$A:$A,Items!$D:$D),0))</f>
        <v/>
      </c>
      <c r="H253" s="6">
        <f>IF($C253="Issue",IFERROR($F253*$G253,0),0)</f>
        <v/>
      </c>
      <c r="I253" s="6" t="n"/>
      <c r="J253" s="5" t="n"/>
      <c r="K253" s="4" t="n"/>
    </row>
    <row r="254" ht="20" customHeight="1">
      <c r="A254" s="3" t="n"/>
      <c r="B254" s="4" t="n"/>
      <c r="C254" s="5" t="n"/>
      <c r="D254" s="5" t="n"/>
      <c r="E254" s="4">
        <f>IF($D254="","",IFERROR(XLOOKUP($D254,Items!$A:$A,Items!$B:$B),"ERR"))</f>
        <v/>
      </c>
      <c r="F254" s="6" t="n"/>
      <c r="G254" s="6">
        <f>IF($D254="","",IFERROR(XLOOKUP($D254,Items!$A:$A,Items!$D:$D),0))</f>
        <v/>
      </c>
      <c r="H254" s="6">
        <f>IF($C254="Issue",IFERROR($F254*$G254,0),0)</f>
        <v/>
      </c>
      <c r="I254" s="6" t="n"/>
      <c r="J254" s="5" t="n"/>
      <c r="K254" s="4" t="n"/>
    </row>
    <row r="255" ht="20" customHeight="1">
      <c r="A255" s="3" t="n"/>
      <c r="B255" s="4" t="n"/>
      <c r="C255" s="5" t="n"/>
      <c r="D255" s="5" t="n"/>
      <c r="E255" s="4">
        <f>IF($D255="","",IFERROR(XLOOKUP($D255,Items!$A:$A,Items!$B:$B),"ERR"))</f>
        <v/>
      </c>
      <c r="F255" s="6" t="n"/>
      <c r="G255" s="6">
        <f>IF($D255="","",IFERROR(XLOOKUP($D255,Items!$A:$A,Items!$D:$D),0))</f>
        <v/>
      </c>
      <c r="H255" s="6">
        <f>IF($C255="Issue",IFERROR($F255*$G255,0),0)</f>
        <v/>
      </c>
      <c r="I255" s="6" t="n"/>
      <c r="J255" s="5" t="n"/>
      <c r="K255" s="4" t="n"/>
    </row>
    <row r="256" ht="20" customHeight="1">
      <c r="A256" s="3" t="n"/>
      <c r="B256" s="4" t="n"/>
      <c r="C256" s="5" t="n"/>
      <c r="D256" s="5" t="n"/>
      <c r="E256" s="4">
        <f>IF($D256="","",IFERROR(XLOOKUP($D256,Items!$A:$A,Items!$B:$B),"ERR"))</f>
        <v/>
      </c>
      <c r="F256" s="6" t="n"/>
      <c r="G256" s="6">
        <f>IF($D256="","",IFERROR(XLOOKUP($D256,Items!$A:$A,Items!$D:$D),0))</f>
        <v/>
      </c>
      <c r="H256" s="6">
        <f>IF($C256="Issue",IFERROR($F256*$G256,0),0)</f>
        <v/>
      </c>
      <c r="I256" s="6" t="n"/>
      <c r="J256" s="5" t="n"/>
      <c r="K256" s="4" t="n"/>
    </row>
    <row r="257" ht="20" customHeight="1">
      <c r="A257" s="3" t="n"/>
      <c r="B257" s="4" t="n"/>
      <c r="C257" s="5" t="n"/>
      <c r="D257" s="5" t="n"/>
      <c r="E257" s="4">
        <f>IF($D257="","",IFERROR(XLOOKUP($D257,Items!$A:$A,Items!$B:$B),"ERR"))</f>
        <v/>
      </c>
      <c r="F257" s="6" t="n"/>
      <c r="G257" s="6">
        <f>IF($D257="","",IFERROR(XLOOKUP($D257,Items!$A:$A,Items!$D:$D),0))</f>
        <v/>
      </c>
      <c r="H257" s="6">
        <f>IF($C257="Issue",IFERROR($F257*$G257,0),0)</f>
        <v/>
      </c>
      <c r="I257" s="6" t="n"/>
      <c r="J257" s="5" t="n"/>
      <c r="K257" s="4" t="n"/>
    </row>
    <row r="258" ht="20" customHeight="1">
      <c r="A258" s="3" t="n"/>
      <c r="B258" s="4" t="n"/>
      <c r="C258" s="5" t="n"/>
      <c r="D258" s="5" t="n"/>
      <c r="E258" s="4">
        <f>IF($D258="","",IFERROR(XLOOKUP($D258,Items!$A:$A,Items!$B:$B),"ERR"))</f>
        <v/>
      </c>
      <c r="F258" s="6" t="n"/>
      <c r="G258" s="6">
        <f>IF($D258="","",IFERROR(XLOOKUP($D258,Items!$A:$A,Items!$D:$D),0))</f>
        <v/>
      </c>
      <c r="H258" s="6">
        <f>IF($C258="Issue",IFERROR($F258*$G258,0),0)</f>
        <v/>
      </c>
      <c r="I258" s="6" t="n"/>
      <c r="J258" s="5" t="n"/>
      <c r="K258" s="4" t="n"/>
    </row>
    <row r="259" ht="20" customHeight="1">
      <c r="A259" s="3" t="n"/>
      <c r="B259" s="4" t="n"/>
      <c r="C259" s="5" t="n"/>
      <c r="D259" s="5" t="n"/>
      <c r="E259" s="4">
        <f>IF($D259="","",IFERROR(XLOOKUP($D259,Items!$A:$A,Items!$B:$B),"ERR"))</f>
        <v/>
      </c>
      <c r="F259" s="6" t="n"/>
      <c r="G259" s="6">
        <f>IF($D259="","",IFERROR(XLOOKUP($D259,Items!$A:$A,Items!$D:$D),0))</f>
        <v/>
      </c>
      <c r="H259" s="6">
        <f>IF($C259="Issue",IFERROR($F259*$G259,0),0)</f>
        <v/>
      </c>
      <c r="I259" s="6" t="n"/>
      <c r="J259" s="5" t="n"/>
      <c r="K259" s="4" t="n"/>
    </row>
    <row r="260" ht="20" customHeight="1">
      <c r="A260" s="3" t="n"/>
      <c r="B260" s="4" t="n"/>
      <c r="C260" s="5" t="n"/>
      <c r="D260" s="5" t="n"/>
      <c r="E260" s="4">
        <f>IF($D260="","",IFERROR(XLOOKUP($D260,Items!$A:$A,Items!$B:$B),"ERR"))</f>
        <v/>
      </c>
      <c r="F260" s="6" t="n"/>
      <c r="G260" s="6">
        <f>IF($D260="","",IFERROR(XLOOKUP($D260,Items!$A:$A,Items!$D:$D),0))</f>
        <v/>
      </c>
      <c r="H260" s="6">
        <f>IF($C260="Issue",IFERROR($F260*$G260,0),0)</f>
        <v/>
      </c>
      <c r="I260" s="6" t="n"/>
      <c r="J260" s="5" t="n"/>
      <c r="K260" s="4" t="n"/>
    </row>
    <row r="261" ht="20" customHeight="1">
      <c r="A261" s="3" t="n"/>
      <c r="B261" s="4" t="n"/>
      <c r="C261" s="5" t="n"/>
      <c r="D261" s="5" t="n"/>
      <c r="E261" s="4">
        <f>IF($D261="","",IFERROR(XLOOKUP($D261,Items!$A:$A,Items!$B:$B),"ERR"))</f>
        <v/>
      </c>
      <c r="F261" s="6" t="n"/>
      <c r="G261" s="6">
        <f>IF($D261="","",IFERROR(XLOOKUP($D261,Items!$A:$A,Items!$D:$D),0))</f>
        <v/>
      </c>
      <c r="H261" s="6">
        <f>IF($C261="Issue",IFERROR($F261*$G261,0),0)</f>
        <v/>
      </c>
      <c r="I261" s="6" t="n"/>
      <c r="J261" s="5" t="n"/>
      <c r="K261" s="4" t="n"/>
    </row>
    <row r="262" ht="20" customHeight="1">
      <c r="A262" s="3" t="n"/>
      <c r="B262" s="4" t="n"/>
      <c r="C262" s="5" t="n"/>
      <c r="D262" s="5" t="n"/>
      <c r="E262" s="4">
        <f>IF($D262="","",IFERROR(XLOOKUP($D262,Items!$A:$A,Items!$B:$B),"ERR"))</f>
        <v/>
      </c>
      <c r="F262" s="6" t="n"/>
      <c r="G262" s="6">
        <f>IF($D262="","",IFERROR(XLOOKUP($D262,Items!$A:$A,Items!$D:$D),0))</f>
        <v/>
      </c>
      <c r="H262" s="6">
        <f>IF($C262="Issue",IFERROR($F262*$G262,0),0)</f>
        <v/>
      </c>
      <c r="I262" s="6" t="n"/>
      <c r="J262" s="5" t="n"/>
      <c r="K262" s="4" t="n"/>
    </row>
    <row r="263" ht="20" customHeight="1">
      <c r="A263" s="3" t="n"/>
      <c r="B263" s="4" t="n"/>
      <c r="C263" s="5" t="n"/>
      <c r="D263" s="5" t="n"/>
      <c r="E263" s="4">
        <f>IF($D263="","",IFERROR(XLOOKUP($D263,Items!$A:$A,Items!$B:$B),"ERR"))</f>
        <v/>
      </c>
      <c r="F263" s="6" t="n"/>
      <c r="G263" s="6">
        <f>IF($D263="","",IFERROR(XLOOKUP($D263,Items!$A:$A,Items!$D:$D),0))</f>
        <v/>
      </c>
      <c r="H263" s="6">
        <f>IF($C263="Issue",IFERROR($F263*$G263,0),0)</f>
        <v/>
      </c>
      <c r="I263" s="6" t="n"/>
      <c r="J263" s="5" t="n"/>
      <c r="K263" s="4" t="n"/>
    </row>
    <row r="264" ht="20" customHeight="1">
      <c r="A264" s="3" t="n"/>
      <c r="B264" s="4" t="n"/>
      <c r="C264" s="5" t="n"/>
      <c r="D264" s="5" t="n"/>
      <c r="E264" s="4">
        <f>IF($D264="","",IFERROR(XLOOKUP($D264,Items!$A:$A,Items!$B:$B),"ERR"))</f>
        <v/>
      </c>
      <c r="F264" s="6" t="n"/>
      <c r="G264" s="6">
        <f>IF($D264="","",IFERROR(XLOOKUP($D264,Items!$A:$A,Items!$D:$D),0))</f>
        <v/>
      </c>
      <c r="H264" s="6">
        <f>IF($C264="Issue",IFERROR($F264*$G264,0),0)</f>
        <v/>
      </c>
      <c r="I264" s="6" t="n"/>
      <c r="J264" s="5" t="n"/>
      <c r="K264" s="4" t="n"/>
    </row>
    <row r="265" ht="20" customHeight="1">
      <c r="A265" s="3" t="n"/>
      <c r="B265" s="4" t="n"/>
      <c r="C265" s="5" t="n"/>
      <c r="D265" s="5" t="n"/>
      <c r="E265" s="4">
        <f>IF($D265="","",IFERROR(XLOOKUP($D265,Items!$A:$A,Items!$B:$B),"ERR"))</f>
        <v/>
      </c>
      <c r="F265" s="6" t="n"/>
      <c r="G265" s="6">
        <f>IF($D265="","",IFERROR(XLOOKUP($D265,Items!$A:$A,Items!$D:$D),0))</f>
        <v/>
      </c>
      <c r="H265" s="6">
        <f>IF($C265="Issue",IFERROR($F265*$G265,0),0)</f>
        <v/>
      </c>
      <c r="I265" s="6" t="n"/>
      <c r="J265" s="5" t="n"/>
      <c r="K265" s="4" t="n"/>
    </row>
    <row r="266" ht="20" customHeight="1">
      <c r="A266" s="3" t="n"/>
      <c r="B266" s="4" t="n"/>
      <c r="C266" s="5" t="n"/>
      <c r="D266" s="5" t="n"/>
      <c r="E266" s="4">
        <f>IF($D266="","",IFERROR(XLOOKUP($D266,Items!$A:$A,Items!$B:$B),"ERR"))</f>
        <v/>
      </c>
      <c r="F266" s="6" t="n"/>
      <c r="G266" s="6">
        <f>IF($D266="","",IFERROR(XLOOKUP($D266,Items!$A:$A,Items!$D:$D),0))</f>
        <v/>
      </c>
      <c r="H266" s="6">
        <f>IF($C266="Issue",IFERROR($F266*$G266,0),0)</f>
        <v/>
      </c>
      <c r="I266" s="6" t="n"/>
      <c r="J266" s="5" t="n"/>
      <c r="K266" s="4" t="n"/>
    </row>
    <row r="267" ht="20" customHeight="1">
      <c r="A267" s="3" t="n"/>
      <c r="B267" s="4" t="n"/>
      <c r="C267" s="5" t="n"/>
      <c r="D267" s="5" t="n"/>
      <c r="E267" s="4">
        <f>IF($D267="","",IFERROR(XLOOKUP($D267,Items!$A:$A,Items!$B:$B),"ERR"))</f>
        <v/>
      </c>
      <c r="F267" s="6" t="n"/>
      <c r="G267" s="6">
        <f>IF($D267="","",IFERROR(XLOOKUP($D267,Items!$A:$A,Items!$D:$D),0))</f>
        <v/>
      </c>
      <c r="H267" s="6">
        <f>IF($C267="Issue",IFERROR($F267*$G267,0),0)</f>
        <v/>
      </c>
      <c r="I267" s="6" t="n"/>
      <c r="J267" s="5" t="n"/>
      <c r="K267" s="4" t="n"/>
    </row>
    <row r="268" ht="20" customHeight="1">
      <c r="A268" s="3" t="n"/>
      <c r="B268" s="4" t="n"/>
      <c r="C268" s="5" t="n"/>
      <c r="D268" s="5" t="n"/>
      <c r="E268" s="4">
        <f>IF($D268="","",IFERROR(XLOOKUP($D268,Items!$A:$A,Items!$B:$B),"ERR"))</f>
        <v/>
      </c>
      <c r="F268" s="6" t="n"/>
      <c r="G268" s="6">
        <f>IF($D268="","",IFERROR(XLOOKUP($D268,Items!$A:$A,Items!$D:$D),0))</f>
        <v/>
      </c>
      <c r="H268" s="6">
        <f>IF($C268="Issue",IFERROR($F268*$G268,0),0)</f>
        <v/>
      </c>
      <c r="I268" s="6" t="n"/>
      <c r="J268" s="5" t="n"/>
      <c r="K268" s="4" t="n"/>
    </row>
    <row r="269" ht="20" customHeight="1">
      <c r="A269" s="3" t="n"/>
      <c r="B269" s="4" t="n"/>
      <c r="C269" s="5" t="n"/>
      <c r="D269" s="5" t="n"/>
      <c r="E269" s="4">
        <f>IF($D269="","",IFERROR(XLOOKUP($D269,Items!$A:$A,Items!$B:$B),"ERR"))</f>
        <v/>
      </c>
      <c r="F269" s="6" t="n"/>
      <c r="G269" s="6">
        <f>IF($D269="","",IFERROR(XLOOKUP($D269,Items!$A:$A,Items!$D:$D),0))</f>
        <v/>
      </c>
      <c r="H269" s="6">
        <f>IF($C269="Issue",IFERROR($F269*$G269,0),0)</f>
        <v/>
      </c>
      <c r="I269" s="6" t="n"/>
      <c r="J269" s="5" t="n"/>
      <c r="K269" s="4" t="n"/>
    </row>
    <row r="270" ht="20" customHeight="1">
      <c r="A270" s="3" t="n"/>
      <c r="B270" s="4" t="n"/>
      <c r="C270" s="5" t="n"/>
      <c r="D270" s="5" t="n"/>
      <c r="E270" s="4">
        <f>IF($D270="","",IFERROR(XLOOKUP($D270,Items!$A:$A,Items!$B:$B),"ERR"))</f>
        <v/>
      </c>
      <c r="F270" s="6" t="n"/>
      <c r="G270" s="6">
        <f>IF($D270="","",IFERROR(XLOOKUP($D270,Items!$A:$A,Items!$D:$D),0))</f>
        <v/>
      </c>
      <c r="H270" s="6">
        <f>IF($C270="Issue",IFERROR($F270*$G270,0),0)</f>
        <v/>
      </c>
      <c r="I270" s="6" t="n"/>
      <c r="J270" s="5" t="n"/>
      <c r="K270" s="4" t="n"/>
    </row>
    <row r="271" ht="20" customHeight="1">
      <c r="A271" s="3" t="n"/>
      <c r="B271" s="4" t="n"/>
      <c r="C271" s="5" t="n"/>
      <c r="D271" s="5" t="n"/>
      <c r="E271" s="4">
        <f>IF($D271="","",IFERROR(XLOOKUP($D271,Items!$A:$A,Items!$B:$B),"ERR"))</f>
        <v/>
      </c>
      <c r="F271" s="6" t="n"/>
      <c r="G271" s="6">
        <f>IF($D271="","",IFERROR(XLOOKUP($D271,Items!$A:$A,Items!$D:$D),0))</f>
        <v/>
      </c>
      <c r="H271" s="6">
        <f>IF($C271="Issue",IFERROR($F271*$G271,0),0)</f>
        <v/>
      </c>
      <c r="I271" s="6" t="n"/>
      <c r="J271" s="5" t="n"/>
      <c r="K271" s="4" t="n"/>
    </row>
    <row r="272" ht="20" customHeight="1">
      <c r="A272" s="3" t="n"/>
      <c r="B272" s="4" t="n"/>
      <c r="C272" s="5" t="n"/>
      <c r="D272" s="5" t="n"/>
      <c r="E272" s="4">
        <f>IF($D272="","",IFERROR(XLOOKUP($D272,Items!$A:$A,Items!$B:$B),"ERR"))</f>
        <v/>
      </c>
      <c r="F272" s="6" t="n"/>
      <c r="G272" s="6">
        <f>IF($D272="","",IFERROR(XLOOKUP($D272,Items!$A:$A,Items!$D:$D),0))</f>
        <v/>
      </c>
      <c r="H272" s="6">
        <f>IF($C272="Issue",IFERROR($F272*$G272,0),0)</f>
        <v/>
      </c>
      <c r="I272" s="6" t="n"/>
      <c r="J272" s="5" t="n"/>
      <c r="K272" s="4" t="n"/>
    </row>
    <row r="273" ht="20" customHeight="1">
      <c r="A273" s="3" t="n"/>
      <c r="B273" s="4" t="n"/>
      <c r="C273" s="5" t="n"/>
      <c r="D273" s="5" t="n"/>
      <c r="E273" s="4">
        <f>IF($D273="","",IFERROR(XLOOKUP($D273,Items!$A:$A,Items!$B:$B),"ERR"))</f>
        <v/>
      </c>
      <c r="F273" s="6" t="n"/>
      <c r="G273" s="6">
        <f>IF($D273="","",IFERROR(XLOOKUP($D273,Items!$A:$A,Items!$D:$D),0))</f>
        <v/>
      </c>
      <c r="H273" s="6">
        <f>IF($C273="Issue",IFERROR($F273*$G273,0),0)</f>
        <v/>
      </c>
      <c r="I273" s="6" t="n"/>
      <c r="J273" s="5" t="n"/>
      <c r="K273" s="4" t="n"/>
    </row>
    <row r="274" ht="20" customHeight="1">
      <c r="A274" s="3" t="n"/>
      <c r="B274" s="4" t="n"/>
      <c r="C274" s="5" t="n"/>
      <c r="D274" s="5" t="n"/>
      <c r="E274" s="4">
        <f>IF($D274="","",IFERROR(XLOOKUP($D274,Items!$A:$A,Items!$B:$B),"ERR"))</f>
        <v/>
      </c>
      <c r="F274" s="6" t="n"/>
      <c r="G274" s="6">
        <f>IF($D274="","",IFERROR(XLOOKUP($D274,Items!$A:$A,Items!$D:$D),0))</f>
        <v/>
      </c>
      <c r="H274" s="6">
        <f>IF($C274="Issue",IFERROR($F274*$G274,0),0)</f>
        <v/>
      </c>
      <c r="I274" s="6" t="n"/>
      <c r="J274" s="5" t="n"/>
      <c r="K274" s="4" t="n"/>
    </row>
    <row r="275" ht="20" customHeight="1">
      <c r="A275" s="3" t="n"/>
      <c r="B275" s="4" t="n"/>
      <c r="C275" s="5" t="n"/>
      <c r="D275" s="5" t="n"/>
      <c r="E275" s="4">
        <f>IF($D275="","",IFERROR(XLOOKUP($D275,Items!$A:$A,Items!$B:$B),"ERR"))</f>
        <v/>
      </c>
      <c r="F275" s="6" t="n"/>
      <c r="G275" s="6">
        <f>IF($D275="","",IFERROR(XLOOKUP($D275,Items!$A:$A,Items!$D:$D),0))</f>
        <v/>
      </c>
      <c r="H275" s="6">
        <f>IF($C275="Issue",IFERROR($F275*$G275,0),0)</f>
        <v/>
      </c>
      <c r="I275" s="6" t="n"/>
      <c r="J275" s="5" t="n"/>
      <c r="K275" s="4" t="n"/>
    </row>
    <row r="276" ht="20" customHeight="1">
      <c r="A276" s="3" t="n"/>
      <c r="B276" s="4" t="n"/>
      <c r="C276" s="5" t="n"/>
      <c r="D276" s="5" t="n"/>
      <c r="E276" s="4">
        <f>IF($D276="","",IFERROR(XLOOKUP($D276,Items!$A:$A,Items!$B:$B),"ERR"))</f>
        <v/>
      </c>
      <c r="F276" s="6" t="n"/>
      <c r="G276" s="6">
        <f>IF($D276="","",IFERROR(XLOOKUP($D276,Items!$A:$A,Items!$D:$D),0))</f>
        <v/>
      </c>
      <c r="H276" s="6">
        <f>IF($C276="Issue",IFERROR($F276*$G276,0),0)</f>
        <v/>
      </c>
      <c r="I276" s="6" t="n"/>
      <c r="J276" s="5" t="n"/>
      <c r="K276" s="4" t="n"/>
    </row>
    <row r="277" ht="20" customHeight="1">
      <c r="A277" s="3" t="n"/>
      <c r="B277" s="4" t="n"/>
      <c r="C277" s="5" t="n"/>
      <c r="D277" s="5" t="n"/>
      <c r="E277" s="4">
        <f>IF($D277="","",IFERROR(XLOOKUP($D277,Items!$A:$A,Items!$B:$B),"ERR"))</f>
        <v/>
      </c>
      <c r="F277" s="6" t="n"/>
      <c r="G277" s="6">
        <f>IF($D277="","",IFERROR(XLOOKUP($D277,Items!$A:$A,Items!$D:$D),0))</f>
        <v/>
      </c>
      <c r="H277" s="6">
        <f>IF($C277="Issue",IFERROR($F277*$G277,0),0)</f>
        <v/>
      </c>
      <c r="I277" s="6" t="n"/>
      <c r="J277" s="5" t="n"/>
      <c r="K277" s="4" t="n"/>
    </row>
    <row r="278" ht="20" customHeight="1">
      <c r="A278" s="3" t="n"/>
      <c r="B278" s="4" t="n"/>
      <c r="C278" s="5" t="n"/>
      <c r="D278" s="5" t="n"/>
      <c r="E278" s="4">
        <f>IF($D278="","",IFERROR(XLOOKUP($D278,Items!$A:$A,Items!$B:$B),"ERR"))</f>
        <v/>
      </c>
      <c r="F278" s="6" t="n"/>
      <c r="G278" s="6">
        <f>IF($D278="","",IFERROR(XLOOKUP($D278,Items!$A:$A,Items!$D:$D),0))</f>
        <v/>
      </c>
      <c r="H278" s="6">
        <f>IF($C278="Issue",IFERROR($F278*$G278,0),0)</f>
        <v/>
      </c>
      <c r="I278" s="6" t="n"/>
      <c r="J278" s="5" t="n"/>
      <c r="K278" s="4" t="n"/>
    </row>
    <row r="279" ht="20" customHeight="1">
      <c r="A279" s="3" t="n"/>
      <c r="B279" s="4" t="n"/>
      <c r="C279" s="5" t="n"/>
      <c r="D279" s="5" t="n"/>
      <c r="E279" s="4">
        <f>IF($D279="","",IFERROR(XLOOKUP($D279,Items!$A:$A,Items!$B:$B),"ERR"))</f>
        <v/>
      </c>
      <c r="F279" s="6" t="n"/>
      <c r="G279" s="6">
        <f>IF($D279="","",IFERROR(XLOOKUP($D279,Items!$A:$A,Items!$D:$D),0))</f>
        <v/>
      </c>
      <c r="H279" s="6">
        <f>IF($C279="Issue",IFERROR($F279*$G279,0),0)</f>
        <v/>
      </c>
      <c r="I279" s="6" t="n"/>
      <c r="J279" s="5" t="n"/>
      <c r="K279" s="4" t="n"/>
    </row>
    <row r="280" ht="20" customHeight="1">
      <c r="A280" s="3" t="n"/>
      <c r="B280" s="4" t="n"/>
      <c r="C280" s="5" t="n"/>
      <c r="D280" s="5" t="n"/>
      <c r="E280" s="4">
        <f>IF($D280="","",IFERROR(XLOOKUP($D280,Items!$A:$A,Items!$B:$B),"ERR"))</f>
        <v/>
      </c>
      <c r="F280" s="6" t="n"/>
      <c r="G280" s="6">
        <f>IF($D280="","",IFERROR(XLOOKUP($D280,Items!$A:$A,Items!$D:$D),0))</f>
        <v/>
      </c>
      <c r="H280" s="6">
        <f>IF($C280="Issue",IFERROR($F280*$G280,0),0)</f>
        <v/>
      </c>
      <c r="I280" s="6" t="n"/>
      <c r="J280" s="5" t="n"/>
      <c r="K280" s="4" t="n"/>
    </row>
    <row r="281" ht="20" customHeight="1">
      <c r="A281" s="3" t="n"/>
      <c r="B281" s="4" t="n"/>
      <c r="C281" s="5" t="n"/>
      <c r="D281" s="5" t="n"/>
      <c r="E281" s="4">
        <f>IF($D281="","",IFERROR(XLOOKUP($D281,Items!$A:$A,Items!$B:$B),"ERR"))</f>
        <v/>
      </c>
      <c r="F281" s="6" t="n"/>
      <c r="G281" s="6">
        <f>IF($D281="","",IFERROR(XLOOKUP($D281,Items!$A:$A,Items!$D:$D),0))</f>
        <v/>
      </c>
      <c r="H281" s="6">
        <f>IF($C281="Issue",IFERROR($F281*$G281,0),0)</f>
        <v/>
      </c>
      <c r="I281" s="6" t="n"/>
      <c r="J281" s="5" t="n"/>
      <c r="K281" s="4" t="n"/>
    </row>
    <row r="282" ht="20" customHeight="1">
      <c r="A282" s="3" t="n"/>
      <c r="B282" s="4" t="n"/>
      <c r="C282" s="5" t="n"/>
      <c r="D282" s="5" t="n"/>
      <c r="E282" s="4">
        <f>IF($D282="","",IFERROR(XLOOKUP($D282,Items!$A:$A,Items!$B:$B),"ERR"))</f>
        <v/>
      </c>
      <c r="F282" s="6" t="n"/>
      <c r="G282" s="6">
        <f>IF($D282="","",IFERROR(XLOOKUP($D282,Items!$A:$A,Items!$D:$D),0))</f>
        <v/>
      </c>
      <c r="H282" s="6">
        <f>IF($C282="Issue",IFERROR($F282*$G282,0),0)</f>
        <v/>
      </c>
      <c r="I282" s="6" t="n"/>
      <c r="J282" s="5" t="n"/>
      <c r="K282" s="4" t="n"/>
    </row>
    <row r="283" ht="20" customHeight="1">
      <c r="A283" s="3" t="n"/>
      <c r="B283" s="4" t="n"/>
      <c r="C283" s="5" t="n"/>
      <c r="D283" s="5" t="n"/>
      <c r="E283" s="4">
        <f>IF($D283="","",IFERROR(XLOOKUP($D283,Items!$A:$A,Items!$B:$B),"ERR"))</f>
        <v/>
      </c>
      <c r="F283" s="6" t="n"/>
      <c r="G283" s="6">
        <f>IF($D283="","",IFERROR(XLOOKUP($D283,Items!$A:$A,Items!$D:$D),0))</f>
        <v/>
      </c>
      <c r="H283" s="6">
        <f>IF($C283="Issue",IFERROR($F283*$G283,0),0)</f>
        <v/>
      </c>
      <c r="I283" s="6" t="n"/>
      <c r="J283" s="5" t="n"/>
      <c r="K283" s="4" t="n"/>
    </row>
    <row r="284" ht="20" customHeight="1">
      <c r="A284" s="3" t="n"/>
      <c r="B284" s="4" t="n"/>
      <c r="C284" s="5" t="n"/>
      <c r="D284" s="5" t="n"/>
      <c r="E284" s="4">
        <f>IF($D284="","",IFERROR(XLOOKUP($D284,Items!$A:$A,Items!$B:$B),"ERR"))</f>
        <v/>
      </c>
      <c r="F284" s="6" t="n"/>
      <c r="G284" s="6">
        <f>IF($D284="","",IFERROR(XLOOKUP($D284,Items!$A:$A,Items!$D:$D),0))</f>
        <v/>
      </c>
      <c r="H284" s="6">
        <f>IF($C284="Issue",IFERROR($F284*$G284,0),0)</f>
        <v/>
      </c>
      <c r="I284" s="6" t="n"/>
      <c r="J284" s="5" t="n"/>
      <c r="K284" s="4" t="n"/>
    </row>
    <row r="285" ht="20" customHeight="1">
      <c r="A285" s="3" t="n"/>
      <c r="B285" s="4" t="n"/>
      <c r="C285" s="5" t="n"/>
      <c r="D285" s="5" t="n"/>
      <c r="E285" s="4">
        <f>IF($D285="","",IFERROR(XLOOKUP($D285,Items!$A:$A,Items!$B:$B),"ERR"))</f>
        <v/>
      </c>
      <c r="F285" s="6" t="n"/>
      <c r="G285" s="6">
        <f>IF($D285="","",IFERROR(XLOOKUP($D285,Items!$A:$A,Items!$D:$D),0))</f>
        <v/>
      </c>
      <c r="H285" s="6">
        <f>IF($C285="Issue",IFERROR($F285*$G285,0),0)</f>
        <v/>
      </c>
      <c r="I285" s="6" t="n"/>
      <c r="J285" s="5" t="n"/>
      <c r="K285" s="4" t="n"/>
    </row>
    <row r="286" ht="20" customHeight="1">
      <c r="A286" s="3" t="n"/>
      <c r="B286" s="4" t="n"/>
      <c r="C286" s="5" t="n"/>
      <c r="D286" s="5" t="n"/>
      <c r="E286" s="4">
        <f>IF($D286="","",IFERROR(XLOOKUP($D286,Items!$A:$A,Items!$B:$B),"ERR"))</f>
        <v/>
      </c>
      <c r="F286" s="6" t="n"/>
      <c r="G286" s="6">
        <f>IF($D286="","",IFERROR(XLOOKUP($D286,Items!$A:$A,Items!$D:$D),0))</f>
        <v/>
      </c>
      <c r="H286" s="6">
        <f>IF($C286="Issue",IFERROR($F286*$G286,0),0)</f>
        <v/>
      </c>
      <c r="I286" s="6" t="n"/>
      <c r="J286" s="5" t="n"/>
      <c r="K286" s="4" t="n"/>
    </row>
    <row r="287" ht="20" customHeight="1">
      <c r="A287" s="3" t="n"/>
      <c r="B287" s="4" t="n"/>
      <c r="C287" s="5" t="n"/>
      <c r="D287" s="5" t="n"/>
      <c r="E287" s="4">
        <f>IF($D287="","",IFERROR(XLOOKUP($D287,Items!$A:$A,Items!$B:$B),"ERR"))</f>
        <v/>
      </c>
      <c r="F287" s="6" t="n"/>
      <c r="G287" s="6">
        <f>IF($D287="","",IFERROR(XLOOKUP($D287,Items!$A:$A,Items!$D:$D),0))</f>
        <v/>
      </c>
      <c r="H287" s="6">
        <f>IF($C287="Issue",IFERROR($F287*$G287,0),0)</f>
        <v/>
      </c>
      <c r="I287" s="6" t="n"/>
      <c r="J287" s="5" t="n"/>
      <c r="K287" s="4" t="n"/>
    </row>
    <row r="288" ht="20" customHeight="1">
      <c r="A288" s="3" t="n"/>
      <c r="B288" s="4" t="n"/>
      <c r="C288" s="5" t="n"/>
      <c r="D288" s="5" t="n"/>
      <c r="E288" s="4">
        <f>IF($D288="","",IFERROR(XLOOKUP($D288,Items!$A:$A,Items!$B:$B),"ERR"))</f>
        <v/>
      </c>
      <c r="F288" s="6" t="n"/>
      <c r="G288" s="6">
        <f>IF($D288="","",IFERROR(XLOOKUP($D288,Items!$A:$A,Items!$D:$D),0))</f>
        <v/>
      </c>
      <c r="H288" s="6">
        <f>IF($C288="Issue",IFERROR($F288*$G288,0),0)</f>
        <v/>
      </c>
      <c r="I288" s="6" t="n"/>
      <c r="J288" s="5" t="n"/>
      <c r="K288" s="4" t="n"/>
    </row>
    <row r="289" ht="20" customHeight="1">
      <c r="A289" s="3" t="n"/>
      <c r="B289" s="4" t="n"/>
      <c r="C289" s="5" t="n"/>
      <c r="D289" s="5" t="n"/>
      <c r="E289" s="4">
        <f>IF($D289="","",IFERROR(XLOOKUP($D289,Items!$A:$A,Items!$B:$B),"ERR"))</f>
        <v/>
      </c>
      <c r="F289" s="6" t="n"/>
      <c r="G289" s="6">
        <f>IF($D289="","",IFERROR(XLOOKUP($D289,Items!$A:$A,Items!$D:$D),0))</f>
        <v/>
      </c>
      <c r="H289" s="6">
        <f>IF($C289="Issue",IFERROR($F289*$G289,0),0)</f>
        <v/>
      </c>
      <c r="I289" s="6" t="n"/>
      <c r="J289" s="5" t="n"/>
      <c r="K289" s="4" t="n"/>
    </row>
    <row r="290" ht="20" customHeight="1">
      <c r="A290" s="3" t="n"/>
      <c r="B290" s="4" t="n"/>
      <c r="C290" s="5" t="n"/>
      <c r="D290" s="5" t="n"/>
      <c r="E290" s="4">
        <f>IF($D290="","",IFERROR(XLOOKUP($D290,Items!$A:$A,Items!$B:$B),"ERR"))</f>
        <v/>
      </c>
      <c r="F290" s="6" t="n"/>
      <c r="G290" s="6">
        <f>IF($D290="","",IFERROR(XLOOKUP($D290,Items!$A:$A,Items!$D:$D),0))</f>
        <v/>
      </c>
      <c r="H290" s="6">
        <f>IF($C290="Issue",IFERROR($F290*$G290,0),0)</f>
        <v/>
      </c>
      <c r="I290" s="6" t="n"/>
      <c r="J290" s="5" t="n"/>
      <c r="K290" s="4" t="n"/>
    </row>
    <row r="291" ht="20" customHeight="1">
      <c r="A291" s="3" t="n"/>
      <c r="B291" s="4" t="n"/>
      <c r="C291" s="5" t="n"/>
      <c r="D291" s="5" t="n"/>
      <c r="E291" s="4">
        <f>IF($D291="","",IFERROR(XLOOKUP($D291,Items!$A:$A,Items!$B:$B),"ERR"))</f>
        <v/>
      </c>
      <c r="F291" s="6" t="n"/>
      <c r="G291" s="6">
        <f>IF($D291="","",IFERROR(XLOOKUP($D291,Items!$A:$A,Items!$D:$D),0))</f>
        <v/>
      </c>
      <c r="H291" s="6">
        <f>IF($C291="Issue",IFERROR($F291*$G291,0),0)</f>
        <v/>
      </c>
      <c r="I291" s="6" t="n"/>
      <c r="J291" s="5" t="n"/>
      <c r="K291" s="4" t="n"/>
    </row>
    <row r="292" ht="20" customHeight="1">
      <c r="A292" s="3" t="n"/>
      <c r="B292" s="4" t="n"/>
      <c r="C292" s="5" t="n"/>
      <c r="D292" s="5" t="n"/>
      <c r="E292" s="4">
        <f>IF($D292="","",IFERROR(XLOOKUP($D292,Items!$A:$A,Items!$B:$B),"ERR"))</f>
        <v/>
      </c>
      <c r="F292" s="6" t="n"/>
      <c r="G292" s="6">
        <f>IF($D292="","",IFERROR(XLOOKUP($D292,Items!$A:$A,Items!$D:$D),0))</f>
        <v/>
      </c>
      <c r="H292" s="6">
        <f>IF($C292="Issue",IFERROR($F292*$G292,0),0)</f>
        <v/>
      </c>
      <c r="I292" s="6" t="n"/>
      <c r="J292" s="5" t="n"/>
      <c r="K292" s="4" t="n"/>
    </row>
    <row r="293" ht="20" customHeight="1">
      <c r="A293" s="3" t="n"/>
      <c r="B293" s="4" t="n"/>
      <c r="C293" s="5" t="n"/>
      <c r="D293" s="5" t="n"/>
      <c r="E293" s="4">
        <f>IF($D293="","",IFERROR(XLOOKUP($D293,Items!$A:$A,Items!$B:$B),"ERR"))</f>
        <v/>
      </c>
      <c r="F293" s="6" t="n"/>
      <c r="G293" s="6">
        <f>IF($D293="","",IFERROR(XLOOKUP($D293,Items!$A:$A,Items!$D:$D),0))</f>
        <v/>
      </c>
      <c r="H293" s="6">
        <f>IF($C293="Issue",IFERROR($F293*$G293,0),0)</f>
        <v/>
      </c>
      <c r="I293" s="6" t="n"/>
      <c r="J293" s="5" t="n"/>
      <c r="K293" s="4" t="n"/>
    </row>
    <row r="294" ht="20" customHeight="1">
      <c r="A294" s="3" t="n"/>
      <c r="B294" s="4" t="n"/>
      <c r="C294" s="5" t="n"/>
      <c r="D294" s="5" t="n"/>
      <c r="E294" s="4">
        <f>IF($D294="","",IFERROR(XLOOKUP($D294,Items!$A:$A,Items!$B:$B),"ERR"))</f>
        <v/>
      </c>
      <c r="F294" s="6" t="n"/>
      <c r="G294" s="6">
        <f>IF($D294="","",IFERROR(XLOOKUP($D294,Items!$A:$A,Items!$D:$D),0))</f>
        <v/>
      </c>
      <c r="H294" s="6">
        <f>IF($C294="Issue",IFERROR($F294*$G294,0),0)</f>
        <v/>
      </c>
      <c r="I294" s="6" t="n"/>
      <c r="J294" s="5" t="n"/>
      <c r="K294" s="4" t="n"/>
    </row>
    <row r="295" ht="20" customHeight="1">
      <c r="A295" s="3" t="n"/>
      <c r="B295" s="4" t="n"/>
      <c r="C295" s="5" t="n"/>
      <c r="D295" s="5" t="n"/>
      <c r="E295" s="4">
        <f>IF($D295="","",IFERROR(XLOOKUP($D295,Items!$A:$A,Items!$B:$B),"ERR"))</f>
        <v/>
      </c>
      <c r="F295" s="6" t="n"/>
      <c r="G295" s="6">
        <f>IF($D295="","",IFERROR(XLOOKUP($D295,Items!$A:$A,Items!$D:$D),0))</f>
        <v/>
      </c>
      <c r="H295" s="6">
        <f>IF($C295="Issue",IFERROR($F295*$G295,0),0)</f>
        <v/>
      </c>
      <c r="I295" s="6" t="n"/>
      <c r="J295" s="5" t="n"/>
      <c r="K295" s="4" t="n"/>
    </row>
    <row r="296" ht="20" customHeight="1">
      <c r="A296" s="3" t="n"/>
      <c r="B296" s="4" t="n"/>
      <c r="C296" s="5" t="n"/>
      <c r="D296" s="5" t="n"/>
      <c r="E296" s="4">
        <f>IF($D296="","",IFERROR(XLOOKUP($D296,Items!$A:$A,Items!$B:$B),"ERR"))</f>
        <v/>
      </c>
      <c r="F296" s="6" t="n"/>
      <c r="G296" s="6">
        <f>IF($D296="","",IFERROR(XLOOKUP($D296,Items!$A:$A,Items!$D:$D),0))</f>
        <v/>
      </c>
      <c r="H296" s="6">
        <f>IF($C296="Issue",IFERROR($F296*$G296,0),0)</f>
        <v/>
      </c>
      <c r="I296" s="6" t="n"/>
      <c r="J296" s="5" t="n"/>
      <c r="K296" s="4" t="n"/>
    </row>
    <row r="297" ht="20" customHeight="1">
      <c r="A297" s="3" t="n"/>
      <c r="B297" s="4" t="n"/>
      <c r="C297" s="5" t="n"/>
      <c r="D297" s="5" t="n"/>
      <c r="E297" s="4">
        <f>IF($D297="","",IFERROR(XLOOKUP($D297,Items!$A:$A,Items!$B:$B),"ERR"))</f>
        <v/>
      </c>
      <c r="F297" s="6" t="n"/>
      <c r="G297" s="6">
        <f>IF($D297="","",IFERROR(XLOOKUP($D297,Items!$A:$A,Items!$D:$D),0))</f>
        <v/>
      </c>
      <c r="H297" s="6">
        <f>IF($C297="Issue",IFERROR($F297*$G297,0),0)</f>
        <v/>
      </c>
      <c r="I297" s="6" t="n"/>
      <c r="J297" s="5" t="n"/>
      <c r="K297" s="4" t="n"/>
    </row>
    <row r="298" ht="20" customHeight="1">
      <c r="A298" s="3" t="n"/>
      <c r="B298" s="4" t="n"/>
      <c r="C298" s="5" t="n"/>
      <c r="D298" s="5" t="n"/>
      <c r="E298" s="4">
        <f>IF($D298="","",IFERROR(XLOOKUP($D298,Items!$A:$A,Items!$B:$B),"ERR"))</f>
        <v/>
      </c>
      <c r="F298" s="6" t="n"/>
      <c r="G298" s="6">
        <f>IF($D298="","",IFERROR(XLOOKUP($D298,Items!$A:$A,Items!$D:$D),0))</f>
        <v/>
      </c>
      <c r="H298" s="6">
        <f>IF($C298="Issue",IFERROR($F298*$G298,0),0)</f>
        <v/>
      </c>
      <c r="I298" s="6" t="n"/>
      <c r="J298" s="5" t="n"/>
      <c r="K298" s="4" t="n"/>
    </row>
    <row r="299" ht="20" customHeight="1">
      <c r="A299" s="3" t="n"/>
      <c r="B299" s="4" t="n"/>
      <c r="C299" s="5" t="n"/>
      <c r="D299" s="5" t="n"/>
      <c r="E299" s="4">
        <f>IF($D299="","",IFERROR(XLOOKUP($D299,Items!$A:$A,Items!$B:$B),"ERR"))</f>
        <v/>
      </c>
      <c r="F299" s="6" t="n"/>
      <c r="G299" s="6">
        <f>IF($D299="","",IFERROR(XLOOKUP($D299,Items!$A:$A,Items!$D:$D),0))</f>
        <v/>
      </c>
      <c r="H299" s="6">
        <f>IF($C299="Issue",IFERROR($F299*$G299,0),0)</f>
        <v/>
      </c>
      <c r="I299" s="6" t="n"/>
      <c r="J299" s="5" t="n"/>
      <c r="K299" s="4" t="n"/>
    </row>
    <row r="300" ht="20" customHeight="1">
      <c r="A300" s="3" t="n"/>
      <c r="B300" s="4" t="n"/>
      <c r="C300" s="5" t="n"/>
      <c r="D300" s="5" t="n"/>
      <c r="E300" s="4">
        <f>IF($D300="","",IFERROR(XLOOKUP($D300,Items!$A:$A,Items!$B:$B),"ERR"))</f>
        <v/>
      </c>
      <c r="F300" s="6" t="n"/>
      <c r="G300" s="6">
        <f>IF($D300="","",IFERROR(XLOOKUP($D300,Items!$A:$A,Items!$D:$D),0))</f>
        <v/>
      </c>
      <c r="H300" s="6">
        <f>IF($C300="Issue",IFERROR($F300*$G300,0),0)</f>
        <v/>
      </c>
      <c r="I300" s="6" t="n"/>
      <c r="J300" s="5" t="n"/>
      <c r="K300" s="4" t="n"/>
    </row>
    <row r="301" ht="20" customHeight="1">
      <c r="A301" s="3" t="n"/>
      <c r="B301" s="4" t="n"/>
      <c r="C301" s="5" t="n"/>
      <c r="D301" s="5" t="n"/>
      <c r="E301" s="4">
        <f>IF($D301="","",IFERROR(XLOOKUP($D301,Items!$A:$A,Items!$B:$B),"ERR"))</f>
        <v/>
      </c>
      <c r="F301" s="6" t="n"/>
      <c r="G301" s="6">
        <f>IF($D301="","",IFERROR(XLOOKUP($D301,Items!$A:$A,Items!$D:$D),0))</f>
        <v/>
      </c>
      <c r="H301" s="6">
        <f>IF($C301="Issue",IFERROR($F301*$G301,0),0)</f>
        <v/>
      </c>
      <c r="I301" s="6" t="n"/>
      <c r="J301" s="5" t="n"/>
      <c r="K301" s="4" t="n"/>
    </row>
    <row r="302" ht="20" customHeight="1">
      <c r="A302" s="3" t="n"/>
      <c r="B302" s="4" t="n"/>
      <c r="C302" s="5" t="n"/>
      <c r="D302" s="5" t="n"/>
      <c r="E302" s="4">
        <f>IF($D302="","",IFERROR(XLOOKUP($D302,Items!$A:$A,Items!$B:$B),"ERR"))</f>
        <v/>
      </c>
      <c r="F302" s="6" t="n"/>
      <c r="G302" s="6">
        <f>IF($D302="","",IFERROR(XLOOKUP($D302,Items!$A:$A,Items!$D:$D),0))</f>
        <v/>
      </c>
      <c r="H302" s="6">
        <f>IF($C302="Issue",IFERROR($F302*$G302,0),0)</f>
        <v/>
      </c>
      <c r="I302" s="6" t="n"/>
      <c r="J302" s="5" t="n"/>
      <c r="K302" s="4" t="n"/>
    </row>
    <row r="303" ht="20" customHeight="1">
      <c r="A303" s="3" t="n"/>
      <c r="B303" s="4" t="n"/>
      <c r="C303" s="5" t="n"/>
      <c r="D303" s="5" t="n"/>
      <c r="E303" s="4">
        <f>IF($D303="","",IFERROR(XLOOKUP($D303,Items!$A:$A,Items!$B:$B),"ERR"))</f>
        <v/>
      </c>
      <c r="F303" s="6" t="n"/>
      <c r="G303" s="6">
        <f>IF($D303="","",IFERROR(XLOOKUP($D303,Items!$A:$A,Items!$D:$D),0))</f>
        <v/>
      </c>
      <c r="H303" s="6">
        <f>IF($C303="Issue",IFERROR($F303*$G303,0),0)</f>
        <v/>
      </c>
      <c r="I303" s="6" t="n"/>
      <c r="J303" s="5" t="n"/>
      <c r="K303" s="4" t="n"/>
    </row>
    <row r="304" ht="20" customHeight="1">
      <c r="A304" s="3" t="n"/>
      <c r="B304" s="4" t="n"/>
      <c r="C304" s="5" t="n"/>
      <c r="D304" s="5" t="n"/>
      <c r="E304" s="4">
        <f>IF($D304="","",IFERROR(XLOOKUP($D304,Items!$A:$A,Items!$B:$B),"ERR"))</f>
        <v/>
      </c>
      <c r="F304" s="6" t="n"/>
      <c r="G304" s="6">
        <f>IF($D304="","",IFERROR(XLOOKUP($D304,Items!$A:$A,Items!$D:$D),0))</f>
        <v/>
      </c>
      <c r="H304" s="6">
        <f>IF($C304="Issue",IFERROR($F304*$G304,0),0)</f>
        <v/>
      </c>
      <c r="I304" s="6" t="n"/>
      <c r="J304" s="5" t="n"/>
      <c r="K304" s="4" t="n"/>
    </row>
    <row r="305" ht="20" customHeight="1">
      <c r="A305" s="3" t="n"/>
      <c r="B305" s="4" t="n"/>
      <c r="C305" s="5" t="n"/>
      <c r="D305" s="5" t="n"/>
      <c r="E305" s="4">
        <f>IF($D305="","",IFERROR(XLOOKUP($D305,Items!$A:$A,Items!$B:$B),"ERR"))</f>
        <v/>
      </c>
      <c r="F305" s="6" t="n"/>
      <c r="G305" s="6">
        <f>IF($D305="","",IFERROR(XLOOKUP($D305,Items!$A:$A,Items!$D:$D),0))</f>
        <v/>
      </c>
      <c r="H305" s="6">
        <f>IF($C305="Issue",IFERROR($F305*$G305,0),0)</f>
        <v/>
      </c>
      <c r="I305" s="6" t="n"/>
      <c r="J305" s="5" t="n"/>
      <c r="K305" s="4" t="n"/>
    </row>
    <row r="306" ht="20" customHeight="1">
      <c r="A306" s="3" t="n"/>
      <c r="B306" s="4" t="n"/>
      <c r="C306" s="5" t="n"/>
      <c r="D306" s="5" t="n"/>
      <c r="E306" s="4">
        <f>IF($D306="","",IFERROR(XLOOKUP($D306,Items!$A:$A,Items!$B:$B),"ERR"))</f>
        <v/>
      </c>
      <c r="F306" s="6" t="n"/>
      <c r="G306" s="6">
        <f>IF($D306="","",IFERROR(XLOOKUP($D306,Items!$A:$A,Items!$D:$D),0))</f>
        <v/>
      </c>
      <c r="H306" s="6">
        <f>IF($C306="Issue",IFERROR($F306*$G306,0),0)</f>
        <v/>
      </c>
      <c r="I306" s="6" t="n"/>
      <c r="J306" s="5" t="n"/>
      <c r="K306" s="4" t="n"/>
    </row>
    <row r="307" ht="20" customHeight="1">
      <c r="A307" s="3" t="n"/>
      <c r="B307" s="4" t="n"/>
      <c r="C307" s="5" t="n"/>
      <c r="D307" s="5" t="n"/>
      <c r="E307" s="4">
        <f>IF($D307="","",IFERROR(XLOOKUP($D307,Items!$A:$A,Items!$B:$B),"ERR"))</f>
        <v/>
      </c>
      <c r="F307" s="6" t="n"/>
      <c r="G307" s="6">
        <f>IF($D307="","",IFERROR(XLOOKUP($D307,Items!$A:$A,Items!$D:$D),0))</f>
        <v/>
      </c>
      <c r="H307" s="6">
        <f>IF($C307="Issue",IFERROR($F307*$G307,0),0)</f>
        <v/>
      </c>
      <c r="I307" s="6" t="n"/>
      <c r="J307" s="5" t="n"/>
      <c r="K307" s="4" t="n"/>
    </row>
    <row r="308" ht="20" customHeight="1">
      <c r="A308" s="3" t="n"/>
      <c r="B308" s="4" t="n"/>
      <c r="C308" s="5" t="n"/>
      <c r="D308" s="5" t="n"/>
      <c r="E308" s="4">
        <f>IF($D308="","",IFERROR(XLOOKUP($D308,Items!$A:$A,Items!$B:$B),"ERR"))</f>
        <v/>
      </c>
      <c r="F308" s="6" t="n"/>
      <c r="G308" s="6">
        <f>IF($D308="","",IFERROR(XLOOKUP($D308,Items!$A:$A,Items!$D:$D),0))</f>
        <v/>
      </c>
      <c r="H308" s="6">
        <f>IF($C308="Issue",IFERROR($F308*$G308,0),0)</f>
        <v/>
      </c>
      <c r="I308" s="6" t="n"/>
      <c r="J308" s="5" t="n"/>
      <c r="K308" s="4" t="n"/>
    </row>
    <row r="309" ht="20" customHeight="1">
      <c r="A309" s="3" t="n"/>
      <c r="B309" s="4" t="n"/>
      <c r="C309" s="5" t="n"/>
      <c r="D309" s="5" t="n"/>
      <c r="E309" s="4">
        <f>IF($D309="","",IFERROR(XLOOKUP($D309,Items!$A:$A,Items!$B:$B),"ERR"))</f>
        <v/>
      </c>
      <c r="F309" s="6" t="n"/>
      <c r="G309" s="6">
        <f>IF($D309="","",IFERROR(XLOOKUP($D309,Items!$A:$A,Items!$D:$D),0))</f>
        <v/>
      </c>
      <c r="H309" s="6">
        <f>IF($C309="Issue",IFERROR($F309*$G309,0),0)</f>
        <v/>
      </c>
      <c r="I309" s="6" t="n"/>
      <c r="J309" s="5" t="n"/>
      <c r="K309" s="4" t="n"/>
    </row>
    <row r="310" ht="20" customHeight="1">
      <c r="A310" s="3" t="n"/>
      <c r="B310" s="4" t="n"/>
      <c r="C310" s="5" t="n"/>
      <c r="D310" s="5" t="n"/>
      <c r="E310" s="4">
        <f>IF($D310="","",IFERROR(XLOOKUP($D310,Items!$A:$A,Items!$B:$B),"ERR"))</f>
        <v/>
      </c>
      <c r="F310" s="6" t="n"/>
      <c r="G310" s="6">
        <f>IF($D310="","",IFERROR(XLOOKUP($D310,Items!$A:$A,Items!$D:$D),0))</f>
        <v/>
      </c>
      <c r="H310" s="6">
        <f>IF($C310="Issue",IFERROR($F310*$G310,0),0)</f>
        <v/>
      </c>
      <c r="I310" s="6" t="n"/>
      <c r="J310" s="5" t="n"/>
      <c r="K310" s="4" t="n"/>
    </row>
    <row r="311" ht="20" customHeight="1">
      <c r="A311" s="3" t="n"/>
      <c r="B311" s="4" t="n"/>
      <c r="C311" s="5" t="n"/>
      <c r="D311" s="5" t="n"/>
      <c r="E311" s="4">
        <f>IF($D311="","",IFERROR(XLOOKUP($D311,Items!$A:$A,Items!$B:$B),"ERR"))</f>
        <v/>
      </c>
      <c r="F311" s="6" t="n"/>
      <c r="G311" s="6">
        <f>IF($D311="","",IFERROR(XLOOKUP($D311,Items!$A:$A,Items!$D:$D),0))</f>
        <v/>
      </c>
      <c r="H311" s="6">
        <f>IF($C311="Issue",IFERROR($F311*$G311,0),0)</f>
        <v/>
      </c>
      <c r="I311" s="6" t="n"/>
      <c r="J311" s="5" t="n"/>
      <c r="K311" s="4" t="n"/>
    </row>
    <row r="312" ht="20" customHeight="1">
      <c r="A312" s="3" t="n"/>
      <c r="B312" s="4" t="n"/>
      <c r="C312" s="5" t="n"/>
      <c r="D312" s="5" t="n"/>
      <c r="E312" s="4">
        <f>IF($D312="","",IFERROR(XLOOKUP($D312,Items!$A:$A,Items!$B:$B),"ERR"))</f>
        <v/>
      </c>
      <c r="F312" s="6" t="n"/>
      <c r="G312" s="6">
        <f>IF($D312="","",IFERROR(XLOOKUP($D312,Items!$A:$A,Items!$D:$D),0))</f>
        <v/>
      </c>
      <c r="H312" s="6">
        <f>IF($C312="Issue",IFERROR($F312*$G312,0),0)</f>
        <v/>
      </c>
      <c r="I312" s="6" t="n"/>
      <c r="J312" s="5" t="n"/>
      <c r="K312" s="4" t="n"/>
    </row>
    <row r="313" ht="20" customHeight="1">
      <c r="A313" s="3" t="n"/>
      <c r="B313" s="4" t="n"/>
      <c r="C313" s="5" t="n"/>
      <c r="D313" s="5" t="n"/>
      <c r="E313" s="4">
        <f>IF($D313="","",IFERROR(XLOOKUP($D313,Items!$A:$A,Items!$B:$B),"ERR"))</f>
        <v/>
      </c>
      <c r="F313" s="6" t="n"/>
      <c r="G313" s="6">
        <f>IF($D313="","",IFERROR(XLOOKUP($D313,Items!$A:$A,Items!$D:$D),0))</f>
        <v/>
      </c>
      <c r="H313" s="6">
        <f>IF($C313="Issue",IFERROR($F313*$G313,0),0)</f>
        <v/>
      </c>
      <c r="I313" s="6" t="n"/>
      <c r="J313" s="5" t="n"/>
      <c r="K313" s="4" t="n"/>
    </row>
    <row r="314" ht="20" customHeight="1">
      <c r="A314" s="3" t="n"/>
      <c r="B314" s="4" t="n"/>
      <c r="C314" s="5" t="n"/>
      <c r="D314" s="5" t="n"/>
      <c r="E314" s="4">
        <f>IF($D314="","",IFERROR(XLOOKUP($D314,Items!$A:$A,Items!$B:$B),"ERR"))</f>
        <v/>
      </c>
      <c r="F314" s="6" t="n"/>
      <c r="G314" s="6">
        <f>IF($D314="","",IFERROR(XLOOKUP($D314,Items!$A:$A,Items!$D:$D),0))</f>
        <v/>
      </c>
      <c r="H314" s="6">
        <f>IF($C314="Issue",IFERROR($F314*$G314,0),0)</f>
        <v/>
      </c>
      <c r="I314" s="6" t="n"/>
      <c r="J314" s="5" t="n"/>
      <c r="K314" s="4" t="n"/>
    </row>
    <row r="315" ht="20" customHeight="1">
      <c r="A315" s="3" t="n"/>
      <c r="B315" s="4" t="n"/>
      <c r="C315" s="5" t="n"/>
      <c r="D315" s="5" t="n"/>
      <c r="E315" s="4">
        <f>IF($D315="","",IFERROR(XLOOKUP($D315,Items!$A:$A,Items!$B:$B),"ERR"))</f>
        <v/>
      </c>
      <c r="F315" s="6" t="n"/>
      <c r="G315" s="6">
        <f>IF($D315="","",IFERROR(XLOOKUP($D315,Items!$A:$A,Items!$D:$D),0))</f>
        <v/>
      </c>
      <c r="H315" s="6">
        <f>IF($C315="Issue",IFERROR($F315*$G315,0),0)</f>
        <v/>
      </c>
      <c r="I315" s="6" t="n"/>
      <c r="J315" s="5" t="n"/>
      <c r="K315" s="4" t="n"/>
    </row>
    <row r="316" ht="20" customHeight="1">
      <c r="A316" s="3" t="n"/>
      <c r="B316" s="4" t="n"/>
      <c r="C316" s="5" t="n"/>
      <c r="D316" s="5" t="n"/>
      <c r="E316" s="4">
        <f>IF($D316="","",IFERROR(XLOOKUP($D316,Items!$A:$A,Items!$B:$B),"ERR"))</f>
        <v/>
      </c>
      <c r="F316" s="6" t="n"/>
      <c r="G316" s="6">
        <f>IF($D316="","",IFERROR(XLOOKUP($D316,Items!$A:$A,Items!$D:$D),0))</f>
        <v/>
      </c>
      <c r="H316" s="6">
        <f>IF($C316="Issue",IFERROR($F316*$G316,0),0)</f>
        <v/>
      </c>
      <c r="I316" s="6" t="n"/>
      <c r="J316" s="5" t="n"/>
      <c r="K316" s="4" t="n"/>
    </row>
    <row r="317" ht="20" customHeight="1">
      <c r="A317" s="3" t="n"/>
      <c r="B317" s="4" t="n"/>
      <c r="C317" s="5" t="n"/>
      <c r="D317" s="5" t="n"/>
      <c r="E317" s="4">
        <f>IF($D317="","",IFERROR(XLOOKUP($D317,Items!$A:$A,Items!$B:$B),"ERR"))</f>
        <v/>
      </c>
      <c r="F317" s="6" t="n"/>
      <c r="G317" s="6">
        <f>IF($D317="","",IFERROR(XLOOKUP($D317,Items!$A:$A,Items!$D:$D),0))</f>
        <v/>
      </c>
      <c r="H317" s="6">
        <f>IF($C317="Issue",IFERROR($F317*$G317,0),0)</f>
        <v/>
      </c>
      <c r="I317" s="6" t="n"/>
      <c r="J317" s="5" t="n"/>
      <c r="K317" s="4" t="n"/>
    </row>
    <row r="318" ht="20" customHeight="1">
      <c r="A318" s="3" t="n"/>
      <c r="B318" s="4" t="n"/>
      <c r="C318" s="5" t="n"/>
      <c r="D318" s="5" t="n"/>
      <c r="E318" s="4">
        <f>IF($D318="","",IFERROR(XLOOKUP($D318,Items!$A:$A,Items!$B:$B),"ERR"))</f>
        <v/>
      </c>
      <c r="F318" s="6" t="n"/>
      <c r="G318" s="6">
        <f>IF($D318="","",IFERROR(XLOOKUP($D318,Items!$A:$A,Items!$D:$D),0))</f>
        <v/>
      </c>
      <c r="H318" s="6">
        <f>IF($C318="Issue",IFERROR($F318*$G318,0),0)</f>
        <v/>
      </c>
      <c r="I318" s="6" t="n"/>
      <c r="J318" s="5" t="n"/>
      <c r="K318" s="4" t="n"/>
    </row>
    <row r="319" ht="20" customHeight="1">
      <c r="A319" s="3" t="n"/>
      <c r="B319" s="4" t="n"/>
      <c r="C319" s="5" t="n"/>
      <c r="D319" s="5" t="n"/>
      <c r="E319" s="4">
        <f>IF($D319="","",IFERROR(XLOOKUP($D319,Items!$A:$A,Items!$B:$B),"ERR"))</f>
        <v/>
      </c>
      <c r="F319" s="6" t="n"/>
      <c r="G319" s="6">
        <f>IF($D319="","",IFERROR(XLOOKUP($D319,Items!$A:$A,Items!$D:$D),0))</f>
        <v/>
      </c>
      <c r="H319" s="6">
        <f>IF($C319="Issue",IFERROR($F319*$G319,0),0)</f>
        <v/>
      </c>
      <c r="I319" s="6" t="n"/>
      <c r="J319" s="5" t="n"/>
      <c r="K319" s="4" t="n"/>
    </row>
    <row r="320" ht="20" customHeight="1">
      <c r="A320" s="3" t="n"/>
      <c r="B320" s="4" t="n"/>
      <c r="C320" s="5" t="n"/>
      <c r="D320" s="5" t="n"/>
      <c r="E320" s="4">
        <f>IF($D320="","",IFERROR(XLOOKUP($D320,Items!$A:$A,Items!$B:$B),"ERR"))</f>
        <v/>
      </c>
      <c r="F320" s="6" t="n"/>
      <c r="G320" s="6">
        <f>IF($D320="","",IFERROR(XLOOKUP($D320,Items!$A:$A,Items!$D:$D),0))</f>
        <v/>
      </c>
      <c r="H320" s="6">
        <f>IF($C320="Issue",IFERROR($F320*$G320,0),0)</f>
        <v/>
      </c>
      <c r="I320" s="6" t="n"/>
      <c r="J320" s="5" t="n"/>
      <c r="K320" s="4" t="n"/>
    </row>
    <row r="321" ht="20" customHeight="1">
      <c r="A321" s="3" t="n"/>
      <c r="B321" s="4" t="n"/>
      <c r="C321" s="5" t="n"/>
      <c r="D321" s="5" t="n"/>
      <c r="E321" s="4">
        <f>IF($D321="","",IFERROR(XLOOKUP($D321,Items!$A:$A,Items!$B:$B),"ERR"))</f>
        <v/>
      </c>
      <c r="F321" s="6" t="n"/>
      <c r="G321" s="6">
        <f>IF($D321="","",IFERROR(XLOOKUP($D321,Items!$A:$A,Items!$D:$D),0))</f>
        <v/>
      </c>
      <c r="H321" s="6">
        <f>IF($C321="Issue",IFERROR($F321*$G321,0),0)</f>
        <v/>
      </c>
      <c r="I321" s="6" t="n"/>
      <c r="J321" s="5" t="n"/>
      <c r="K321" s="4" t="n"/>
    </row>
    <row r="322" ht="20" customHeight="1">
      <c r="A322" s="3" t="n"/>
      <c r="B322" s="4" t="n"/>
      <c r="C322" s="5" t="n"/>
      <c r="D322" s="5" t="n"/>
      <c r="E322" s="4">
        <f>IF($D322="","",IFERROR(XLOOKUP($D322,Items!$A:$A,Items!$B:$B),"ERR"))</f>
        <v/>
      </c>
      <c r="F322" s="6" t="n"/>
      <c r="G322" s="6">
        <f>IF($D322="","",IFERROR(XLOOKUP($D322,Items!$A:$A,Items!$D:$D),0))</f>
        <v/>
      </c>
      <c r="H322" s="6">
        <f>IF($C322="Issue",IFERROR($F322*$G322,0),0)</f>
        <v/>
      </c>
      <c r="I322" s="6" t="n"/>
      <c r="J322" s="5" t="n"/>
      <c r="K322" s="4" t="n"/>
    </row>
    <row r="323" ht="20" customHeight="1">
      <c r="A323" s="3" t="n"/>
      <c r="B323" s="4" t="n"/>
      <c r="C323" s="5" t="n"/>
      <c r="D323" s="5" t="n"/>
      <c r="E323" s="4">
        <f>IF($D323="","",IFERROR(XLOOKUP($D323,Items!$A:$A,Items!$B:$B),"ERR"))</f>
        <v/>
      </c>
      <c r="F323" s="6" t="n"/>
      <c r="G323" s="6">
        <f>IF($D323="","",IFERROR(XLOOKUP($D323,Items!$A:$A,Items!$D:$D),0))</f>
        <v/>
      </c>
      <c r="H323" s="6">
        <f>IF($C323="Issue",IFERROR($F323*$G323,0),0)</f>
        <v/>
      </c>
      <c r="I323" s="6" t="n"/>
      <c r="J323" s="5" t="n"/>
      <c r="K323" s="4" t="n"/>
    </row>
    <row r="324" ht="20" customHeight="1">
      <c r="A324" s="3" t="n"/>
      <c r="B324" s="4" t="n"/>
      <c r="C324" s="5" t="n"/>
      <c r="D324" s="5" t="n"/>
      <c r="E324" s="4">
        <f>IF($D324="","",IFERROR(XLOOKUP($D324,Items!$A:$A,Items!$B:$B),"ERR"))</f>
        <v/>
      </c>
      <c r="F324" s="6" t="n"/>
      <c r="G324" s="6">
        <f>IF($D324="","",IFERROR(XLOOKUP($D324,Items!$A:$A,Items!$D:$D),0))</f>
        <v/>
      </c>
      <c r="H324" s="6">
        <f>IF($C324="Issue",IFERROR($F324*$G324,0),0)</f>
        <v/>
      </c>
      <c r="I324" s="6" t="n"/>
      <c r="J324" s="5" t="n"/>
      <c r="K324" s="4" t="n"/>
    </row>
    <row r="325" ht="20" customHeight="1">
      <c r="A325" s="3" t="n"/>
      <c r="B325" s="4" t="n"/>
      <c r="C325" s="5" t="n"/>
      <c r="D325" s="5" t="n"/>
      <c r="E325" s="4">
        <f>IF($D325="","",IFERROR(XLOOKUP($D325,Items!$A:$A,Items!$B:$B),"ERR"))</f>
        <v/>
      </c>
      <c r="F325" s="6" t="n"/>
      <c r="G325" s="6">
        <f>IF($D325="","",IFERROR(XLOOKUP($D325,Items!$A:$A,Items!$D:$D),0))</f>
        <v/>
      </c>
      <c r="H325" s="6">
        <f>IF($C325="Issue",IFERROR($F325*$G325,0),0)</f>
        <v/>
      </c>
      <c r="I325" s="6" t="n"/>
      <c r="J325" s="5" t="n"/>
      <c r="K325" s="4" t="n"/>
    </row>
    <row r="326" ht="20" customHeight="1">
      <c r="A326" s="3" t="n"/>
      <c r="B326" s="4" t="n"/>
      <c r="C326" s="5" t="n"/>
      <c r="D326" s="5" t="n"/>
      <c r="E326" s="4">
        <f>IF($D326="","",IFERROR(XLOOKUP($D326,Items!$A:$A,Items!$B:$B),"ERR"))</f>
        <v/>
      </c>
      <c r="F326" s="6" t="n"/>
      <c r="G326" s="6">
        <f>IF($D326="","",IFERROR(XLOOKUP($D326,Items!$A:$A,Items!$D:$D),0))</f>
        <v/>
      </c>
      <c r="H326" s="6">
        <f>IF($C326="Issue",IFERROR($F326*$G326,0),0)</f>
        <v/>
      </c>
      <c r="I326" s="6" t="n"/>
      <c r="J326" s="5" t="n"/>
      <c r="K326" s="4" t="n"/>
    </row>
    <row r="327" ht="20" customHeight="1">
      <c r="A327" s="3" t="n"/>
      <c r="B327" s="4" t="n"/>
      <c r="C327" s="5" t="n"/>
      <c r="D327" s="5" t="n"/>
      <c r="E327" s="4">
        <f>IF($D327="","",IFERROR(XLOOKUP($D327,Items!$A:$A,Items!$B:$B),"ERR"))</f>
        <v/>
      </c>
      <c r="F327" s="6" t="n"/>
      <c r="G327" s="6">
        <f>IF($D327="","",IFERROR(XLOOKUP($D327,Items!$A:$A,Items!$D:$D),0))</f>
        <v/>
      </c>
      <c r="H327" s="6">
        <f>IF($C327="Issue",IFERROR($F327*$G327,0),0)</f>
        <v/>
      </c>
      <c r="I327" s="6" t="n"/>
      <c r="J327" s="5" t="n"/>
      <c r="K327" s="4" t="n"/>
    </row>
    <row r="328" ht="20" customHeight="1">
      <c r="A328" s="3" t="n"/>
      <c r="B328" s="4" t="n"/>
      <c r="C328" s="5" t="n"/>
      <c r="D328" s="5" t="n"/>
      <c r="E328" s="4">
        <f>IF($D328="","",IFERROR(XLOOKUP($D328,Items!$A:$A,Items!$B:$B),"ERR"))</f>
        <v/>
      </c>
      <c r="F328" s="6" t="n"/>
      <c r="G328" s="6">
        <f>IF($D328="","",IFERROR(XLOOKUP($D328,Items!$A:$A,Items!$D:$D),0))</f>
        <v/>
      </c>
      <c r="H328" s="6">
        <f>IF($C328="Issue",IFERROR($F328*$G328,0),0)</f>
        <v/>
      </c>
      <c r="I328" s="6" t="n"/>
      <c r="J328" s="5" t="n"/>
      <c r="K328" s="4" t="n"/>
    </row>
    <row r="329" ht="20" customHeight="1">
      <c r="A329" s="3" t="n"/>
      <c r="B329" s="4" t="n"/>
      <c r="C329" s="5" t="n"/>
      <c r="D329" s="5" t="n"/>
      <c r="E329" s="4">
        <f>IF($D329="","",IFERROR(XLOOKUP($D329,Items!$A:$A,Items!$B:$B),"ERR"))</f>
        <v/>
      </c>
      <c r="F329" s="6" t="n"/>
      <c r="G329" s="6">
        <f>IF($D329="","",IFERROR(XLOOKUP($D329,Items!$A:$A,Items!$D:$D),0))</f>
        <v/>
      </c>
      <c r="H329" s="6">
        <f>IF($C329="Issue",IFERROR($F329*$G329,0),0)</f>
        <v/>
      </c>
      <c r="I329" s="6" t="n"/>
      <c r="J329" s="5" t="n"/>
      <c r="K329" s="4" t="n"/>
    </row>
    <row r="330" ht="20" customHeight="1">
      <c r="A330" s="3" t="n"/>
      <c r="B330" s="4" t="n"/>
      <c r="C330" s="5" t="n"/>
      <c r="D330" s="5" t="n"/>
      <c r="E330" s="4">
        <f>IF($D330="","",IFERROR(XLOOKUP($D330,Items!$A:$A,Items!$B:$B),"ERR"))</f>
        <v/>
      </c>
      <c r="F330" s="6" t="n"/>
      <c r="G330" s="6">
        <f>IF($D330="","",IFERROR(XLOOKUP($D330,Items!$A:$A,Items!$D:$D),0))</f>
        <v/>
      </c>
      <c r="H330" s="6">
        <f>IF($C330="Issue",IFERROR($F330*$G330,0),0)</f>
        <v/>
      </c>
      <c r="I330" s="6" t="n"/>
      <c r="J330" s="5" t="n"/>
      <c r="K330" s="4" t="n"/>
    </row>
    <row r="331" ht="20" customHeight="1">
      <c r="A331" s="3" t="n"/>
      <c r="B331" s="4" t="n"/>
      <c r="C331" s="5" t="n"/>
      <c r="D331" s="5" t="n"/>
      <c r="E331" s="4">
        <f>IF($D331="","",IFERROR(XLOOKUP($D331,Items!$A:$A,Items!$B:$B),"ERR"))</f>
        <v/>
      </c>
      <c r="F331" s="6" t="n"/>
      <c r="G331" s="6">
        <f>IF($D331="","",IFERROR(XLOOKUP($D331,Items!$A:$A,Items!$D:$D),0))</f>
        <v/>
      </c>
      <c r="H331" s="6">
        <f>IF($C331="Issue",IFERROR($F331*$G331,0),0)</f>
        <v/>
      </c>
      <c r="I331" s="6" t="n"/>
      <c r="J331" s="5" t="n"/>
      <c r="K331" s="4" t="n"/>
    </row>
    <row r="332" ht="20" customHeight="1">
      <c r="A332" s="3" t="n"/>
      <c r="B332" s="4" t="n"/>
      <c r="C332" s="5" t="n"/>
      <c r="D332" s="5" t="n"/>
      <c r="E332" s="4">
        <f>IF($D332="","",IFERROR(XLOOKUP($D332,Items!$A:$A,Items!$B:$B),"ERR"))</f>
        <v/>
      </c>
      <c r="F332" s="6" t="n"/>
      <c r="G332" s="6">
        <f>IF($D332="","",IFERROR(XLOOKUP($D332,Items!$A:$A,Items!$D:$D),0))</f>
        <v/>
      </c>
      <c r="H332" s="6">
        <f>IF($C332="Issue",IFERROR($F332*$G332,0),0)</f>
        <v/>
      </c>
      <c r="I332" s="6" t="n"/>
      <c r="J332" s="5" t="n"/>
      <c r="K332" s="4" t="n"/>
    </row>
    <row r="333" ht="20" customHeight="1">
      <c r="A333" s="3" t="n"/>
      <c r="B333" s="4" t="n"/>
      <c r="C333" s="5" t="n"/>
      <c r="D333" s="5" t="n"/>
      <c r="E333" s="4">
        <f>IF($D333="","",IFERROR(XLOOKUP($D333,Items!$A:$A,Items!$B:$B),"ERR"))</f>
        <v/>
      </c>
      <c r="F333" s="6" t="n"/>
      <c r="G333" s="6">
        <f>IF($D333="","",IFERROR(XLOOKUP($D333,Items!$A:$A,Items!$D:$D),0))</f>
        <v/>
      </c>
      <c r="H333" s="6">
        <f>IF($C333="Issue",IFERROR($F333*$G333,0),0)</f>
        <v/>
      </c>
      <c r="I333" s="6" t="n"/>
      <c r="J333" s="5" t="n"/>
      <c r="K333" s="4" t="n"/>
    </row>
    <row r="334" ht="20" customHeight="1">
      <c r="A334" s="3" t="n"/>
      <c r="B334" s="4" t="n"/>
      <c r="C334" s="5" t="n"/>
      <c r="D334" s="5" t="n"/>
      <c r="E334" s="4">
        <f>IF($D334="","",IFERROR(XLOOKUP($D334,Items!$A:$A,Items!$B:$B),"ERR"))</f>
        <v/>
      </c>
      <c r="F334" s="6" t="n"/>
      <c r="G334" s="6">
        <f>IF($D334="","",IFERROR(XLOOKUP($D334,Items!$A:$A,Items!$D:$D),0))</f>
        <v/>
      </c>
      <c r="H334" s="6">
        <f>IF($C334="Issue",IFERROR($F334*$G334,0),0)</f>
        <v/>
      </c>
      <c r="I334" s="6" t="n"/>
      <c r="J334" s="5" t="n"/>
      <c r="K334" s="4" t="n"/>
    </row>
    <row r="335" ht="20" customHeight="1">
      <c r="A335" s="3" t="n"/>
      <c r="B335" s="4" t="n"/>
      <c r="C335" s="5" t="n"/>
      <c r="D335" s="5" t="n"/>
      <c r="E335" s="4">
        <f>IF($D335="","",IFERROR(XLOOKUP($D335,Items!$A:$A,Items!$B:$B),"ERR"))</f>
        <v/>
      </c>
      <c r="F335" s="6" t="n"/>
      <c r="G335" s="6">
        <f>IF($D335="","",IFERROR(XLOOKUP($D335,Items!$A:$A,Items!$D:$D),0))</f>
        <v/>
      </c>
      <c r="H335" s="6">
        <f>IF($C335="Issue",IFERROR($F335*$G335,0),0)</f>
        <v/>
      </c>
      <c r="I335" s="6" t="n"/>
      <c r="J335" s="5" t="n"/>
      <c r="K335" s="4" t="n"/>
    </row>
    <row r="336" ht="20" customHeight="1">
      <c r="A336" s="3" t="n"/>
      <c r="B336" s="4" t="n"/>
      <c r="C336" s="5" t="n"/>
      <c r="D336" s="5" t="n"/>
      <c r="E336" s="4">
        <f>IF($D336="","",IFERROR(XLOOKUP($D336,Items!$A:$A,Items!$B:$B),"ERR"))</f>
        <v/>
      </c>
      <c r="F336" s="6" t="n"/>
      <c r="G336" s="6">
        <f>IF($D336="","",IFERROR(XLOOKUP($D336,Items!$A:$A,Items!$D:$D),0))</f>
        <v/>
      </c>
      <c r="H336" s="6">
        <f>IF($C336="Issue",IFERROR($F336*$G336,0),0)</f>
        <v/>
      </c>
      <c r="I336" s="6" t="n"/>
      <c r="J336" s="5" t="n"/>
      <c r="K336" s="4" t="n"/>
    </row>
    <row r="337" ht="20" customHeight="1">
      <c r="A337" s="3" t="n"/>
      <c r="B337" s="4" t="n"/>
      <c r="C337" s="5" t="n"/>
      <c r="D337" s="5" t="n"/>
      <c r="E337" s="4">
        <f>IF($D337="","",IFERROR(XLOOKUP($D337,Items!$A:$A,Items!$B:$B),"ERR"))</f>
        <v/>
      </c>
      <c r="F337" s="6" t="n"/>
      <c r="G337" s="6">
        <f>IF($D337="","",IFERROR(XLOOKUP($D337,Items!$A:$A,Items!$D:$D),0))</f>
        <v/>
      </c>
      <c r="H337" s="6">
        <f>IF($C337="Issue",IFERROR($F337*$G337,0),0)</f>
        <v/>
      </c>
      <c r="I337" s="6" t="n"/>
      <c r="J337" s="5" t="n"/>
      <c r="K337" s="4" t="n"/>
    </row>
    <row r="338" ht="20" customHeight="1">
      <c r="A338" s="3" t="n"/>
      <c r="B338" s="4" t="n"/>
      <c r="C338" s="5" t="n"/>
      <c r="D338" s="5" t="n"/>
      <c r="E338" s="4">
        <f>IF($D338="","",IFERROR(XLOOKUP($D338,Items!$A:$A,Items!$B:$B),"ERR"))</f>
        <v/>
      </c>
      <c r="F338" s="6" t="n"/>
      <c r="G338" s="6">
        <f>IF($D338="","",IFERROR(XLOOKUP($D338,Items!$A:$A,Items!$D:$D),0))</f>
        <v/>
      </c>
      <c r="H338" s="6">
        <f>IF($C338="Issue",IFERROR($F338*$G338,0),0)</f>
        <v/>
      </c>
      <c r="I338" s="6" t="n"/>
      <c r="J338" s="5" t="n"/>
      <c r="K338" s="4" t="n"/>
    </row>
    <row r="339" ht="20" customHeight="1">
      <c r="A339" s="3" t="n"/>
      <c r="B339" s="4" t="n"/>
      <c r="C339" s="5" t="n"/>
      <c r="D339" s="5" t="n"/>
      <c r="E339" s="4">
        <f>IF($D339="","",IFERROR(XLOOKUP($D339,Items!$A:$A,Items!$B:$B),"ERR"))</f>
        <v/>
      </c>
      <c r="F339" s="6" t="n"/>
      <c r="G339" s="6">
        <f>IF($D339="","",IFERROR(XLOOKUP($D339,Items!$A:$A,Items!$D:$D),0))</f>
        <v/>
      </c>
      <c r="H339" s="6">
        <f>IF($C339="Issue",IFERROR($F339*$G339,0),0)</f>
        <v/>
      </c>
      <c r="I339" s="6" t="n"/>
      <c r="J339" s="5" t="n"/>
      <c r="K339" s="4" t="n"/>
    </row>
    <row r="340" ht="20" customHeight="1">
      <c r="A340" s="3" t="n"/>
      <c r="B340" s="4" t="n"/>
      <c r="C340" s="5" t="n"/>
      <c r="D340" s="5" t="n"/>
      <c r="E340" s="4">
        <f>IF($D340="","",IFERROR(XLOOKUP($D340,Items!$A:$A,Items!$B:$B),"ERR"))</f>
        <v/>
      </c>
      <c r="F340" s="6" t="n"/>
      <c r="G340" s="6">
        <f>IF($D340="","",IFERROR(XLOOKUP($D340,Items!$A:$A,Items!$D:$D),0))</f>
        <v/>
      </c>
      <c r="H340" s="6">
        <f>IF($C340="Issue",IFERROR($F340*$G340,0),0)</f>
        <v/>
      </c>
      <c r="I340" s="6" t="n"/>
      <c r="J340" s="5" t="n"/>
      <c r="K340" s="4" t="n"/>
    </row>
    <row r="341" ht="20" customHeight="1">
      <c r="A341" s="3" t="n"/>
      <c r="B341" s="4" t="n"/>
      <c r="C341" s="5" t="n"/>
      <c r="D341" s="5" t="n"/>
      <c r="E341" s="4">
        <f>IF($D341="","",IFERROR(XLOOKUP($D341,Items!$A:$A,Items!$B:$B),"ERR"))</f>
        <v/>
      </c>
      <c r="F341" s="6" t="n"/>
      <c r="G341" s="6">
        <f>IF($D341="","",IFERROR(XLOOKUP($D341,Items!$A:$A,Items!$D:$D),0))</f>
        <v/>
      </c>
      <c r="H341" s="6">
        <f>IF($C341="Issue",IFERROR($F341*$G341,0),0)</f>
        <v/>
      </c>
      <c r="I341" s="6" t="n"/>
      <c r="J341" s="5" t="n"/>
      <c r="K341" s="4" t="n"/>
    </row>
    <row r="342" ht="20" customHeight="1">
      <c r="A342" s="3" t="n"/>
      <c r="B342" s="4" t="n"/>
      <c r="C342" s="5" t="n"/>
      <c r="D342" s="5" t="n"/>
      <c r="E342" s="4">
        <f>IF($D342="","",IFERROR(XLOOKUP($D342,Items!$A:$A,Items!$B:$B),"ERR"))</f>
        <v/>
      </c>
      <c r="F342" s="6" t="n"/>
      <c r="G342" s="6">
        <f>IF($D342="","",IFERROR(XLOOKUP($D342,Items!$A:$A,Items!$D:$D),0))</f>
        <v/>
      </c>
      <c r="H342" s="6">
        <f>IF($C342="Issue",IFERROR($F342*$G342,0),0)</f>
        <v/>
      </c>
      <c r="I342" s="6" t="n"/>
      <c r="J342" s="5" t="n"/>
      <c r="K342" s="4" t="n"/>
    </row>
    <row r="343" ht="20" customHeight="1">
      <c r="A343" s="3" t="n"/>
      <c r="B343" s="4" t="n"/>
      <c r="C343" s="5" t="n"/>
      <c r="D343" s="5" t="n"/>
      <c r="E343" s="4">
        <f>IF($D343="","",IFERROR(XLOOKUP($D343,Items!$A:$A,Items!$B:$B),"ERR"))</f>
        <v/>
      </c>
      <c r="F343" s="6" t="n"/>
      <c r="G343" s="6">
        <f>IF($D343="","",IFERROR(XLOOKUP($D343,Items!$A:$A,Items!$D:$D),0))</f>
        <v/>
      </c>
      <c r="H343" s="6">
        <f>IF($C343="Issue",IFERROR($F343*$G343,0),0)</f>
        <v/>
      </c>
      <c r="I343" s="6" t="n"/>
      <c r="J343" s="5" t="n"/>
      <c r="K343" s="4" t="n"/>
    </row>
    <row r="344" ht="20" customHeight="1">
      <c r="A344" s="3" t="n"/>
      <c r="B344" s="4" t="n"/>
      <c r="C344" s="5" t="n"/>
      <c r="D344" s="5" t="n"/>
      <c r="E344" s="4">
        <f>IF($D344="","",IFERROR(XLOOKUP($D344,Items!$A:$A,Items!$B:$B),"ERR"))</f>
        <v/>
      </c>
      <c r="F344" s="6" t="n"/>
      <c r="G344" s="6">
        <f>IF($D344="","",IFERROR(XLOOKUP($D344,Items!$A:$A,Items!$D:$D),0))</f>
        <v/>
      </c>
      <c r="H344" s="6">
        <f>IF($C344="Issue",IFERROR($F344*$G344,0),0)</f>
        <v/>
      </c>
      <c r="I344" s="6" t="n"/>
      <c r="J344" s="5" t="n"/>
      <c r="K344" s="4" t="n"/>
    </row>
    <row r="345" ht="20" customHeight="1">
      <c r="A345" s="3" t="n"/>
      <c r="B345" s="4" t="n"/>
      <c r="C345" s="5" t="n"/>
      <c r="D345" s="5" t="n"/>
      <c r="E345" s="4">
        <f>IF($D345="","",IFERROR(XLOOKUP($D345,Items!$A:$A,Items!$B:$B),"ERR"))</f>
        <v/>
      </c>
      <c r="F345" s="6" t="n"/>
      <c r="G345" s="6">
        <f>IF($D345="","",IFERROR(XLOOKUP($D345,Items!$A:$A,Items!$D:$D),0))</f>
        <v/>
      </c>
      <c r="H345" s="6">
        <f>IF($C345="Issue",IFERROR($F345*$G345,0),0)</f>
        <v/>
      </c>
      <c r="I345" s="6" t="n"/>
      <c r="J345" s="5" t="n"/>
      <c r="K345" s="4" t="n"/>
    </row>
    <row r="346" ht="20" customHeight="1">
      <c r="A346" s="3" t="n"/>
      <c r="B346" s="4" t="n"/>
      <c r="C346" s="5" t="n"/>
      <c r="D346" s="5" t="n"/>
      <c r="E346" s="4">
        <f>IF($D346="","",IFERROR(XLOOKUP($D346,Items!$A:$A,Items!$B:$B),"ERR"))</f>
        <v/>
      </c>
      <c r="F346" s="6" t="n"/>
      <c r="G346" s="6">
        <f>IF($D346="","",IFERROR(XLOOKUP($D346,Items!$A:$A,Items!$D:$D),0))</f>
        <v/>
      </c>
      <c r="H346" s="6">
        <f>IF($C346="Issue",IFERROR($F346*$G346,0),0)</f>
        <v/>
      </c>
      <c r="I346" s="6" t="n"/>
      <c r="J346" s="5" t="n"/>
      <c r="K346" s="4" t="n"/>
    </row>
    <row r="347" ht="20" customHeight="1">
      <c r="A347" s="3" t="n"/>
      <c r="B347" s="4" t="n"/>
      <c r="C347" s="5" t="n"/>
      <c r="D347" s="5" t="n"/>
      <c r="E347" s="4">
        <f>IF($D347="","",IFERROR(XLOOKUP($D347,Items!$A:$A,Items!$B:$B),"ERR"))</f>
        <v/>
      </c>
      <c r="F347" s="6" t="n"/>
      <c r="G347" s="6">
        <f>IF($D347="","",IFERROR(XLOOKUP($D347,Items!$A:$A,Items!$D:$D),0))</f>
        <v/>
      </c>
      <c r="H347" s="6">
        <f>IF($C347="Issue",IFERROR($F347*$G347,0),0)</f>
        <v/>
      </c>
      <c r="I347" s="6" t="n"/>
      <c r="J347" s="5" t="n"/>
      <c r="K347" s="4" t="n"/>
    </row>
    <row r="348" ht="20" customHeight="1">
      <c r="A348" s="3" t="n"/>
      <c r="B348" s="4" t="n"/>
      <c r="C348" s="5" t="n"/>
      <c r="D348" s="5" t="n"/>
      <c r="E348" s="4">
        <f>IF($D348="","",IFERROR(XLOOKUP($D348,Items!$A:$A,Items!$B:$B),"ERR"))</f>
        <v/>
      </c>
      <c r="F348" s="6" t="n"/>
      <c r="G348" s="6">
        <f>IF($D348="","",IFERROR(XLOOKUP($D348,Items!$A:$A,Items!$D:$D),0))</f>
        <v/>
      </c>
      <c r="H348" s="6">
        <f>IF($C348="Issue",IFERROR($F348*$G348,0),0)</f>
        <v/>
      </c>
      <c r="I348" s="6" t="n"/>
      <c r="J348" s="5" t="n"/>
      <c r="K348" s="4" t="n"/>
    </row>
    <row r="349" ht="20" customHeight="1">
      <c r="A349" s="3" t="n"/>
      <c r="B349" s="4" t="n"/>
      <c r="C349" s="5" t="n"/>
      <c r="D349" s="5" t="n"/>
      <c r="E349" s="4">
        <f>IF($D349="","",IFERROR(XLOOKUP($D349,Items!$A:$A,Items!$B:$B),"ERR"))</f>
        <v/>
      </c>
      <c r="F349" s="6" t="n"/>
      <c r="G349" s="6">
        <f>IF($D349="","",IFERROR(XLOOKUP($D349,Items!$A:$A,Items!$D:$D),0))</f>
        <v/>
      </c>
      <c r="H349" s="6">
        <f>IF($C349="Issue",IFERROR($F349*$G349,0),0)</f>
        <v/>
      </c>
      <c r="I349" s="6" t="n"/>
      <c r="J349" s="5" t="n"/>
      <c r="K349" s="4" t="n"/>
    </row>
    <row r="350" ht="20" customHeight="1">
      <c r="A350" s="3" t="n"/>
      <c r="B350" s="4" t="n"/>
      <c r="C350" s="5" t="n"/>
      <c r="D350" s="5" t="n"/>
      <c r="E350" s="4">
        <f>IF($D350="","",IFERROR(XLOOKUP($D350,Items!$A:$A,Items!$B:$B),"ERR"))</f>
        <v/>
      </c>
      <c r="F350" s="6" t="n"/>
      <c r="G350" s="6">
        <f>IF($D350="","",IFERROR(XLOOKUP($D350,Items!$A:$A,Items!$D:$D),0))</f>
        <v/>
      </c>
      <c r="H350" s="6">
        <f>IF($C350="Issue",IFERROR($F350*$G350,0),0)</f>
        <v/>
      </c>
      <c r="I350" s="6" t="n"/>
      <c r="J350" s="5" t="n"/>
      <c r="K350" s="4" t="n"/>
    </row>
    <row r="351" ht="20" customHeight="1">
      <c r="A351" s="3" t="n"/>
      <c r="B351" s="4" t="n"/>
      <c r="C351" s="5" t="n"/>
      <c r="D351" s="5" t="n"/>
      <c r="E351" s="4">
        <f>IF($D351="","",IFERROR(XLOOKUP($D351,Items!$A:$A,Items!$B:$B),"ERR"))</f>
        <v/>
      </c>
      <c r="F351" s="6" t="n"/>
      <c r="G351" s="6">
        <f>IF($D351="","",IFERROR(XLOOKUP($D351,Items!$A:$A,Items!$D:$D),0))</f>
        <v/>
      </c>
      <c r="H351" s="6">
        <f>IF($C351="Issue",IFERROR($F351*$G351,0),0)</f>
        <v/>
      </c>
      <c r="I351" s="6" t="n"/>
      <c r="J351" s="5" t="n"/>
      <c r="K351" s="4" t="n"/>
    </row>
    <row r="352" ht="20" customHeight="1">
      <c r="A352" s="3" t="n"/>
      <c r="B352" s="4" t="n"/>
      <c r="C352" s="5" t="n"/>
      <c r="D352" s="5" t="n"/>
      <c r="E352" s="4">
        <f>IF($D352="","",IFERROR(XLOOKUP($D352,Items!$A:$A,Items!$B:$B),"ERR"))</f>
        <v/>
      </c>
      <c r="F352" s="6" t="n"/>
      <c r="G352" s="6">
        <f>IF($D352="","",IFERROR(XLOOKUP($D352,Items!$A:$A,Items!$D:$D),0))</f>
        <v/>
      </c>
      <c r="H352" s="6">
        <f>IF($C352="Issue",IFERROR($F352*$G352,0),0)</f>
        <v/>
      </c>
      <c r="I352" s="6" t="n"/>
      <c r="J352" s="5" t="n"/>
      <c r="K352" s="4" t="n"/>
    </row>
    <row r="353" ht="20" customHeight="1">
      <c r="A353" s="3" t="n"/>
      <c r="B353" s="4" t="n"/>
      <c r="C353" s="5" t="n"/>
      <c r="D353" s="5" t="n"/>
      <c r="E353" s="4">
        <f>IF($D353="","",IFERROR(XLOOKUP($D353,Items!$A:$A,Items!$B:$B),"ERR"))</f>
        <v/>
      </c>
      <c r="F353" s="6" t="n"/>
      <c r="G353" s="6">
        <f>IF($D353="","",IFERROR(XLOOKUP($D353,Items!$A:$A,Items!$D:$D),0))</f>
        <v/>
      </c>
      <c r="H353" s="6">
        <f>IF($C353="Issue",IFERROR($F353*$G353,0),0)</f>
        <v/>
      </c>
      <c r="I353" s="6" t="n"/>
      <c r="J353" s="5" t="n"/>
      <c r="K353" s="4" t="n"/>
    </row>
    <row r="354" ht="20" customHeight="1">
      <c r="A354" s="3" t="n"/>
      <c r="B354" s="4" t="n"/>
      <c r="C354" s="5" t="n"/>
      <c r="D354" s="5" t="n"/>
      <c r="E354" s="4">
        <f>IF($D354="","",IFERROR(XLOOKUP($D354,Items!$A:$A,Items!$B:$B),"ERR"))</f>
        <v/>
      </c>
      <c r="F354" s="6" t="n"/>
      <c r="G354" s="6">
        <f>IF($D354="","",IFERROR(XLOOKUP($D354,Items!$A:$A,Items!$D:$D),0))</f>
        <v/>
      </c>
      <c r="H354" s="6">
        <f>IF($C354="Issue",IFERROR($F354*$G354,0),0)</f>
        <v/>
      </c>
      <c r="I354" s="6" t="n"/>
      <c r="J354" s="5" t="n"/>
      <c r="K354" s="4" t="n"/>
    </row>
    <row r="355" ht="20" customHeight="1">
      <c r="A355" s="3" t="n"/>
      <c r="B355" s="4" t="n"/>
      <c r="C355" s="5" t="n"/>
      <c r="D355" s="5" t="n"/>
      <c r="E355" s="4">
        <f>IF($D355="","",IFERROR(XLOOKUP($D355,Items!$A:$A,Items!$B:$B),"ERR"))</f>
        <v/>
      </c>
      <c r="F355" s="6" t="n"/>
      <c r="G355" s="6">
        <f>IF($D355="","",IFERROR(XLOOKUP($D355,Items!$A:$A,Items!$D:$D),0))</f>
        <v/>
      </c>
      <c r="H355" s="6">
        <f>IF($C355="Issue",IFERROR($F355*$G355,0),0)</f>
        <v/>
      </c>
      <c r="I355" s="6" t="n"/>
      <c r="J355" s="5" t="n"/>
      <c r="K355" s="4" t="n"/>
    </row>
    <row r="356" ht="20" customHeight="1">
      <c r="A356" s="3" t="n"/>
      <c r="B356" s="4" t="n"/>
      <c r="C356" s="5" t="n"/>
      <c r="D356" s="5" t="n"/>
      <c r="E356" s="4">
        <f>IF($D356="","",IFERROR(XLOOKUP($D356,Items!$A:$A,Items!$B:$B),"ERR"))</f>
        <v/>
      </c>
      <c r="F356" s="6" t="n"/>
      <c r="G356" s="6">
        <f>IF($D356="","",IFERROR(XLOOKUP($D356,Items!$A:$A,Items!$D:$D),0))</f>
        <v/>
      </c>
      <c r="H356" s="6">
        <f>IF($C356="Issue",IFERROR($F356*$G356,0),0)</f>
        <v/>
      </c>
      <c r="I356" s="6" t="n"/>
      <c r="J356" s="5" t="n"/>
      <c r="K356" s="4" t="n"/>
    </row>
    <row r="357" ht="20" customHeight="1">
      <c r="A357" s="3" t="n"/>
      <c r="B357" s="4" t="n"/>
      <c r="C357" s="5" t="n"/>
      <c r="D357" s="5" t="n"/>
      <c r="E357" s="4">
        <f>IF($D357="","",IFERROR(XLOOKUP($D357,Items!$A:$A,Items!$B:$B),"ERR"))</f>
        <v/>
      </c>
      <c r="F357" s="6" t="n"/>
      <c r="G357" s="6">
        <f>IF($D357="","",IFERROR(XLOOKUP($D357,Items!$A:$A,Items!$D:$D),0))</f>
        <v/>
      </c>
      <c r="H357" s="6">
        <f>IF($C357="Issue",IFERROR($F357*$G357,0),0)</f>
        <v/>
      </c>
      <c r="I357" s="6" t="n"/>
      <c r="J357" s="5" t="n"/>
      <c r="K357" s="4" t="n"/>
    </row>
    <row r="358" ht="20" customHeight="1">
      <c r="A358" s="3" t="n"/>
      <c r="B358" s="4" t="n"/>
      <c r="C358" s="5" t="n"/>
      <c r="D358" s="5" t="n"/>
      <c r="E358" s="4">
        <f>IF($D358="","",IFERROR(XLOOKUP($D358,Items!$A:$A,Items!$B:$B),"ERR"))</f>
        <v/>
      </c>
      <c r="F358" s="6" t="n"/>
      <c r="G358" s="6">
        <f>IF($D358="","",IFERROR(XLOOKUP($D358,Items!$A:$A,Items!$D:$D),0))</f>
        <v/>
      </c>
      <c r="H358" s="6">
        <f>IF($C358="Issue",IFERROR($F358*$G358,0),0)</f>
        <v/>
      </c>
      <c r="I358" s="6" t="n"/>
      <c r="J358" s="5" t="n"/>
      <c r="K358" s="4" t="n"/>
    </row>
    <row r="359" ht="20" customHeight="1">
      <c r="A359" s="3" t="n"/>
      <c r="B359" s="4" t="n"/>
      <c r="C359" s="5" t="n"/>
      <c r="D359" s="5" t="n"/>
      <c r="E359" s="4">
        <f>IF($D359="","",IFERROR(XLOOKUP($D359,Items!$A:$A,Items!$B:$B),"ERR"))</f>
        <v/>
      </c>
      <c r="F359" s="6" t="n"/>
      <c r="G359" s="6">
        <f>IF($D359="","",IFERROR(XLOOKUP($D359,Items!$A:$A,Items!$D:$D),0))</f>
        <v/>
      </c>
      <c r="H359" s="6">
        <f>IF($C359="Issue",IFERROR($F359*$G359,0),0)</f>
        <v/>
      </c>
      <c r="I359" s="6" t="n"/>
      <c r="J359" s="5" t="n"/>
      <c r="K359" s="4" t="n"/>
    </row>
    <row r="360" ht="20" customHeight="1">
      <c r="A360" s="3" t="n"/>
      <c r="B360" s="4" t="n"/>
      <c r="C360" s="5" t="n"/>
      <c r="D360" s="5" t="n"/>
      <c r="E360" s="4">
        <f>IF($D360="","",IFERROR(XLOOKUP($D360,Items!$A:$A,Items!$B:$B),"ERR"))</f>
        <v/>
      </c>
      <c r="F360" s="6" t="n"/>
      <c r="G360" s="6">
        <f>IF($D360="","",IFERROR(XLOOKUP($D360,Items!$A:$A,Items!$D:$D),0))</f>
        <v/>
      </c>
      <c r="H360" s="6">
        <f>IF($C360="Issue",IFERROR($F360*$G360,0),0)</f>
        <v/>
      </c>
      <c r="I360" s="6" t="n"/>
      <c r="J360" s="5" t="n"/>
      <c r="K360" s="4" t="n"/>
    </row>
    <row r="361" ht="20" customHeight="1">
      <c r="A361" s="3" t="n"/>
      <c r="B361" s="4" t="n"/>
      <c r="C361" s="5" t="n"/>
      <c r="D361" s="5" t="n"/>
      <c r="E361" s="4">
        <f>IF($D361="","",IFERROR(XLOOKUP($D361,Items!$A:$A,Items!$B:$B),"ERR"))</f>
        <v/>
      </c>
      <c r="F361" s="6" t="n"/>
      <c r="G361" s="6">
        <f>IF($D361="","",IFERROR(XLOOKUP($D361,Items!$A:$A,Items!$D:$D),0))</f>
        <v/>
      </c>
      <c r="H361" s="6">
        <f>IF($C361="Issue",IFERROR($F361*$G361,0),0)</f>
        <v/>
      </c>
      <c r="I361" s="6" t="n"/>
      <c r="J361" s="5" t="n"/>
      <c r="K361" s="4" t="n"/>
    </row>
    <row r="362" ht="20" customHeight="1">
      <c r="A362" s="3" t="n"/>
      <c r="B362" s="4" t="n"/>
      <c r="C362" s="5" t="n"/>
      <c r="D362" s="5" t="n"/>
      <c r="E362" s="4">
        <f>IF($D362="","",IFERROR(XLOOKUP($D362,Items!$A:$A,Items!$B:$B),"ERR"))</f>
        <v/>
      </c>
      <c r="F362" s="6" t="n"/>
      <c r="G362" s="6">
        <f>IF($D362="","",IFERROR(XLOOKUP($D362,Items!$A:$A,Items!$D:$D),0))</f>
        <v/>
      </c>
      <c r="H362" s="6">
        <f>IF($C362="Issue",IFERROR($F362*$G362,0),0)</f>
        <v/>
      </c>
      <c r="I362" s="6" t="n"/>
      <c r="J362" s="5" t="n"/>
      <c r="K362" s="4" t="n"/>
    </row>
    <row r="363" ht="20" customHeight="1">
      <c r="A363" s="3" t="n"/>
      <c r="B363" s="4" t="n"/>
      <c r="C363" s="5" t="n"/>
      <c r="D363" s="5" t="n"/>
      <c r="E363" s="4">
        <f>IF($D363="","",IFERROR(XLOOKUP($D363,Items!$A:$A,Items!$B:$B),"ERR"))</f>
        <v/>
      </c>
      <c r="F363" s="6" t="n"/>
      <c r="G363" s="6">
        <f>IF($D363="","",IFERROR(XLOOKUP($D363,Items!$A:$A,Items!$D:$D),0))</f>
        <v/>
      </c>
      <c r="H363" s="6">
        <f>IF($C363="Issue",IFERROR($F363*$G363,0),0)</f>
        <v/>
      </c>
      <c r="I363" s="6" t="n"/>
      <c r="J363" s="5" t="n"/>
      <c r="K363" s="4" t="n"/>
    </row>
    <row r="364" ht="20" customHeight="1">
      <c r="A364" s="3" t="n"/>
      <c r="B364" s="4" t="n"/>
      <c r="C364" s="5" t="n"/>
      <c r="D364" s="5" t="n"/>
      <c r="E364" s="4">
        <f>IF($D364="","",IFERROR(XLOOKUP($D364,Items!$A:$A,Items!$B:$B),"ERR"))</f>
        <v/>
      </c>
      <c r="F364" s="6" t="n"/>
      <c r="G364" s="6">
        <f>IF($D364="","",IFERROR(XLOOKUP($D364,Items!$A:$A,Items!$D:$D),0))</f>
        <v/>
      </c>
      <c r="H364" s="6">
        <f>IF($C364="Issue",IFERROR($F364*$G364,0),0)</f>
        <v/>
      </c>
      <c r="I364" s="6" t="n"/>
      <c r="J364" s="5" t="n"/>
      <c r="K364" s="4" t="n"/>
    </row>
    <row r="365" ht="20" customHeight="1">
      <c r="A365" s="3" t="n"/>
      <c r="B365" s="4" t="n"/>
      <c r="C365" s="5" t="n"/>
      <c r="D365" s="5" t="n"/>
      <c r="E365" s="4">
        <f>IF($D365="","",IFERROR(XLOOKUP($D365,Items!$A:$A,Items!$B:$B),"ERR"))</f>
        <v/>
      </c>
      <c r="F365" s="6" t="n"/>
      <c r="G365" s="6">
        <f>IF($D365="","",IFERROR(XLOOKUP($D365,Items!$A:$A,Items!$D:$D),0))</f>
        <v/>
      </c>
      <c r="H365" s="6">
        <f>IF($C365="Issue",IFERROR($F365*$G365,0),0)</f>
        <v/>
      </c>
      <c r="I365" s="6" t="n"/>
      <c r="J365" s="5" t="n"/>
      <c r="K365" s="4" t="n"/>
    </row>
    <row r="366" ht="20" customHeight="1">
      <c r="A366" s="3" t="n"/>
      <c r="B366" s="4" t="n"/>
      <c r="C366" s="5" t="n"/>
      <c r="D366" s="5" t="n"/>
      <c r="E366" s="4">
        <f>IF($D366="","",IFERROR(XLOOKUP($D366,Items!$A:$A,Items!$B:$B),"ERR"))</f>
        <v/>
      </c>
      <c r="F366" s="6" t="n"/>
      <c r="G366" s="6">
        <f>IF($D366="","",IFERROR(XLOOKUP($D366,Items!$A:$A,Items!$D:$D),0))</f>
        <v/>
      </c>
      <c r="H366" s="6">
        <f>IF($C366="Issue",IFERROR($F366*$G366,0),0)</f>
        <v/>
      </c>
      <c r="I366" s="6" t="n"/>
      <c r="J366" s="5" t="n"/>
      <c r="K366" s="4" t="n"/>
    </row>
    <row r="367" ht="20" customHeight="1">
      <c r="A367" s="3" t="n"/>
      <c r="B367" s="4" t="n"/>
      <c r="C367" s="5" t="n"/>
      <c r="D367" s="5" t="n"/>
      <c r="E367" s="4">
        <f>IF($D367="","",IFERROR(XLOOKUP($D367,Items!$A:$A,Items!$B:$B),"ERR"))</f>
        <v/>
      </c>
      <c r="F367" s="6" t="n"/>
      <c r="G367" s="6">
        <f>IF($D367="","",IFERROR(XLOOKUP($D367,Items!$A:$A,Items!$D:$D),0))</f>
        <v/>
      </c>
      <c r="H367" s="6">
        <f>IF($C367="Issue",IFERROR($F367*$G367,0),0)</f>
        <v/>
      </c>
      <c r="I367" s="6" t="n"/>
      <c r="J367" s="5" t="n"/>
      <c r="K367" s="4" t="n"/>
    </row>
    <row r="368" ht="20" customHeight="1">
      <c r="A368" s="3" t="n"/>
      <c r="B368" s="4" t="n"/>
      <c r="C368" s="5" t="n"/>
      <c r="D368" s="5" t="n"/>
      <c r="E368" s="4">
        <f>IF($D368="","",IFERROR(XLOOKUP($D368,Items!$A:$A,Items!$B:$B),"ERR"))</f>
        <v/>
      </c>
      <c r="F368" s="6" t="n"/>
      <c r="G368" s="6">
        <f>IF($D368="","",IFERROR(XLOOKUP($D368,Items!$A:$A,Items!$D:$D),0))</f>
        <v/>
      </c>
      <c r="H368" s="6">
        <f>IF($C368="Issue",IFERROR($F368*$G368,0),0)</f>
        <v/>
      </c>
      <c r="I368" s="6" t="n"/>
      <c r="J368" s="5" t="n"/>
      <c r="K368" s="4" t="n"/>
    </row>
    <row r="369" ht="20" customHeight="1">
      <c r="A369" s="3" t="n"/>
      <c r="B369" s="4" t="n"/>
      <c r="C369" s="5" t="n"/>
      <c r="D369" s="5" t="n"/>
      <c r="E369" s="4">
        <f>IF($D369="","",IFERROR(XLOOKUP($D369,Items!$A:$A,Items!$B:$B),"ERR"))</f>
        <v/>
      </c>
      <c r="F369" s="6" t="n"/>
      <c r="G369" s="6">
        <f>IF($D369="","",IFERROR(XLOOKUP($D369,Items!$A:$A,Items!$D:$D),0))</f>
        <v/>
      </c>
      <c r="H369" s="6">
        <f>IF($C369="Issue",IFERROR($F369*$G369,0),0)</f>
        <v/>
      </c>
      <c r="I369" s="6" t="n"/>
      <c r="J369" s="5" t="n"/>
      <c r="K369" s="4" t="n"/>
    </row>
    <row r="370" ht="20" customHeight="1">
      <c r="A370" s="3" t="n"/>
      <c r="B370" s="4" t="n"/>
      <c r="C370" s="5" t="n"/>
      <c r="D370" s="5" t="n"/>
      <c r="E370" s="4">
        <f>IF($D370="","",IFERROR(XLOOKUP($D370,Items!$A:$A,Items!$B:$B),"ERR"))</f>
        <v/>
      </c>
      <c r="F370" s="6" t="n"/>
      <c r="G370" s="6">
        <f>IF($D370="","",IFERROR(XLOOKUP($D370,Items!$A:$A,Items!$D:$D),0))</f>
        <v/>
      </c>
      <c r="H370" s="6">
        <f>IF($C370="Issue",IFERROR($F370*$G370,0),0)</f>
        <v/>
      </c>
      <c r="I370" s="6" t="n"/>
      <c r="J370" s="5" t="n"/>
      <c r="K370" s="4" t="n"/>
    </row>
    <row r="371" ht="20" customHeight="1">
      <c r="A371" s="3" t="n"/>
      <c r="B371" s="4" t="n"/>
      <c r="C371" s="5" t="n"/>
      <c r="D371" s="5" t="n"/>
      <c r="E371" s="4">
        <f>IF($D371="","",IFERROR(XLOOKUP($D371,Items!$A:$A,Items!$B:$B),"ERR"))</f>
        <v/>
      </c>
      <c r="F371" s="6" t="n"/>
      <c r="G371" s="6">
        <f>IF($D371="","",IFERROR(XLOOKUP($D371,Items!$A:$A,Items!$D:$D),0))</f>
        <v/>
      </c>
      <c r="H371" s="6">
        <f>IF($C371="Issue",IFERROR($F371*$G371,0),0)</f>
        <v/>
      </c>
      <c r="I371" s="6" t="n"/>
      <c r="J371" s="5" t="n"/>
      <c r="K371" s="4" t="n"/>
    </row>
    <row r="372" ht="20" customHeight="1">
      <c r="A372" s="3" t="n"/>
      <c r="B372" s="4" t="n"/>
      <c r="C372" s="5" t="n"/>
      <c r="D372" s="5" t="n"/>
      <c r="E372" s="4">
        <f>IF($D372="","",IFERROR(XLOOKUP($D372,Items!$A:$A,Items!$B:$B),"ERR"))</f>
        <v/>
      </c>
      <c r="F372" s="6" t="n"/>
      <c r="G372" s="6">
        <f>IF($D372="","",IFERROR(XLOOKUP($D372,Items!$A:$A,Items!$D:$D),0))</f>
        <v/>
      </c>
      <c r="H372" s="6">
        <f>IF($C372="Issue",IFERROR($F372*$G372,0),0)</f>
        <v/>
      </c>
      <c r="I372" s="6" t="n"/>
      <c r="J372" s="5" t="n"/>
      <c r="K372" s="4" t="n"/>
    </row>
    <row r="373" ht="20" customHeight="1">
      <c r="A373" s="3" t="n"/>
      <c r="B373" s="4" t="n"/>
      <c r="C373" s="5" t="n"/>
      <c r="D373" s="5" t="n"/>
      <c r="E373" s="4">
        <f>IF($D373="","",IFERROR(XLOOKUP($D373,Items!$A:$A,Items!$B:$B),"ERR"))</f>
        <v/>
      </c>
      <c r="F373" s="6" t="n"/>
      <c r="G373" s="6">
        <f>IF($D373="","",IFERROR(XLOOKUP($D373,Items!$A:$A,Items!$D:$D),0))</f>
        <v/>
      </c>
      <c r="H373" s="6">
        <f>IF($C373="Issue",IFERROR($F373*$G373,0),0)</f>
        <v/>
      </c>
      <c r="I373" s="6" t="n"/>
      <c r="J373" s="5" t="n"/>
      <c r="K373" s="4" t="n"/>
    </row>
    <row r="374" ht="20" customHeight="1">
      <c r="A374" s="3" t="n"/>
      <c r="B374" s="4" t="n"/>
      <c r="C374" s="5" t="n"/>
      <c r="D374" s="5" t="n"/>
      <c r="E374" s="4">
        <f>IF($D374="","",IFERROR(XLOOKUP($D374,Items!$A:$A,Items!$B:$B),"ERR"))</f>
        <v/>
      </c>
      <c r="F374" s="6" t="n"/>
      <c r="G374" s="6">
        <f>IF($D374="","",IFERROR(XLOOKUP($D374,Items!$A:$A,Items!$D:$D),0))</f>
        <v/>
      </c>
      <c r="H374" s="6">
        <f>IF($C374="Issue",IFERROR($F374*$G374,0),0)</f>
        <v/>
      </c>
      <c r="I374" s="6" t="n"/>
      <c r="J374" s="5" t="n"/>
      <c r="K374" s="4" t="n"/>
    </row>
    <row r="375" ht="20" customHeight="1">
      <c r="A375" s="3" t="n"/>
      <c r="B375" s="4" t="n"/>
      <c r="C375" s="5" t="n"/>
      <c r="D375" s="5" t="n"/>
      <c r="E375" s="4">
        <f>IF($D375="","",IFERROR(XLOOKUP($D375,Items!$A:$A,Items!$B:$B),"ERR"))</f>
        <v/>
      </c>
      <c r="F375" s="6" t="n"/>
      <c r="G375" s="6">
        <f>IF($D375="","",IFERROR(XLOOKUP($D375,Items!$A:$A,Items!$D:$D),0))</f>
        <v/>
      </c>
      <c r="H375" s="6">
        <f>IF($C375="Issue",IFERROR($F375*$G375,0),0)</f>
        <v/>
      </c>
      <c r="I375" s="6" t="n"/>
      <c r="J375" s="5" t="n"/>
      <c r="K375" s="4" t="n"/>
    </row>
    <row r="376" ht="20" customHeight="1">
      <c r="A376" s="3" t="n"/>
      <c r="B376" s="4" t="n"/>
      <c r="C376" s="5" t="n"/>
      <c r="D376" s="5" t="n"/>
      <c r="E376" s="4">
        <f>IF($D376="","",IFERROR(XLOOKUP($D376,Items!$A:$A,Items!$B:$B),"ERR"))</f>
        <v/>
      </c>
      <c r="F376" s="6" t="n"/>
      <c r="G376" s="6">
        <f>IF($D376="","",IFERROR(XLOOKUP($D376,Items!$A:$A,Items!$D:$D),0))</f>
        <v/>
      </c>
      <c r="H376" s="6">
        <f>IF($C376="Issue",IFERROR($F376*$G376,0),0)</f>
        <v/>
      </c>
      <c r="I376" s="6" t="n"/>
      <c r="J376" s="5" t="n"/>
      <c r="K376" s="4" t="n"/>
    </row>
    <row r="377" ht="20" customHeight="1">
      <c r="A377" s="3" t="n"/>
      <c r="B377" s="4" t="n"/>
      <c r="C377" s="5" t="n"/>
      <c r="D377" s="5" t="n"/>
      <c r="E377" s="4">
        <f>IF($D377="","",IFERROR(XLOOKUP($D377,Items!$A:$A,Items!$B:$B),"ERR"))</f>
        <v/>
      </c>
      <c r="F377" s="6" t="n"/>
      <c r="G377" s="6">
        <f>IF($D377="","",IFERROR(XLOOKUP($D377,Items!$A:$A,Items!$D:$D),0))</f>
        <v/>
      </c>
      <c r="H377" s="6">
        <f>IF($C377="Issue",IFERROR($F377*$G377,0),0)</f>
        <v/>
      </c>
      <c r="I377" s="6" t="n"/>
      <c r="J377" s="5" t="n"/>
      <c r="K377" s="4" t="n"/>
    </row>
    <row r="378" ht="20" customHeight="1">
      <c r="A378" s="3" t="n"/>
      <c r="B378" s="4" t="n"/>
      <c r="C378" s="5" t="n"/>
      <c r="D378" s="5" t="n"/>
      <c r="E378" s="4">
        <f>IF($D378="","",IFERROR(XLOOKUP($D378,Items!$A:$A,Items!$B:$B),"ERR"))</f>
        <v/>
      </c>
      <c r="F378" s="6" t="n"/>
      <c r="G378" s="6">
        <f>IF($D378="","",IFERROR(XLOOKUP($D378,Items!$A:$A,Items!$D:$D),0))</f>
        <v/>
      </c>
      <c r="H378" s="6">
        <f>IF($C378="Issue",IFERROR($F378*$G378,0),0)</f>
        <v/>
      </c>
      <c r="I378" s="6" t="n"/>
      <c r="J378" s="5" t="n"/>
      <c r="K378" s="4" t="n"/>
    </row>
    <row r="379" ht="20" customHeight="1">
      <c r="A379" s="3" t="n"/>
      <c r="B379" s="4" t="n"/>
      <c r="C379" s="5" t="n"/>
      <c r="D379" s="5" t="n"/>
      <c r="E379" s="4">
        <f>IF($D379="","",IFERROR(XLOOKUP($D379,Items!$A:$A,Items!$B:$B),"ERR"))</f>
        <v/>
      </c>
      <c r="F379" s="6" t="n"/>
      <c r="G379" s="6">
        <f>IF($D379="","",IFERROR(XLOOKUP($D379,Items!$A:$A,Items!$D:$D),0))</f>
        <v/>
      </c>
      <c r="H379" s="6">
        <f>IF($C379="Issue",IFERROR($F379*$G379,0),0)</f>
        <v/>
      </c>
      <c r="I379" s="6" t="n"/>
      <c r="J379" s="5" t="n"/>
      <c r="K379" s="4" t="n"/>
    </row>
    <row r="380" ht="20" customHeight="1">
      <c r="A380" s="3" t="n"/>
      <c r="B380" s="4" t="n"/>
      <c r="C380" s="5" t="n"/>
      <c r="D380" s="5" t="n"/>
      <c r="E380" s="4">
        <f>IF($D380="","",IFERROR(XLOOKUP($D380,Items!$A:$A,Items!$B:$B),"ERR"))</f>
        <v/>
      </c>
      <c r="F380" s="6" t="n"/>
      <c r="G380" s="6">
        <f>IF($D380="","",IFERROR(XLOOKUP($D380,Items!$A:$A,Items!$D:$D),0))</f>
        <v/>
      </c>
      <c r="H380" s="6">
        <f>IF($C380="Issue",IFERROR($F380*$G380,0),0)</f>
        <v/>
      </c>
      <c r="I380" s="6" t="n"/>
      <c r="J380" s="5" t="n"/>
      <c r="K380" s="4" t="n"/>
    </row>
    <row r="381" ht="20" customHeight="1">
      <c r="A381" s="3" t="n"/>
      <c r="B381" s="4" t="n"/>
      <c r="C381" s="5" t="n"/>
      <c r="D381" s="5" t="n"/>
      <c r="E381" s="4">
        <f>IF($D381="","",IFERROR(XLOOKUP($D381,Items!$A:$A,Items!$B:$B),"ERR"))</f>
        <v/>
      </c>
      <c r="F381" s="6" t="n"/>
      <c r="G381" s="6">
        <f>IF($D381="","",IFERROR(XLOOKUP($D381,Items!$A:$A,Items!$D:$D),0))</f>
        <v/>
      </c>
      <c r="H381" s="6">
        <f>IF($C381="Issue",IFERROR($F381*$G381,0),0)</f>
        <v/>
      </c>
      <c r="I381" s="6" t="n"/>
      <c r="J381" s="5" t="n"/>
      <c r="K381" s="4" t="n"/>
    </row>
    <row r="382" ht="20" customHeight="1">
      <c r="A382" s="3" t="n"/>
      <c r="B382" s="4" t="n"/>
      <c r="C382" s="5" t="n"/>
      <c r="D382" s="5" t="n"/>
      <c r="E382" s="4">
        <f>IF($D382="","",IFERROR(XLOOKUP($D382,Items!$A:$A,Items!$B:$B),"ERR"))</f>
        <v/>
      </c>
      <c r="F382" s="6" t="n"/>
      <c r="G382" s="6">
        <f>IF($D382="","",IFERROR(XLOOKUP($D382,Items!$A:$A,Items!$D:$D),0))</f>
        <v/>
      </c>
      <c r="H382" s="6">
        <f>IF($C382="Issue",IFERROR($F382*$G382,0),0)</f>
        <v/>
      </c>
      <c r="I382" s="6" t="n"/>
      <c r="J382" s="5" t="n"/>
      <c r="K382" s="4" t="n"/>
    </row>
    <row r="383" ht="20" customHeight="1">
      <c r="A383" s="3" t="n"/>
      <c r="B383" s="4" t="n"/>
      <c r="C383" s="5" t="n"/>
      <c r="D383" s="5" t="n"/>
      <c r="E383" s="4">
        <f>IF($D383="","",IFERROR(XLOOKUP($D383,Items!$A:$A,Items!$B:$B),"ERR"))</f>
        <v/>
      </c>
      <c r="F383" s="6" t="n"/>
      <c r="G383" s="6">
        <f>IF($D383="","",IFERROR(XLOOKUP($D383,Items!$A:$A,Items!$D:$D),0))</f>
        <v/>
      </c>
      <c r="H383" s="6">
        <f>IF($C383="Issue",IFERROR($F383*$G383,0),0)</f>
        <v/>
      </c>
      <c r="I383" s="6" t="n"/>
      <c r="J383" s="5" t="n"/>
      <c r="K383" s="4" t="n"/>
    </row>
    <row r="384" ht="20" customHeight="1">
      <c r="A384" s="3" t="n"/>
      <c r="B384" s="4" t="n"/>
      <c r="C384" s="5" t="n"/>
      <c r="D384" s="5" t="n"/>
      <c r="E384" s="4">
        <f>IF($D384="","",IFERROR(XLOOKUP($D384,Items!$A:$A,Items!$B:$B),"ERR"))</f>
        <v/>
      </c>
      <c r="F384" s="6" t="n"/>
      <c r="G384" s="6">
        <f>IF($D384="","",IFERROR(XLOOKUP($D384,Items!$A:$A,Items!$D:$D),0))</f>
        <v/>
      </c>
      <c r="H384" s="6">
        <f>IF($C384="Issue",IFERROR($F384*$G384,0),0)</f>
        <v/>
      </c>
      <c r="I384" s="6" t="n"/>
      <c r="J384" s="5" t="n"/>
      <c r="K384" s="4" t="n"/>
    </row>
    <row r="385" ht="20" customHeight="1">
      <c r="A385" s="3" t="n"/>
      <c r="B385" s="4" t="n"/>
      <c r="C385" s="5" t="n"/>
      <c r="D385" s="5" t="n"/>
      <c r="E385" s="4">
        <f>IF($D385="","",IFERROR(XLOOKUP($D385,Items!$A:$A,Items!$B:$B),"ERR"))</f>
        <v/>
      </c>
      <c r="F385" s="6" t="n"/>
      <c r="G385" s="6">
        <f>IF($D385="","",IFERROR(XLOOKUP($D385,Items!$A:$A,Items!$D:$D),0))</f>
        <v/>
      </c>
      <c r="H385" s="6">
        <f>IF($C385="Issue",IFERROR($F385*$G385,0),0)</f>
        <v/>
      </c>
      <c r="I385" s="6" t="n"/>
      <c r="J385" s="5" t="n"/>
      <c r="K385" s="4" t="n"/>
    </row>
    <row r="386" ht="20" customHeight="1">
      <c r="A386" s="3" t="n"/>
      <c r="B386" s="4" t="n"/>
      <c r="C386" s="5" t="n"/>
      <c r="D386" s="5" t="n"/>
      <c r="E386" s="4">
        <f>IF($D386="","",IFERROR(XLOOKUP($D386,Items!$A:$A,Items!$B:$B),"ERR"))</f>
        <v/>
      </c>
      <c r="F386" s="6" t="n"/>
      <c r="G386" s="6">
        <f>IF($D386="","",IFERROR(XLOOKUP($D386,Items!$A:$A,Items!$D:$D),0))</f>
        <v/>
      </c>
      <c r="H386" s="6">
        <f>IF($C386="Issue",IFERROR($F386*$G386,0),0)</f>
        <v/>
      </c>
      <c r="I386" s="6" t="n"/>
      <c r="J386" s="5" t="n"/>
      <c r="K386" s="4" t="n"/>
    </row>
    <row r="387" ht="20" customHeight="1">
      <c r="A387" s="3" t="n"/>
      <c r="B387" s="4" t="n"/>
      <c r="C387" s="5" t="n"/>
      <c r="D387" s="5" t="n"/>
      <c r="E387" s="4">
        <f>IF($D387="","",IFERROR(XLOOKUP($D387,Items!$A:$A,Items!$B:$B),"ERR"))</f>
        <v/>
      </c>
      <c r="F387" s="6" t="n"/>
      <c r="G387" s="6">
        <f>IF($D387="","",IFERROR(XLOOKUP($D387,Items!$A:$A,Items!$D:$D),0))</f>
        <v/>
      </c>
      <c r="H387" s="6">
        <f>IF($C387="Issue",IFERROR($F387*$G387,0),0)</f>
        <v/>
      </c>
      <c r="I387" s="6" t="n"/>
      <c r="J387" s="5" t="n"/>
      <c r="K387" s="4" t="n"/>
    </row>
    <row r="388" ht="20" customHeight="1">
      <c r="A388" s="3" t="n"/>
      <c r="B388" s="4" t="n"/>
      <c r="C388" s="5" t="n"/>
      <c r="D388" s="5" t="n"/>
      <c r="E388" s="4">
        <f>IF($D388="","",IFERROR(XLOOKUP($D388,Items!$A:$A,Items!$B:$B),"ERR"))</f>
        <v/>
      </c>
      <c r="F388" s="6" t="n"/>
      <c r="G388" s="6">
        <f>IF($D388="","",IFERROR(XLOOKUP($D388,Items!$A:$A,Items!$D:$D),0))</f>
        <v/>
      </c>
      <c r="H388" s="6">
        <f>IF($C388="Issue",IFERROR($F388*$G388,0),0)</f>
        <v/>
      </c>
      <c r="I388" s="6" t="n"/>
      <c r="J388" s="5" t="n"/>
      <c r="K388" s="4" t="n"/>
    </row>
    <row r="389" ht="20" customHeight="1">
      <c r="A389" s="3" t="n"/>
      <c r="B389" s="4" t="n"/>
      <c r="C389" s="5" t="n"/>
      <c r="D389" s="5" t="n"/>
      <c r="E389" s="4">
        <f>IF($D389="","",IFERROR(XLOOKUP($D389,Items!$A:$A,Items!$B:$B),"ERR"))</f>
        <v/>
      </c>
      <c r="F389" s="6" t="n"/>
      <c r="G389" s="6">
        <f>IF($D389="","",IFERROR(XLOOKUP($D389,Items!$A:$A,Items!$D:$D),0))</f>
        <v/>
      </c>
      <c r="H389" s="6">
        <f>IF($C389="Issue",IFERROR($F389*$G389,0),0)</f>
        <v/>
      </c>
      <c r="I389" s="6" t="n"/>
      <c r="J389" s="5" t="n"/>
      <c r="K389" s="4" t="n"/>
    </row>
    <row r="390" ht="20" customHeight="1">
      <c r="A390" s="3" t="n"/>
      <c r="B390" s="4" t="n"/>
      <c r="C390" s="5" t="n"/>
      <c r="D390" s="5" t="n"/>
      <c r="E390" s="4">
        <f>IF($D390="","",IFERROR(XLOOKUP($D390,Items!$A:$A,Items!$B:$B),"ERR"))</f>
        <v/>
      </c>
      <c r="F390" s="6" t="n"/>
      <c r="G390" s="6">
        <f>IF($D390="","",IFERROR(XLOOKUP($D390,Items!$A:$A,Items!$D:$D),0))</f>
        <v/>
      </c>
      <c r="H390" s="6">
        <f>IF($C390="Issue",IFERROR($F390*$G390,0),0)</f>
        <v/>
      </c>
      <c r="I390" s="6" t="n"/>
      <c r="J390" s="5" t="n"/>
      <c r="K390" s="4" t="n"/>
    </row>
    <row r="391" ht="20" customHeight="1">
      <c r="A391" s="3" t="n"/>
      <c r="B391" s="4" t="n"/>
      <c r="C391" s="5" t="n"/>
      <c r="D391" s="5" t="n"/>
      <c r="E391" s="4">
        <f>IF($D391="","",IFERROR(XLOOKUP($D391,Items!$A:$A,Items!$B:$B),"ERR"))</f>
        <v/>
      </c>
      <c r="F391" s="6" t="n"/>
      <c r="G391" s="6">
        <f>IF($D391="","",IFERROR(XLOOKUP($D391,Items!$A:$A,Items!$D:$D),0))</f>
        <v/>
      </c>
      <c r="H391" s="6">
        <f>IF($C391="Issue",IFERROR($F391*$G391,0),0)</f>
        <v/>
      </c>
      <c r="I391" s="6" t="n"/>
      <c r="J391" s="5" t="n"/>
      <c r="K391" s="4" t="n"/>
    </row>
    <row r="392" ht="20" customHeight="1">
      <c r="A392" s="3" t="n"/>
      <c r="B392" s="4" t="n"/>
      <c r="C392" s="5" t="n"/>
      <c r="D392" s="5" t="n"/>
      <c r="E392" s="4">
        <f>IF($D392="","",IFERROR(XLOOKUP($D392,Items!$A:$A,Items!$B:$B),"ERR"))</f>
        <v/>
      </c>
      <c r="F392" s="6" t="n"/>
      <c r="G392" s="6">
        <f>IF($D392="","",IFERROR(XLOOKUP($D392,Items!$A:$A,Items!$D:$D),0))</f>
        <v/>
      </c>
      <c r="H392" s="6">
        <f>IF($C392="Issue",IFERROR($F392*$G392,0),0)</f>
        <v/>
      </c>
      <c r="I392" s="6" t="n"/>
      <c r="J392" s="5" t="n"/>
      <c r="K392" s="4" t="n"/>
    </row>
    <row r="393" ht="20" customHeight="1">
      <c r="A393" s="3" t="n"/>
      <c r="B393" s="4" t="n"/>
      <c r="C393" s="5" t="n"/>
      <c r="D393" s="5" t="n"/>
      <c r="E393" s="4">
        <f>IF($D393="","",IFERROR(XLOOKUP($D393,Items!$A:$A,Items!$B:$B),"ERR"))</f>
        <v/>
      </c>
      <c r="F393" s="6" t="n"/>
      <c r="G393" s="6">
        <f>IF($D393="","",IFERROR(XLOOKUP($D393,Items!$A:$A,Items!$D:$D),0))</f>
        <v/>
      </c>
      <c r="H393" s="6">
        <f>IF($C393="Issue",IFERROR($F393*$G393,0),0)</f>
        <v/>
      </c>
      <c r="I393" s="6" t="n"/>
      <c r="J393" s="5" t="n"/>
      <c r="K393" s="4" t="n"/>
    </row>
    <row r="394" ht="20" customHeight="1">
      <c r="A394" s="3" t="n"/>
      <c r="B394" s="4" t="n"/>
      <c r="C394" s="5" t="n"/>
      <c r="D394" s="5" t="n"/>
      <c r="E394" s="4">
        <f>IF($D394="","",IFERROR(XLOOKUP($D394,Items!$A:$A,Items!$B:$B),"ERR"))</f>
        <v/>
      </c>
      <c r="F394" s="6" t="n"/>
      <c r="G394" s="6">
        <f>IF($D394="","",IFERROR(XLOOKUP($D394,Items!$A:$A,Items!$D:$D),0))</f>
        <v/>
      </c>
      <c r="H394" s="6">
        <f>IF($C394="Issue",IFERROR($F394*$G394,0),0)</f>
        <v/>
      </c>
      <c r="I394" s="6" t="n"/>
      <c r="J394" s="5" t="n"/>
      <c r="K394" s="4" t="n"/>
    </row>
    <row r="395" ht="20" customHeight="1">
      <c r="A395" s="3" t="n"/>
      <c r="B395" s="4" t="n"/>
      <c r="C395" s="5" t="n"/>
      <c r="D395" s="5" t="n"/>
      <c r="E395" s="4">
        <f>IF($D395="","",IFERROR(XLOOKUP($D395,Items!$A:$A,Items!$B:$B),"ERR"))</f>
        <v/>
      </c>
      <c r="F395" s="6" t="n"/>
      <c r="G395" s="6">
        <f>IF($D395="","",IFERROR(XLOOKUP($D395,Items!$A:$A,Items!$D:$D),0))</f>
        <v/>
      </c>
      <c r="H395" s="6">
        <f>IF($C395="Issue",IFERROR($F395*$G395,0),0)</f>
        <v/>
      </c>
      <c r="I395" s="6" t="n"/>
      <c r="J395" s="5" t="n"/>
      <c r="K395" s="4" t="n"/>
    </row>
    <row r="396" ht="20" customHeight="1">
      <c r="A396" s="3" t="n"/>
      <c r="B396" s="4" t="n"/>
      <c r="C396" s="5" t="n"/>
      <c r="D396" s="5" t="n"/>
      <c r="E396" s="4">
        <f>IF($D396="","",IFERROR(XLOOKUP($D396,Items!$A:$A,Items!$B:$B),"ERR"))</f>
        <v/>
      </c>
      <c r="F396" s="6" t="n"/>
      <c r="G396" s="6">
        <f>IF($D396="","",IFERROR(XLOOKUP($D396,Items!$A:$A,Items!$D:$D),0))</f>
        <v/>
      </c>
      <c r="H396" s="6">
        <f>IF($C396="Issue",IFERROR($F396*$G396,0),0)</f>
        <v/>
      </c>
      <c r="I396" s="6" t="n"/>
      <c r="J396" s="5" t="n"/>
      <c r="K396" s="4" t="n"/>
    </row>
    <row r="397" ht="20" customHeight="1">
      <c r="A397" s="3" t="n"/>
      <c r="B397" s="4" t="n"/>
      <c r="C397" s="5" t="n"/>
      <c r="D397" s="5" t="n"/>
      <c r="E397" s="4">
        <f>IF($D397="","",IFERROR(XLOOKUP($D397,Items!$A:$A,Items!$B:$B),"ERR"))</f>
        <v/>
      </c>
      <c r="F397" s="6" t="n"/>
      <c r="G397" s="6">
        <f>IF($D397="","",IFERROR(XLOOKUP($D397,Items!$A:$A,Items!$D:$D),0))</f>
        <v/>
      </c>
      <c r="H397" s="6">
        <f>IF($C397="Issue",IFERROR($F397*$G397,0),0)</f>
        <v/>
      </c>
      <c r="I397" s="6" t="n"/>
      <c r="J397" s="5" t="n"/>
      <c r="K397" s="4" t="n"/>
    </row>
    <row r="398" ht="20" customHeight="1">
      <c r="A398" s="3" t="n"/>
      <c r="B398" s="4" t="n"/>
      <c r="C398" s="5" t="n"/>
      <c r="D398" s="5" t="n"/>
      <c r="E398" s="4">
        <f>IF($D398="","",IFERROR(XLOOKUP($D398,Items!$A:$A,Items!$B:$B),"ERR"))</f>
        <v/>
      </c>
      <c r="F398" s="6" t="n"/>
      <c r="G398" s="6">
        <f>IF($D398="","",IFERROR(XLOOKUP($D398,Items!$A:$A,Items!$D:$D),0))</f>
        <v/>
      </c>
      <c r="H398" s="6">
        <f>IF($C398="Issue",IFERROR($F398*$G398,0),0)</f>
        <v/>
      </c>
      <c r="I398" s="6" t="n"/>
      <c r="J398" s="5" t="n"/>
      <c r="K398" s="4" t="n"/>
    </row>
    <row r="399" ht="20" customHeight="1">
      <c r="A399" s="3" t="n"/>
      <c r="B399" s="4" t="n"/>
      <c r="C399" s="5" t="n"/>
      <c r="D399" s="5" t="n"/>
      <c r="E399" s="4">
        <f>IF($D399="","",IFERROR(XLOOKUP($D399,Items!$A:$A,Items!$B:$B),"ERR"))</f>
        <v/>
      </c>
      <c r="F399" s="6" t="n"/>
      <c r="G399" s="6">
        <f>IF($D399="","",IFERROR(XLOOKUP($D399,Items!$A:$A,Items!$D:$D),0))</f>
        <v/>
      </c>
      <c r="H399" s="6">
        <f>IF($C399="Issue",IFERROR($F399*$G399,0),0)</f>
        <v/>
      </c>
      <c r="I399" s="6" t="n"/>
      <c r="J399" s="5" t="n"/>
      <c r="K399" s="4" t="n"/>
    </row>
    <row r="400" ht="20" customHeight="1">
      <c r="A400" s="3" t="n"/>
      <c r="B400" s="4" t="n"/>
      <c r="C400" s="5" t="n"/>
      <c r="D400" s="5" t="n"/>
      <c r="E400" s="4">
        <f>IF($D400="","",IFERROR(XLOOKUP($D400,Items!$A:$A,Items!$B:$B),"ERR"))</f>
        <v/>
      </c>
      <c r="F400" s="6" t="n"/>
      <c r="G400" s="6">
        <f>IF($D400="","",IFERROR(XLOOKUP($D400,Items!$A:$A,Items!$D:$D),0))</f>
        <v/>
      </c>
      <c r="H400" s="6">
        <f>IF($C400="Issue",IFERROR($F400*$G400,0),0)</f>
        <v/>
      </c>
      <c r="I400" s="6" t="n"/>
      <c r="J400" s="5" t="n"/>
      <c r="K400" s="4" t="n"/>
    </row>
    <row r="401" ht="20" customHeight="1">
      <c r="A401" s="3" t="n"/>
      <c r="B401" s="4" t="n"/>
      <c r="C401" s="5" t="n"/>
      <c r="D401" s="5" t="n"/>
      <c r="E401" s="4">
        <f>IF($D401="","",IFERROR(XLOOKUP($D401,Items!$A:$A,Items!$B:$B),"ERR"))</f>
        <v/>
      </c>
      <c r="F401" s="6" t="n"/>
      <c r="G401" s="6">
        <f>IF($D401="","",IFERROR(XLOOKUP($D401,Items!$A:$A,Items!$D:$D),0))</f>
        <v/>
      </c>
      <c r="H401" s="6">
        <f>IF($C401="Issue",IFERROR($F401*$G401,0),0)</f>
        <v/>
      </c>
      <c r="I401" s="6" t="n"/>
      <c r="J401" s="5" t="n"/>
      <c r="K401" s="4" t="n"/>
    </row>
    <row r="402" ht="20" customHeight="1">
      <c r="A402" s="3" t="n"/>
      <c r="B402" s="4" t="n"/>
      <c r="C402" s="5" t="n"/>
      <c r="D402" s="5" t="n"/>
      <c r="E402" s="4">
        <f>IF($D402="","",IFERROR(XLOOKUP($D402,Items!$A:$A,Items!$B:$B),"ERR"))</f>
        <v/>
      </c>
      <c r="F402" s="6" t="n"/>
      <c r="G402" s="6">
        <f>IF($D402="","",IFERROR(XLOOKUP($D402,Items!$A:$A,Items!$D:$D),0))</f>
        <v/>
      </c>
      <c r="H402" s="6">
        <f>IF($C402="Issue",IFERROR($F402*$G402,0),0)</f>
        <v/>
      </c>
      <c r="I402" s="6" t="n"/>
      <c r="J402" s="5" t="n"/>
      <c r="K402" s="4" t="n"/>
    </row>
    <row r="403" ht="20" customHeight="1">
      <c r="A403" s="3" t="n"/>
      <c r="B403" s="4" t="n"/>
      <c r="C403" s="5" t="n"/>
      <c r="D403" s="5" t="n"/>
      <c r="E403" s="4">
        <f>IF($D403="","",IFERROR(XLOOKUP($D403,Items!$A:$A,Items!$B:$B),"ERR"))</f>
        <v/>
      </c>
      <c r="F403" s="6" t="n"/>
      <c r="G403" s="6">
        <f>IF($D403="","",IFERROR(XLOOKUP($D403,Items!$A:$A,Items!$D:$D),0))</f>
        <v/>
      </c>
      <c r="H403" s="6">
        <f>IF($C403="Issue",IFERROR($F403*$G403,0),0)</f>
        <v/>
      </c>
      <c r="I403" s="6" t="n"/>
      <c r="J403" s="5" t="n"/>
      <c r="K403" s="4" t="n"/>
    </row>
    <row r="404" ht="20" customHeight="1">
      <c r="A404" s="3" t="n"/>
      <c r="B404" s="4" t="n"/>
      <c r="C404" s="5" t="n"/>
      <c r="D404" s="5" t="n"/>
      <c r="E404" s="4">
        <f>IF($D404="","",IFERROR(XLOOKUP($D404,Items!$A:$A,Items!$B:$B),"ERR"))</f>
        <v/>
      </c>
      <c r="F404" s="6" t="n"/>
      <c r="G404" s="6">
        <f>IF($D404="","",IFERROR(XLOOKUP($D404,Items!$A:$A,Items!$D:$D),0))</f>
        <v/>
      </c>
      <c r="H404" s="6">
        <f>IF($C404="Issue",IFERROR($F404*$G404,0),0)</f>
        <v/>
      </c>
      <c r="I404" s="6" t="n"/>
      <c r="J404" s="5" t="n"/>
      <c r="K404" s="4" t="n"/>
    </row>
    <row r="405" ht="20" customHeight="1">
      <c r="A405" s="3" t="n"/>
      <c r="B405" s="4" t="n"/>
      <c r="C405" s="5" t="n"/>
      <c r="D405" s="5" t="n"/>
      <c r="E405" s="4">
        <f>IF($D405="","",IFERROR(XLOOKUP($D405,Items!$A:$A,Items!$B:$B),"ERR"))</f>
        <v/>
      </c>
      <c r="F405" s="6" t="n"/>
      <c r="G405" s="6">
        <f>IF($D405="","",IFERROR(XLOOKUP($D405,Items!$A:$A,Items!$D:$D),0))</f>
        <v/>
      </c>
      <c r="H405" s="6">
        <f>IF($C405="Issue",IFERROR($F405*$G405,0),0)</f>
        <v/>
      </c>
      <c r="I405" s="6" t="n"/>
      <c r="J405" s="5" t="n"/>
      <c r="K405" s="4" t="n"/>
    </row>
    <row r="406" ht="20" customHeight="1">
      <c r="A406" s="3" t="n"/>
      <c r="B406" s="4" t="n"/>
      <c r="C406" s="5" t="n"/>
      <c r="D406" s="5" t="n"/>
      <c r="E406" s="4">
        <f>IF($D406="","",IFERROR(XLOOKUP($D406,Items!$A:$A,Items!$B:$B),"ERR"))</f>
        <v/>
      </c>
      <c r="F406" s="6" t="n"/>
      <c r="G406" s="6">
        <f>IF($D406="","",IFERROR(XLOOKUP($D406,Items!$A:$A,Items!$D:$D),0))</f>
        <v/>
      </c>
      <c r="H406" s="6">
        <f>IF($C406="Issue",IFERROR($F406*$G406,0),0)</f>
        <v/>
      </c>
      <c r="I406" s="6" t="n"/>
      <c r="J406" s="5" t="n"/>
      <c r="K406" s="4" t="n"/>
    </row>
    <row r="407" ht="20" customHeight="1">
      <c r="A407" s="3" t="n"/>
      <c r="B407" s="4" t="n"/>
      <c r="C407" s="5" t="n"/>
      <c r="D407" s="5" t="n"/>
      <c r="E407" s="4">
        <f>IF($D407="","",IFERROR(XLOOKUP($D407,Items!$A:$A,Items!$B:$B),"ERR"))</f>
        <v/>
      </c>
      <c r="F407" s="6" t="n"/>
      <c r="G407" s="6">
        <f>IF($D407="","",IFERROR(XLOOKUP($D407,Items!$A:$A,Items!$D:$D),0))</f>
        <v/>
      </c>
      <c r="H407" s="6">
        <f>IF($C407="Issue",IFERROR($F407*$G407,0),0)</f>
        <v/>
      </c>
      <c r="I407" s="6" t="n"/>
      <c r="J407" s="5" t="n"/>
      <c r="K407" s="4" t="n"/>
    </row>
    <row r="408" ht="20" customHeight="1">
      <c r="A408" s="3" t="n"/>
      <c r="B408" s="4" t="n"/>
      <c r="C408" s="5" t="n"/>
      <c r="D408" s="5" t="n"/>
      <c r="E408" s="4">
        <f>IF($D408="","",IFERROR(XLOOKUP($D408,Items!$A:$A,Items!$B:$B),"ERR"))</f>
        <v/>
      </c>
      <c r="F408" s="6" t="n"/>
      <c r="G408" s="6">
        <f>IF($D408="","",IFERROR(XLOOKUP($D408,Items!$A:$A,Items!$D:$D),0))</f>
        <v/>
      </c>
      <c r="H408" s="6">
        <f>IF($C408="Issue",IFERROR($F408*$G408,0),0)</f>
        <v/>
      </c>
      <c r="I408" s="6" t="n"/>
      <c r="J408" s="5" t="n"/>
      <c r="K408" s="4" t="n"/>
    </row>
    <row r="409" ht="20" customHeight="1">
      <c r="A409" s="3" t="n"/>
      <c r="B409" s="4" t="n"/>
      <c r="C409" s="5" t="n"/>
      <c r="D409" s="5" t="n"/>
      <c r="E409" s="4">
        <f>IF($D409="","",IFERROR(XLOOKUP($D409,Items!$A:$A,Items!$B:$B),"ERR"))</f>
        <v/>
      </c>
      <c r="F409" s="6" t="n"/>
      <c r="G409" s="6">
        <f>IF($D409="","",IFERROR(XLOOKUP($D409,Items!$A:$A,Items!$D:$D),0))</f>
        <v/>
      </c>
      <c r="H409" s="6">
        <f>IF($C409="Issue",IFERROR($F409*$G409,0),0)</f>
        <v/>
      </c>
      <c r="I409" s="6" t="n"/>
      <c r="J409" s="5" t="n"/>
      <c r="K409" s="4" t="n"/>
    </row>
    <row r="410" ht="20" customHeight="1">
      <c r="A410" s="3" t="n"/>
      <c r="B410" s="4" t="n"/>
      <c r="C410" s="5" t="n"/>
      <c r="D410" s="5" t="n"/>
      <c r="E410" s="4">
        <f>IF($D410="","",IFERROR(XLOOKUP($D410,Items!$A:$A,Items!$B:$B),"ERR"))</f>
        <v/>
      </c>
      <c r="F410" s="6" t="n"/>
      <c r="G410" s="6">
        <f>IF($D410="","",IFERROR(XLOOKUP($D410,Items!$A:$A,Items!$D:$D),0))</f>
        <v/>
      </c>
      <c r="H410" s="6">
        <f>IF($C410="Issue",IFERROR($F410*$G410,0),0)</f>
        <v/>
      </c>
      <c r="I410" s="6" t="n"/>
      <c r="J410" s="5" t="n"/>
      <c r="K410" s="4" t="n"/>
    </row>
    <row r="411" ht="20" customHeight="1">
      <c r="A411" s="3" t="n"/>
      <c r="B411" s="4" t="n"/>
      <c r="C411" s="5" t="n"/>
      <c r="D411" s="5" t="n"/>
      <c r="E411" s="4">
        <f>IF($D411="","",IFERROR(XLOOKUP($D411,Items!$A:$A,Items!$B:$B),"ERR"))</f>
        <v/>
      </c>
      <c r="F411" s="6" t="n"/>
      <c r="G411" s="6">
        <f>IF($D411="","",IFERROR(XLOOKUP($D411,Items!$A:$A,Items!$D:$D),0))</f>
        <v/>
      </c>
      <c r="H411" s="6">
        <f>IF($C411="Issue",IFERROR($F411*$G411,0),0)</f>
        <v/>
      </c>
      <c r="I411" s="6" t="n"/>
      <c r="J411" s="5" t="n"/>
      <c r="K411" s="4" t="n"/>
    </row>
    <row r="412" ht="20" customHeight="1">
      <c r="A412" s="3" t="n"/>
      <c r="B412" s="4" t="n"/>
      <c r="C412" s="5" t="n"/>
      <c r="D412" s="5" t="n"/>
      <c r="E412" s="4">
        <f>IF($D412="","",IFERROR(XLOOKUP($D412,Items!$A:$A,Items!$B:$B),"ERR"))</f>
        <v/>
      </c>
      <c r="F412" s="6" t="n"/>
      <c r="G412" s="6">
        <f>IF($D412="","",IFERROR(XLOOKUP($D412,Items!$A:$A,Items!$D:$D),0))</f>
        <v/>
      </c>
      <c r="H412" s="6">
        <f>IF($C412="Issue",IFERROR($F412*$G412,0),0)</f>
        <v/>
      </c>
      <c r="I412" s="6" t="n"/>
      <c r="J412" s="5" t="n"/>
      <c r="K412" s="4" t="n"/>
    </row>
    <row r="413" ht="20" customHeight="1">
      <c r="A413" s="3" t="n"/>
      <c r="B413" s="4" t="n"/>
      <c r="C413" s="5" t="n"/>
      <c r="D413" s="5" t="n"/>
      <c r="E413" s="4">
        <f>IF($D413="","",IFERROR(XLOOKUP($D413,Items!$A:$A,Items!$B:$B),"ERR"))</f>
        <v/>
      </c>
      <c r="F413" s="6" t="n"/>
      <c r="G413" s="6">
        <f>IF($D413="","",IFERROR(XLOOKUP($D413,Items!$A:$A,Items!$D:$D),0))</f>
        <v/>
      </c>
      <c r="H413" s="6">
        <f>IF($C413="Issue",IFERROR($F413*$G413,0),0)</f>
        <v/>
      </c>
      <c r="I413" s="6" t="n"/>
      <c r="J413" s="5" t="n"/>
      <c r="K413" s="4" t="n"/>
    </row>
    <row r="414" ht="20" customHeight="1">
      <c r="A414" s="3" t="n"/>
      <c r="B414" s="4" t="n"/>
      <c r="C414" s="5" t="n"/>
      <c r="D414" s="5" t="n"/>
      <c r="E414" s="4">
        <f>IF($D414="","",IFERROR(XLOOKUP($D414,Items!$A:$A,Items!$B:$B),"ERR"))</f>
        <v/>
      </c>
      <c r="F414" s="6" t="n"/>
      <c r="G414" s="6">
        <f>IF($D414="","",IFERROR(XLOOKUP($D414,Items!$A:$A,Items!$D:$D),0))</f>
        <v/>
      </c>
      <c r="H414" s="6">
        <f>IF($C414="Issue",IFERROR($F414*$G414,0),0)</f>
        <v/>
      </c>
      <c r="I414" s="6" t="n"/>
      <c r="J414" s="5" t="n"/>
      <c r="K414" s="4" t="n"/>
    </row>
    <row r="415" ht="20" customHeight="1">
      <c r="A415" s="3" t="n"/>
      <c r="B415" s="4" t="n"/>
      <c r="C415" s="5" t="n"/>
      <c r="D415" s="5" t="n"/>
      <c r="E415" s="4">
        <f>IF($D415="","",IFERROR(XLOOKUP($D415,Items!$A:$A,Items!$B:$B),"ERR"))</f>
        <v/>
      </c>
      <c r="F415" s="6" t="n"/>
      <c r="G415" s="6">
        <f>IF($D415="","",IFERROR(XLOOKUP($D415,Items!$A:$A,Items!$D:$D),0))</f>
        <v/>
      </c>
      <c r="H415" s="6">
        <f>IF($C415="Issue",IFERROR($F415*$G415,0),0)</f>
        <v/>
      </c>
      <c r="I415" s="6" t="n"/>
      <c r="J415" s="5" t="n"/>
      <c r="K415" s="4" t="n"/>
    </row>
    <row r="416" ht="20" customHeight="1">
      <c r="A416" s="3" t="n"/>
      <c r="B416" s="4" t="n"/>
      <c r="C416" s="5" t="n"/>
      <c r="D416" s="5" t="n"/>
      <c r="E416" s="4">
        <f>IF($D416="","",IFERROR(XLOOKUP($D416,Items!$A:$A,Items!$B:$B),"ERR"))</f>
        <v/>
      </c>
      <c r="F416" s="6" t="n"/>
      <c r="G416" s="6">
        <f>IF($D416="","",IFERROR(XLOOKUP($D416,Items!$A:$A,Items!$D:$D),0))</f>
        <v/>
      </c>
      <c r="H416" s="6">
        <f>IF($C416="Issue",IFERROR($F416*$G416,0),0)</f>
        <v/>
      </c>
      <c r="I416" s="6" t="n"/>
      <c r="J416" s="5" t="n"/>
      <c r="K416" s="4" t="n"/>
    </row>
    <row r="417" ht="20" customHeight="1">
      <c r="A417" s="3" t="n"/>
      <c r="B417" s="4" t="n"/>
      <c r="C417" s="5" t="n"/>
      <c r="D417" s="5" t="n"/>
      <c r="E417" s="4">
        <f>IF($D417="","",IFERROR(XLOOKUP($D417,Items!$A:$A,Items!$B:$B),"ERR"))</f>
        <v/>
      </c>
      <c r="F417" s="6" t="n"/>
      <c r="G417" s="6">
        <f>IF($D417="","",IFERROR(XLOOKUP($D417,Items!$A:$A,Items!$D:$D),0))</f>
        <v/>
      </c>
      <c r="H417" s="6">
        <f>IF($C417="Issue",IFERROR($F417*$G417,0),0)</f>
        <v/>
      </c>
      <c r="I417" s="6" t="n"/>
      <c r="J417" s="5" t="n"/>
      <c r="K417" s="4" t="n"/>
    </row>
    <row r="418" ht="20" customHeight="1">
      <c r="A418" s="3" t="n"/>
      <c r="B418" s="4" t="n"/>
      <c r="C418" s="5" t="n"/>
      <c r="D418" s="5" t="n"/>
      <c r="E418" s="4">
        <f>IF($D418="","",IFERROR(XLOOKUP($D418,Items!$A:$A,Items!$B:$B),"ERR"))</f>
        <v/>
      </c>
      <c r="F418" s="6" t="n"/>
      <c r="G418" s="6">
        <f>IF($D418="","",IFERROR(XLOOKUP($D418,Items!$A:$A,Items!$D:$D),0))</f>
        <v/>
      </c>
      <c r="H418" s="6">
        <f>IF($C418="Issue",IFERROR($F418*$G418,0),0)</f>
        <v/>
      </c>
      <c r="I418" s="6" t="n"/>
      <c r="J418" s="5" t="n"/>
      <c r="K418" s="4" t="n"/>
    </row>
    <row r="419" ht="20" customHeight="1">
      <c r="A419" s="3" t="n"/>
      <c r="B419" s="4" t="n"/>
      <c r="C419" s="5" t="n"/>
      <c r="D419" s="5" t="n"/>
      <c r="E419" s="4">
        <f>IF($D419="","",IFERROR(XLOOKUP($D419,Items!$A:$A,Items!$B:$B),"ERR"))</f>
        <v/>
      </c>
      <c r="F419" s="6" t="n"/>
      <c r="G419" s="6">
        <f>IF($D419="","",IFERROR(XLOOKUP($D419,Items!$A:$A,Items!$D:$D),0))</f>
        <v/>
      </c>
      <c r="H419" s="6">
        <f>IF($C419="Issue",IFERROR($F419*$G419,0),0)</f>
        <v/>
      </c>
      <c r="I419" s="6" t="n"/>
      <c r="J419" s="5" t="n"/>
      <c r="K419" s="4" t="n"/>
    </row>
    <row r="420" ht="20" customHeight="1">
      <c r="A420" s="3" t="n"/>
      <c r="B420" s="4" t="n"/>
      <c r="C420" s="5" t="n"/>
      <c r="D420" s="5" t="n"/>
      <c r="E420" s="4">
        <f>IF($D420="","",IFERROR(XLOOKUP($D420,Items!$A:$A,Items!$B:$B),"ERR"))</f>
        <v/>
      </c>
      <c r="F420" s="6" t="n"/>
      <c r="G420" s="6">
        <f>IF($D420="","",IFERROR(XLOOKUP($D420,Items!$A:$A,Items!$D:$D),0))</f>
        <v/>
      </c>
      <c r="H420" s="6">
        <f>IF($C420="Issue",IFERROR($F420*$G420,0),0)</f>
        <v/>
      </c>
      <c r="I420" s="6" t="n"/>
      <c r="J420" s="5" t="n"/>
      <c r="K420" s="4" t="n"/>
    </row>
    <row r="421" ht="20" customHeight="1">
      <c r="A421" s="3" t="n"/>
      <c r="B421" s="4" t="n"/>
      <c r="C421" s="5" t="n"/>
      <c r="D421" s="5" t="n"/>
      <c r="E421" s="4">
        <f>IF($D421="","",IFERROR(XLOOKUP($D421,Items!$A:$A,Items!$B:$B),"ERR"))</f>
        <v/>
      </c>
      <c r="F421" s="6" t="n"/>
      <c r="G421" s="6">
        <f>IF($D421="","",IFERROR(XLOOKUP($D421,Items!$A:$A,Items!$D:$D),0))</f>
        <v/>
      </c>
      <c r="H421" s="6">
        <f>IF($C421="Issue",IFERROR($F421*$G421,0),0)</f>
        <v/>
      </c>
      <c r="I421" s="6" t="n"/>
      <c r="J421" s="5" t="n"/>
      <c r="K421" s="4" t="n"/>
    </row>
    <row r="422" ht="20" customHeight="1">
      <c r="A422" s="3" t="n"/>
      <c r="B422" s="4" t="n"/>
      <c r="C422" s="5" t="n"/>
      <c r="D422" s="5" t="n"/>
      <c r="E422" s="4">
        <f>IF($D422="","",IFERROR(XLOOKUP($D422,Items!$A:$A,Items!$B:$B),"ERR"))</f>
        <v/>
      </c>
      <c r="F422" s="6" t="n"/>
      <c r="G422" s="6">
        <f>IF($D422="","",IFERROR(XLOOKUP($D422,Items!$A:$A,Items!$D:$D),0))</f>
        <v/>
      </c>
      <c r="H422" s="6">
        <f>IF($C422="Issue",IFERROR($F422*$G422,0),0)</f>
        <v/>
      </c>
      <c r="I422" s="6" t="n"/>
      <c r="J422" s="5" t="n"/>
      <c r="K422" s="4" t="n"/>
    </row>
    <row r="423" ht="20" customHeight="1">
      <c r="A423" s="3" t="n"/>
      <c r="B423" s="4" t="n"/>
      <c r="C423" s="5" t="n"/>
      <c r="D423" s="5" t="n"/>
      <c r="E423" s="4">
        <f>IF($D423="","",IFERROR(XLOOKUP($D423,Items!$A:$A,Items!$B:$B),"ERR"))</f>
        <v/>
      </c>
      <c r="F423" s="6" t="n"/>
      <c r="G423" s="6">
        <f>IF($D423="","",IFERROR(XLOOKUP($D423,Items!$A:$A,Items!$D:$D),0))</f>
        <v/>
      </c>
      <c r="H423" s="6">
        <f>IF($C423="Issue",IFERROR($F423*$G423,0),0)</f>
        <v/>
      </c>
      <c r="I423" s="6" t="n"/>
      <c r="J423" s="5" t="n"/>
      <c r="K423" s="4" t="n"/>
    </row>
    <row r="424" ht="20" customHeight="1">
      <c r="A424" s="3" t="n"/>
      <c r="B424" s="4" t="n"/>
      <c r="C424" s="5" t="n"/>
      <c r="D424" s="5" t="n"/>
      <c r="E424" s="4">
        <f>IF($D424="","",IFERROR(XLOOKUP($D424,Items!$A:$A,Items!$B:$B),"ERR"))</f>
        <v/>
      </c>
      <c r="F424" s="6" t="n"/>
      <c r="G424" s="6">
        <f>IF($D424="","",IFERROR(XLOOKUP($D424,Items!$A:$A,Items!$D:$D),0))</f>
        <v/>
      </c>
      <c r="H424" s="6">
        <f>IF($C424="Issue",IFERROR($F424*$G424,0),0)</f>
        <v/>
      </c>
      <c r="I424" s="6" t="n"/>
      <c r="J424" s="5" t="n"/>
      <c r="K424" s="4" t="n"/>
    </row>
    <row r="425" ht="20" customHeight="1">
      <c r="A425" s="3" t="n"/>
      <c r="B425" s="4" t="n"/>
      <c r="C425" s="5" t="n"/>
      <c r="D425" s="5" t="n"/>
      <c r="E425" s="4">
        <f>IF($D425="","",IFERROR(XLOOKUP($D425,Items!$A:$A,Items!$B:$B),"ERR"))</f>
        <v/>
      </c>
      <c r="F425" s="6" t="n"/>
      <c r="G425" s="6">
        <f>IF($D425="","",IFERROR(XLOOKUP($D425,Items!$A:$A,Items!$D:$D),0))</f>
        <v/>
      </c>
      <c r="H425" s="6">
        <f>IF($C425="Issue",IFERROR($F425*$G425,0),0)</f>
        <v/>
      </c>
      <c r="I425" s="6" t="n"/>
      <c r="J425" s="5" t="n"/>
      <c r="K425" s="4" t="n"/>
    </row>
    <row r="426" ht="20" customHeight="1">
      <c r="A426" s="3" t="n"/>
      <c r="B426" s="4" t="n"/>
      <c r="C426" s="5" t="n"/>
      <c r="D426" s="5" t="n"/>
      <c r="E426" s="4">
        <f>IF($D426="","",IFERROR(XLOOKUP($D426,Items!$A:$A,Items!$B:$B),"ERR"))</f>
        <v/>
      </c>
      <c r="F426" s="6" t="n"/>
      <c r="G426" s="6">
        <f>IF($D426="","",IFERROR(XLOOKUP($D426,Items!$A:$A,Items!$D:$D),0))</f>
        <v/>
      </c>
      <c r="H426" s="6">
        <f>IF($C426="Issue",IFERROR($F426*$G426,0),0)</f>
        <v/>
      </c>
      <c r="I426" s="6" t="n"/>
      <c r="J426" s="5" t="n"/>
      <c r="K426" s="4" t="n"/>
    </row>
    <row r="427" ht="20" customHeight="1">
      <c r="A427" s="3" t="n"/>
      <c r="B427" s="4" t="n"/>
      <c r="C427" s="5" t="n"/>
      <c r="D427" s="5" t="n"/>
      <c r="E427" s="4">
        <f>IF($D427="","",IFERROR(XLOOKUP($D427,Items!$A:$A,Items!$B:$B),"ERR"))</f>
        <v/>
      </c>
      <c r="F427" s="6" t="n"/>
      <c r="G427" s="6">
        <f>IF($D427="","",IFERROR(XLOOKUP($D427,Items!$A:$A,Items!$D:$D),0))</f>
        <v/>
      </c>
      <c r="H427" s="6">
        <f>IF($C427="Issue",IFERROR($F427*$G427,0),0)</f>
        <v/>
      </c>
      <c r="I427" s="6" t="n"/>
      <c r="J427" s="5" t="n"/>
      <c r="K427" s="4" t="n"/>
    </row>
    <row r="428" ht="20" customHeight="1">
      <c r="A428" s="3" t="n"/>
      <c r="B428" s="4" t="n"/>
      <c r="C428" s="5" t="n"/>
      <c r="D428" s="5" t="n"/>
      <c r="E428" s="4">
        <f>IF($D428="","",IFERROR(XLOOKUP($D428,Items!$A:$A,Items!$B:$B),"ERR"))</f>
        <v/>
      </c>
      <c r="F428" s="6" t="n"/>
      <c r="G428" s="6">
        <f>IF($D428="","",IFERROR(XLOOKUP($D428,Items!$A:$A,Items!$D:$D),0))</f>
        <v/>
      </c>
      <c r="H428" s="6">
        <f>IF($C428="Issue",IFERROR($F428*$G428,0),0)</f>
        <v/>
      </c>
      <c r="I428" s="6" t="n"/>
      <c r="J428" s="5" t="n"/>
      <c r="K428" s="4" t="n"/>
    </row>
    <row r="429" ht="20" customHeight="1">
      <c r="A429" s="3" t="n"/>
      <c r="B429" s="4" t="n"/>
      <c r="C429" s="5" t="n"/>
      <c r="D429" s="5" t="n"/>
      <c r="E429" s="4">
        <f>IF($D429="","",IFERROR(XLOOKUP($D429,Items!$A:$A,Items!$B:$B),"ERR"))</f>
        <v/>
      </c>
      <c r="F429" s="6" t="n"/>
      <c r="G429" s="6">
        <f>IF($D429="","",IFERROR(XLOOKUP($D429,Items!$A:$A,Items!$D:$D),0))</f>
        <v/>
      </c>
      <c r="H429" s="6">
        <f>IF($C429="Issue",IFERROR($F429*$G429,0),0)</f>
        <v/>
      </c>
      <c r="I429" s="6" t="n"/>
      <c r="J429" s="5" t="n"/>
      <c r="K429" s="4" t="n"/>
    </row>
    <row r="430" ht="20" customHeight="1">
      <c r="A430" s="3" t="n"/>
      <c r="B430" s="4" t="n"/>
      <c r="C430" s="5" t="n"/>
      <c r="D430" s="5" t="n"/>
      <c r="E430" s="4">
        <f>IF($D430="","",IFERROR(XLOOKUP($D430,Items!$A:$A,Items!$B:$B),"ERR"))</f>
        <v/>
      </c>
      <c r="F430" s="6" t="n"/>
      <c r="G430" s="6">
        <f>IF($D430="","",IFERROR(XLOOKUP($D430,Items!$A:$A,Items!$D:$D),0))</f>
        <v/>
      </c>
      <c r="H430" s="6">
        <f>IF($C430="Issue",IFERROR($F430*$G430,0),0)</f>
        <v/>
      </c>
      <c r="I430" s="6" t="n"/>
      <c r="J430" s="5" t="n"/>
      <c r="K430" s="4" t="n"/>
    </row>
    <row r="431" ht="20" customHeight="1">
      <c r="A431" s="3" t="n"/>
      <c r="B431" s="4" t="n"/>
      <c r="C431" s="5" t="n"/>
      <c r="D431" s="5" t="n"/>
      <c r="E431" s="4">
        <f>IF($D431="","",IFERROR(XLOOKUP($D431,Items!$A:$A,Items!$B:$B),"ERR"))</f>
        <v/>
      </c>
      <c r="F431" s="6" t="n"/>
      <c r="G431" s="6">
        <f>IF($D431="","",IFERROR(XLOOKUP($D431,Items!$A:$A,Items!$D:$D),0))</f>
        <v/>
      </c>
      <c r="H431" s="6">
        <f>IF($C431="Issue",IFERROR($F431*$G431,0),0)</f>
        <v/>
      </c>
      <c r="I431" s="6" t="n"/>
      <c r="J431" s="5" t="n"/>
      <c r="K431" s="4" t="n"/>
    </row>
    <row r="432" ht="20" customHeight="1">
      <c r="A432" s="3" t="n"/>
      <c r="B432" s="4" t="n"/>
      <c r="C432" s="5" t="n"/>
      <c r="D432" s="5" t="n"/>
      <c r="E432" s="4">
        <f>IF($D432="","",IFERROR(XLOOKUP($D432,Items!$A:$A,Items!$B:$B),"ERR"))</f>
        <v/>
      </c>
      <c r="F432" s="6" t="n"/>
      <c r="G432" s="6">
        <f>IF($D432="","",IFERROR(XLOOKUP($D432,Items!$A:$A,Items!$D:$D),0))</f>
        <v/>
      </c>
      <c r="H432" s="6">
        <f>IF($C432="Issue",IFERROR($F432*$G432,0),0)</f>
        <v/>
      </c>
      <c r="I432" s="6" t="n"/>
      <c r="J432" s="5" t="n"/>
      <c r="K432" s="4" t="n"/>
    </row>
    <row r="433" ht="20" customHeight="1">
      <c r="A433" s="3" t="n"/>
      <c r="B433" s="4" t="n"/>
      <c r="C433" s="5" t="n"/>
      <c r="D433" s="5" t="n"/>
      <c r="E433" s="4">
        <f>IF($D433="","",IFERROR(XLOOKUP($D433,Items!$A:$A,Items!$B:$B),"ERR"))</f>
        <v/>
      </c>
      <c r="F433" s="6" t="n"/>
      <c r="G433" s="6">
        <f>IF($D433="","",IFERROR(XLOOKUP($D433,Items!$A:$A,Items!$D:$D),0))</f>
        <v/>
      </c>
      <c r="H433" s="6">
        <f>IF($C433="Issue",IFERROR($F433*$G433,0),0)</f>
        <v/>
      </c>
      <c r="I433" s="6" t="n"/>
      <c r="J433" s="5" t="n"/>
      <c r="K433" s="4" t="n"/>
    </row>
    <row r="434" ht="20" customHeight="1">
      <c r="A434" s="3" t="n"/>
      <c r="B434" s="4" t="n"/>
      <c r="C434" s="5" t="n"/>
      <c r="D434" s="5" t="n"/>
      <c r="E434" s="4">
        <f>IF($D434="","",IFERROR(XLOOKUP($D434,Items!$A:$A,Items!$B:$B),"ERR"))</f>
        <v/>
      </c>
      <c r="F434" s="6" t="n"/>
      <c r="G434" s="6">
        <f>IF($D434="","",IFERROR(XLOOKUP($D434,Items!$A:$A,Items!$D:$D),0))</f>
        <v/>
      </c>
      <c r="H434" s="6">
        <f>IF($C434="Issue",IFERROR($F434*$G434,0),0)</f>
        <v/>
      </c>
      <c r="I434" s="6" t="n"/>
      <c r="J434" s="5" t="n"/>
      <c r="K434" s="4" t="n"/>
    </row>
    <row r="435" ht="20" customHeight="1">
      <c r="A435" s="3" t="n"/>
      <c r="B435" s="4" t="n"/>
      <c r="C435" s="5" t="n"/>
      <c r="D435" s="5" t="n"/>
      <c r="E435" s="4">
        <f>IF($D435="","",IFERROR(XLOOKUP($D435,Items!$A:$A,Items!$B:$B),"ERR"))</f>
        <v/>
      </c>
      <c r="F435" s="6" t="n"/>
      <c r="G435" s="6">
        <f>IF($D435="","",IFERROR(XLOOKUP($D435,Items!$A:$A,Items!$D:$D),0))</f>
        <v/>
      </c>
      <c r="H435" s="6">
        <f>IF($C435="Issue",IFERROR($F435*$G435,0),0)</f>
        <v/>
      </c>
      <c r="I435" s="6" t="n"/>
      <c r="J435" s="5" t="n"/>
      <c r="K435" s="4" t="n"/>
    </row>
    <row r="436" ht="20" customHeight="1">
      <c r="A436" s="3" t="n"/>
      <c r="B436" s="4" t="n"/>
      <c r="C436" s="5" t="n"/>
      <c r="D436" s="5" t="n"/>
      <c r="E436" s="4">
        <f>IF($D436="","",IFERROR(XLOOKUP($D436,Items!$A:$A,Items!$B:$B),"ERR"))</f>
        <v/>
      </c>
      <c r="F436" s="6" t="n"/>
      <c r="G436" s="6">
        <f>IF($D436="","",IFERROR(XLOOKUP($D436,Items!$A:$A,Items!$D:$D),0))</f>
        <v/>
      </c>
      <c r="H436" s="6">
        <f>IF($C436="Issue",IFERROR($F436*$G436,0),0)</f>
        <v/>
      </c>
      <c r="I436" s="6" t="n"/>
      <c r="J436" s="5" t="n"/>
      <c r="K436" s="4" t="n"/>
    </row>
    <row r="437" ht="20" customHeight="1">
      <c r="A437" s="3" t="n"/>
      <c r="B437" s="4" t="n"/>
      <c r="C437" s="5" t="n"/>
      <c r="D437" s="5" t="n"/>
      <c r="E437" s="4">
        <f>IF($D437="","",IFERROR(XLOOKUP($D437,Items!$A:$A,Items!$B:$B),"ERR"))</f>
        <v/>
      </c>
      <c r="F437" s="6" t="n"/>
      <c r="G437" s="6">
        <f>IF($D437="","",IFERROR(XLOOKUP($D437,Items!$A:$A,Items!$D:$D),0))</f>
        <v/>
      </c>
      <c r="H437" s="6">
        <f>IF($C437="Issue",IFERROR($F437*$G437,0),0)</f>
        <v/>
      </c>
      <c r="I437" s="6" t="n"/>
      <c r="J437" s="5" t="n"/>
      <c r="K437" s="4" t="n"/>
    </row>
    <row r="438" ht="20" customHeight="1">
      <c r="A438" s="3" t="n"/>
      <c r="B438" s="4" t="n"/>
      <c r="C438" s="5" t="n"/>
      <c r="D438" s="5" t="n"/>
      <c r="E438" s="4">
        <f>IF($D438="","",IFERROR(XLOOKUP($D438,Items!$A:$A,Items!$B:$B),"ERR"))</f>
        <v/>
      </c>
      <c r="F438" s="6" t="n"/>
      <c r="G438" s="6">
        <f>IF($D438="","",IFERROR(XLOOKUP($D438,Items!$A:$A,Items!$D:$D),0))</f>
        <v/>
      </c>
      <c r="H438" s="6">
        <f>IF($C438="Issue",IFERROR($F438*$G438,0),0)</f>
        <v/>
      </c>
      <c r="I438" s="6" t="n"/>
      <c r="J438" s="5" t="n"/>
      <c r="K438" s="4" t="n"/>
    </row>
    <row r="439" ht="20" customHeight="1">
      <c r="A439" s="3" t="n"/>
      <c r="B439" s="4" t="n"/>
      <c r="C439" s="5" t="n"/>
      <c r="D439" s="5" t="n"/>
      <c r="E439" s="4">
        <f>IF($D439="","",IFERROR(XLOOKUP($D439,Items!$A:$A,Items!$B:$B),"ERR"))</f>
        <v/>
      </c>
      <c r="F439" s="6" t="n"/>
      <c r="G439" s="6">
        <f>IF($D439="","",IFERROR(XLOOKUP($D439,Items!$A:$A,Items!$D:$D),0))</f>
        <v/>
      </c>
      <c r="H439" s="6">
        <f>IF($C439="Issue",IFERROR($F439*$G439,0),0)</f>
        <v/>
      </c>
      <c r="I439" s="6" t="n"/>
      <c r="J439" s="5" t="n"/>
      <c r="K439" s="4" t="n"/>
    </row>
    <row r="440" ht="20" customHeight="1">
      <c r="A440" s="3" t="n"/>
      <c r="B440" s="4" t="n"/>
      <c r="C440" s="5" t="n"/>
      <c r="D440" s="5" t="n"/>
      <c r="E440" s="4">
        <f>IF($D440="","",IFERROR(XLOOKUP($D440,Items!$A:$A,Items!$B:$B),"ERR"))</f>
        <v/>
      </c>
      <c r="F440" s="6" t="n"/>
      <c r="G440" s="6">
        <f>IF($D440="","",IFERROR(XLOOKUP($D440,Items!$A:$A,Items!$D:$D),0))</f>
        <v/>
      </c>
      <c r="H440" s="6">
        <f>IF($C440="Issue",IFERROR($F440*$G440,0),0)</f>
        <v/>
      </c>
      <c r="I440" s="6" t="n"/>
      <c r="J440" s="5" t="n"/>
      <c r="K440" s="4" t="n"/>
    </row>
    <row r="441" ht="20" customHeight="1">
      <c r="A441" s="3" t="n"/>
      <c r="B441" s="4" t="n"/>
      <c r="C441" s="5" t="n"/>
      <c r="D441" s="5" t="n"/>
      <c r="E441" s="4">
        <f>IF($D441="","",IFERROR(XLOOKUP($D441,Items!$A:$A,Items!$B:$B),"ERR"))</f>
        <v/>
      </c>
      <c r="F441" s="6" t="n"/>
      <c r="G441" s="6">
        <f>IF($D441="","",IFERROR(XLOOKUP($D441,Items!$A:$A,Items!$D:$D),0))</f>
        <v/>
      </c>
      <c r="H441" s="6">
        <f>IF($C441="Issue",IFERROR($F441*$G441,0),0)</f>
        <v/>
      </c>
      <c r="I441" s="6" t="n"/>
      <c r="J441" s="5" t="n"/>
      <c r="K441" s="4" t="n"/>
    </row>
    <row r="442" ht="20" customHeight="1">
      <c r="A442" s="3" t="n"/>
      <c r="B442" s="4" t="n"/>
      <c r="C442" s="5" t="n"/>
      <c r="D442" s="5" t="n"/>
      <c r="E442" s="4">
        <f>IF($D442="","",IFERROR(XLOOKUP($D442,Items!$A:$A,Items!$B:$B),"ERR"))</f>
        <v/>
      </c>
      <c r="F442" s="6" t="n"/>
      <c r="G442" s="6">
        <f>IF($D442="","",IFERROR(XLOOKUP($D442,Items!$A:$A,Items!$D:$D),0))</f>
        <v/>
      </c>
      <c r="H442" s="6">
        <f>IF($C442="Issue",IFERROR($F442*$G442,0),0)</f>
        <v/>
      </c>
      <c r="I442" s="6" t="n"/>
      <c r="J442" s="5" t="n"/>
      <c r="K442" s="4" t="n"/>
    </row>
    <row r="443" ht="20" customHeight="1">
      <c r="A443" s="3" t="n"/>
      <c r="B443" s="4" t="n"/>
      <c r="C443" s="5" t="n"/>
      <c r="D443" s="5" t="n"/>
      <c r="E443" s="4">
        <f>IF($D443="","",IFERROR(XLOOKUP($D443,Items!$A:$A,Items!$B:$B),"ERR"))</f>
        <v/>
      </c>
      <c r="F443" s="6" t="n"/>
      <c r="G443" s="6">
        <f>IF($D443="","",IFERROR(XLOOKUP($D443,Items!$A:$A,Items!$D:$D),0))</f>
        <v/>
      </c>
      <c r="H443" s="6">
        <f>IF($C443="Issue",IFERROR($F443*$G443,0),0)</f>
        <v/>
      </c>
      <c r="I443" s="6" t="n"/>
      <c r="J443" s="5" t="n"/>
      <c r="K443" s="4" t="n"/>
    </row>
    <row r="444" ht="20" customHeight="1">
      <c r="A444" s="3" t="n"/>
      <c r="B444" s="4" t="n"/>
      <c r="C444" s="5" t="n"/>
      <c r="D444" s="5" t="n"/>
      <c r="E444" s="4">
        <f>IF($D444="","",IFERROR(XLOOKUP($D444,Items!$A:$A,Items!$B:$B),"ERR"))</f>
        <v/>
      </c>
      <c r="F444" s="6" t="n"/>
      <c r="G444" s="6">
        <f>IF($D444="","",IFERROR(XLOOKUP($D444,Items!$A:$A,Items!$D:$D),0))</f>
        <v/>
      </c>
      <c r="H444" s="6">
        <f>IF($C444="Issue",IFERROR($F444*$G444,0),0)</f>
        <v/>
      </c>
      <c r="I444" s="6" t="n"/>
      <c r="J444" s="5" t="n"/>
      <c r="K444" s="4" t="n"/>
    </row>
    <row r="445" ht="20" customHeight="1">
      <c r="A445" s="3" t="n"/>
      <c r="B445" s="4" t="n"/>
      <c r="C445" s="5" t="n"/>
      <c r="D445" s="5" t="n"/>
      <c r="E445" s="4">
        <f>IF($D445="","",IFERROR(XLOOKUP($D445,Items!$A:$A,Items!$B:$B),"ERR"))</f>
        <v/>
      </c>
      <c r="F445" s="6" t="n"/>
      <c r="G445" s="6">
        <f>IF($D445="","",IFERROR(XLOOKUP($D445,Items!$A:$A,Items!$D:$D),0))</f>
        <v/>
      </c>
      <c r="H445" s="6">
        <f>IF($C445="Issue",IFERROR($F445*$G445,0),0)</f>
        <v/>
      </c>
      <c r="I445" s="6" t="n"/>
      <c r="J445" s="5" t="n"/>
      <c r="K445" s="4" t="n"/>
    </row>
    <row r="446" ht="20" customHeight="1">
      <c r="A446" s="3" t="n"/>
      <c r="B446" s="4" t="n"/>
      <c r="C446" s="5" t="n"/>
      <c r="D446" s="5" t="n"/>
      <c r="E446" s="4">
        <f>IF($D446="","",IFERROR(XLOOKUP($D446,Items!$A:$A,Items!$B:$B),"ERR"))</f>
        <v/>
      </c>
      <c r="F446" s="6" t="n"/>
      <c r="G446" s="6">
        <f>IF($D446="","",IFERROR(XLOOKUP($D446,Items!$A:$A,Items!$D:$D),0))</f>
        <v/>
      </c>
      <c r="H446" s="6">
        <f>IF($C446="Issue",IFERROR($F446*$G446,0),0)</f>
        <v/>
      </c>
      <c r="I446" s="6" t="n"/>
      <c r="J446" s="5" t="n"/>
      <c r="K446" s="4" t="n"/>
    </row>
    <row r="447" ht="20" customHeight="1">
      <c r="A447" s="3" t="n"/>
      <c r="B447" s="4" t="n"/>
      <c r="C447" s="5" t="n"/>
      <c r="D447" s="5" t="n"/>
      <c r="E447" s="4">
        <f>IF($D447="","",IFERROR(XLOOKUP($D447,Items!$A:$A,Items!$B:$B),"ERR"))</f>
        <v/>
      </c>
      <c r="F447" s="6" t="n"/>
      <c r="G447" s="6">
        <f>IF($D447="","",IFERROR(XLOOKUP($D447,Items!$A:$A,Items!$D:$D),0))</f>
        <v/>
      </c>
      <c r="H447" s="6">
        <f>IF($C447="Issue",IFERROR($F447*$G447,0),0)</f>
        <v/>
      </c>
      <c r="I447" s="6" t="n"/>
      <c r="J447" s="5" t="n"/>
      <c r="K447" s="4" t="n"/>
    </row>
    <row r="448" ht="20" customHeight="1">
      <c r="A448" s="3" t="n"/>
      <c r="B448" s="4" t="n"/>
      <c r="C448" s="5" t="n"/>
      <c r="D448" s="5" t="n"/>
      <c r="E448" s="4">
        <f>IF($D448="","",IFERROR(XLOOKUP($D448,Items!$A:$A,Items!$B:$B),"ERR"))</f>
        <v/>
      </c>
      <c r="F448" s="6" t="n"/>
      <c r="G448" s="6">
        <f>IF($D448="","",IFERROR(XLOOKUP($D448,Items!$A:$A,Items!$D:$D),0))</f>
        <v/>
      </c>
      <c r="H448" s="6">
        <f>IF($C448="Issue",IFERROR($F448*$G448,0),0)</f>
        <v/>
      </c>
      <c r="I448" s="6" t="n"/>
      <c r="J448" s="5" t="n"/>
      <c r="K448" s="4" t="n"/>
    </row>
    <row r="449" ht="20" customHeight="1">
      <c r="A449" s="3" t="n"/>
      <c r="B449" s="4" t="n"/>
      <c r="C449" s="5" t="n"/>
      <c r="D449" s="5" t="n"/>
      <c r="E449" s="4">
        <f>IF($D449="","",IFERROR(XLOOKUP($D449,Items!$A:$A,Items!$B:$B),"ERR"))</f>
        <v/>
      </c>
      <c r="F449" s="6" t="n"/>
      <c r="G449" s="6">
        <f>IF($D449="","",IFERROR(XLOOKUP($D449,Items!$A:$A,Items!$D:$D),0))</f>
        <v/>
      </c>
      <c r="H449" s="6">
        <f>IF($C449="Issue",IFERROR($F449*$G449,0),0)</f>
        <v/>
      </c>
      <c r="I449" s="6" t="n"/>
      <c r="J449" s="5" t="n"/>
      <c r="K449" s="4" t="n"/>
    </row>
    <row r="450" ht="20" customHeight="1">
      <c r="A450" s="3" t="n"/>
      <c r="B450" s="4" t="n"/>
      <c r="C450" s="5" t="n"/>
      <c r="D450" s="5" t="n"/>
      <c r="E450" s="4">
        <f>IF($D450="","",IFERROR(XLOOKUP($D450,Items!$A:$A,Items!$B:$B),"ERR"))</f>
        <v/>
      </c>
      <c r="F450" s="6" t="n"/>
      <c r="G450" s="6">
        <f>IF($D450="","",IFERROR(XLOOKUP($D450,Items!$A:$A,Items!$D:$D),0))</f>
        <v/>
      </c>
      <c r="H450" s="6">
        <f>IF($C450="Issue",IFERROR($F450*$G450,0),0)</f>
        <v/>
      </c>
      <c r="I450" s="6" t="n"/>
      <c r="J450" s="5" t="n"/>
      <c r="K450" s="4" t="n"/>
    </row>
    <row r="451" ht="20" customHeight="1">
      <c r="A451" s="3" t="n"/>
      <c r="B451" s="4" t="n"/>
      <c r="C451" s="5" t="n"/>
      <c r="D451" s="5" t="n"/>
      <c r="E451" s="4">
        <f>IF($D451="","",IFERROR(XLOOKUP($D451,Items!$A:$A,Items!$B:$B),"ERR"))</f>
        <v/>
      </c>
      <c r="F451" s="6" t="n"/>
      <c r="G451" s="6">
        <f>IF($D451="","",IFERROR(XLOOKUP($D451,Items!$A:$A,Items!$D:$D),0))</f>
        <v/>
      </c>
      <c r="H451" s="6">
        <f>IF($C451="Issue",IFERROR($F451*$G451,0),0)</f>
        <v/>
      </c>
      <c r="I451" s="6" t="n"/>
      <c r="J451" s="5" t="n"/>
      <c r="K451" s="4" t="n"/>
    </row>
    <row r="452" ht="20" customHeight="1">
      <c r="A452" s="3" t="n"/>
      <c r="B452" s="4" t="n"/>
      <c r="C452" s="5" t="n"/>
      <c r="D452" s="5" t="n"/>
      <c r="E452" s="4">
        <f>IF($D452="","",IFERROR(XLOOKUP($D452,Items!$A:$A,Items!$B:$B),"ERR"))</f>
        <v/>
      </c>
      <c r="F452" s="6" t="n"/>
      <c r="G452" s="6">
        <f>IF($D452="","",IFERROR(XLOOKUP($D452,Items!$A:$A,Items!$D:$D),0))</f>
        <v/>
      </c>
      <c r="H452" s="6">
        <f>IF($C452="Issue",IFERROR($F452*$G452,0),0)</f>
        <v/>
      </c>
      <c r="I452" s="6" t="n"/>
      <c r="J452" s="5" t="n"/>
      <c r="K452" s="4" t="n"/>
    </row>
    <row r="453" ht="20" customHeight="1">
      <c r="A453" s="3" t="n"/>
      <c r="B453" s="4" t="n"/>
      <c r="C453" s="5" t="n"/>
      <c r="D453" s="5" t="n"/>
      <c r="E453" s="4">
        <f>IF($D453="","",IFERROR(XLOOKUP($D453,Items!$A:$A,Items!$B:$B),"ERR"))</f>
        <v/>
      </c>
      <c r="F453" s="6" t="n"/>
      <c r="G453" s="6">
        <f>IF($D453="","",IFERROR(XLOOKUP($D453,Items!$A:$A,Items!$D:$D),0))</f>
        <v/>
      </c>
      <c r="H453" s="6">
        <f>IF($C453="Issue",IFERROR($F453*$G453,0),0)</f>
        <v/>
      </c>
      <c r="I453" s="6" t="n"/>
      <c r="J453" s="5" t="n"/>
      <c r="K453" s="4" t="n"/>
    </row>
    <row r="454" ht="20" customHeight="1">
      <c r="A454" s="3" t="n"/>
      <c r="B454" s="4" t="n"/>
      <c r="C454" s="5" t="n"/>
      <c r="D454" s="5" t="n"/>
      <c r="E454" s="4">
        <f>IF($D454="","",IFERROR(XLOOKUP($D454,Items!$A:$A,Items!$B:$B),"ERR"))</f>
        <v/>
      </c>
      <c r="F454" s="6" t="n"/>
      <c r="G454" s="6">
        <f>IF($D454="","",IFERROR(XLOOKUP($D454,Items!$A:$A,Items!$D:$D),0))</f>
        <v/>
      </c>
      <c r="H454" s="6">
        <f>IF($C454="Issue",IFERROR($F454*$G454,0),0)</f>
        <v/>
      </c>
      <c r="I454" s="6" t="n"/>
      <c r="J454" s="5" t="n"/>
      <c r="K454" s="4" t="n"/>
    </row>
    <row r="455" ht="20" customHeight="1">
      <c r="A455" s="3" t="n"/>
      <c r="B455" s="4" t="n"/>
      <c r="C455" s="5" t="n"/>
      <c r="D455" s="5" t="n"/>
      <c r="E455" s="4">
        <f>IF($D455="","",IFERROR(XLOOKUP($D455,Items!$A:$A,Items!$B:$B),"ERR"))</f>
        <v/>
      </c>
      <c r="F455" s="6" t="n"/>
      <c r="G455" s="6">
        <f>IF($D455="","",IFERROR(XLOOKUP($D455,Items!$A:$A,Items!$D:$D),0))</f>
        <v/>
      </c>
      <c r="H455" s="6">
        <f>IF($C455="Issue",IFERROR($F455*$G455,0),0)</f>
        <v/>
      </c>
      <c r="I455" s="6" t="n"/>
      <c r="J455" s="5" t="n"/>
      <c r="K455" s="4" t="n"/>
    </row>
    <row r="456" ht="20" customHeight="1">
      <c r="A456" s="3" t="n"/>
      <c r="B456" s="4" t="n"/>
      <c r="C456" s="5" t="n"/>
      <c r="D456" s="5" t="n"/>
      <c r="E456" s="4">
        <f>IF($D456="","",IFERROR(XLOOKUP($D456,Items!$A:$A,Items!$B:$B),"ERR"))</f>
        <v/>
      </c>
      <c r="F456" s="6" t="n"/>
      <c r="G456" s="6">
        <f>IF($D456="","",IFERROR(XLOOKUP($D456,Items!$A:$A,Items!$D:$D),0))</f>
        <v/>
      </c>
      <c r="H456" s="6">
        <f>IF($C456="Issue",IFERROR($F456*$G456,0),0)</f>
        <v/>
      </c>
      <c r="I456" s="6" t="n"/>
      <c r="J456" s="5" t="n"/>
      <c r="K456" s="4" t="n"/>
    </row>
    <row r="457" ht="20" customHeight="1">
      <c r="A457" s="3" t="n"/>
      <c r="B457" s="4" t="n"/>
      <c r="C457" s="5" t="n"/>
      <c r="D457" s="5" t="n"/>
      <c r="E457" s="4">
        <f>IF($D457="","",IFERROR(XLOOKUP($D457,Items!$A:$A,Items!$B:$B),"ERR"))</f>
        <v/>
      </c>
      <c r="F457" s="6" t="n"/>
      <c r="G457" s="6">
        <f>IF($D457="","",IFERROR(XLOOKUP($D457,Items!$A:$A,Items!$D:$D),0))</f>
        <v/>
      </c>
      <c r="H457" s="6">
        <f>IF($C457="Issue",IFERROR($F457*$G457,0),0)</f>
        <v/>
      </c>
      <c r="I457" s="6" t="n"/>
      <c r="J457" s="5" t="n"/>
      <c r="K457" s="4" t="n"/>
    </row>
    <row r="458" ht="20" customHeight="1">
      <c r="A458" s="3" t="n"/>
      <c r="B458" s="4" t="n"/>
      <c r="C458" s="5" t="n"/>
      <c r="D458" s="5" t="n"/>
      <c r="E458" s="4">
        <f>IF($D458="","",IFERROR(XLOOKUP($D458,Items!$A:$A,Items!$B:$B),"ERR"))</f>
        <v/>
      </c>
      <c r="F458" s="6" t="n"/>
      <c r="G458" s="6">
        <f>IF($D458="","",IFERROR(XLOOKUP($D458,Items!$A:$A,Items!$D:$D),0))</f>
        <v/>
      </c>
      <c r="H458" s="6">
        <f>IF($C458="Issue",IFERROR($F458*$G458,0),0)</f>
        <v/>
      </c>
      <c r="I458" s="6" t="n"/>
      <c r="J458" s="5" t="n"/>
      <c r="K458" s="4" t="n"/>
    </row>
    <row r="459" ht="20" customHeight="1">
      <c r="A459" s="3" t="n"/>
      <c r="B459" s="4" t="n"/>
      <c r="C459" s="5" t="n"/>
      <c r="D459" s="5" t="n"/>
      <c r="E459" s="4">
        <f>IF($D459="","",IFERROR(XLOOKUP($D459,Items!$A:$A,Items!$B:$B),"ERR"))</f>
        <v/>
      </c>
      <c r="F459" s="6" t="n"/>
      <c r="G459" s="6">
        <f>IF($D459="","",IFERROR(XLOOKUP($D459,Items!$A:$A,Items!$D:$D),0))</f>
        <v/>
      </c>
      <c r="H459" s="6">
        <f>IF($C459="Issue",IFERROR($F459*$G459,0),0)</f>
        <v/>
      </c>
      <c r="I459" s="6" t="n"/>
      <c r="J459" s="5" t="n"/>
      <c r="K459" s="4" t="n"/>
    </row>
    <row r="460" ht="20" customHeight="1">
      <c r="A460" s="3" t="n"/>
      <c r="B460" s="4" t="n"/>
      <c r="C460" s="5" t="n"/>
      <c r="D460" s="5" t="n"/>
      <c r="E460" s="4">
        <f>IF($D460="","",IFERROR(XLOOKUP($D460,Items!$A:$A,Items!$B:$B),"ERR"))</f>
        <v/>
      </c>
      <c r="F460" s="6" t="n"/>
      <c r="G460" s="6">
        <f>IF($D460="","",IFERROR(XLOOKUP($D460,Items!$A:$A,Items!$D:$D),0))</f>
        <v/>
      </c>
      <c r="H460" s="6">
        <f>IF($C460="Issue",IFERROR($F460*$G460,0),0)</f>
        <v/>
      </c>
      <c r="I460" s="6" t="n"/>
      <c r="J460" s="5" t="n"/>
      <c r="K460" s="4" t="n"/>
    </row>
    <row r="461" ht="20" customHeight="1">
      <c r="A461" s="3" t="n"/>
      <c r="B461" s="4" t="n"/>
      <c r="C461" s="5" t="n"/>
      <c r="D461" s="5" t="n"/>
      <c r="E461" s="4">
        <f>IF($D461="","",IFERROR(XLOOKUP($D461,Items!$A:$A,Items!$B:$B),"ERR"))</f>
        <v/>
      </c>
      <c r="F461" s="6" t="n"/>
      <c r="G461" s="6">
        <f>IF($D461="","",IFERROR(XLOOKUP($D461,Items!$A:$A,Items!$D:$D),0))</f>
        <v/>
      </c>
      <c r="H461" s="6">
        <f>IF($C461="Issue",IFERROR($F461*$G461,0),0)</f>
        <v/>
      </c>
      <c r="I461" s="6" t="n"/>
      <c r="J461" s="5" t="n"/>
      <c r="K461" s="4" t="n"/>
    </row>
    <row r="462" ht="20" customHeight="1">
      <c r="A462" s="3" t="n"/>
      <c r="B462" s="4" t="n"/>
      <c r="C462" s="5" t="n"/>
      <c r="D462" s="5" t="n"/>
      <c r="E462" s="4">
        <f>IF($D462="","",IFERROR(XLOOKUP($D462,Items!$A:$A,Items!$B:$B),"ERR"))</f>
        <v/>
      </c>
      <c r="F462" s="6" t="n"/>
      <c r="G462" s="6">
        <f>IF($D462="","",IFERROR(XLOOKUP($D462,Items!$A:$A,Items!$D:$D),0))</f>
        <v/>
      </c>
      <c r="H462" s="6">
        <f>IF($C462="Issue",IFERROR($F462*$G462,0),0)</f>
        <v/>
      </c>
      <c r="I462" s="6" t="n"/>
      <c r="J462" s="5" t="n"/>
      <c r="K462" s="4" t="n"/>
    </row>
    <row r="463" ht="20" customHeight="1">
      <c r="A463" s="3" t="n"/>
      <c r="B463" s="4" t="n"/>
      <c r="C463" s="5" t="n"/>
      <c r="D463" s="5" t="n"/>
      <c r="E463" s="4">
        <f>IF($D463="","",IFERROR(XLOOKUP($D463,Items!$A:$A,Items!$B:$B),"ERR"))</f>
        <v/>
      </c>
      <c r="F463" s="6" t="n"/>
      <c r="G463" s="6">
        <f>IF($D463="","",IFERROR(XLOOKUP($D463,Items!$A:$A,Items!$D:$D),0))</f>
        <v/>
      </c>
      <c r="H463" s="6">
        <f>IF($C463="Issue",IFERROR($F463*$G463,0),0)</f>
        <v/>
      </c>
      <c r="I463" s="6" t="n"/>
      <c r="J463" s="5" t="n"/>
      <c r="K463" s="4" t="n"/>
    </row>
    <row r="464" ht="20" customHeight="1">
      <c r="A464" s="3" t="n"/>
      <c r="B464" s="4" t="n"/>
      <c r="C464" s="5" t="n"/>
      <c r="D464" s="5" t="n"/>
      <c r="E464" s="4">
        <f>IF($D464="","",IFERROR(XLOOKUP($D464,Items!$A:$A,Items!$B:$B),"ERR"))</f>
        <v/>
      </c>
      <c r="F464" s="6" t="n"/>
      <c r="G464" s="6">
        <f>IF($D464="","",IFERROR(XLOOKUP($D464,Items!$A:$A,Items!$D:$D),0))</f>
        <v/>
      </c>
      <c r="H464" s="6">
        <f>IF($C464="Issue",IFERROR($F464*$G464,0),0)</f>
        <v/>
      </c>
      <c r="I464" s="6" t="n"/>
      <c r="J464" s="5" t="n"/>
      <c r="K464" s="4" t="n"/>
    </row>
    <row r="465" ht="20" customHeight="1">
      <c r="A465" s="3" t="n"/>
      <c r="B465" s="4" t="n"/>
      <c r="C465" s="5" t="n"/>
      <c r="D465" s="5" t="n"/>
      <c r="E465" s="4">
        <f>IF($D465="","",IFERROR(XLOOKUP($D465,Items!$A:$A,Items!$B:$B),"ERR"))</f>
        <v/>
      </c>
      <c r="F465" s="6" t="n"/>
      <c r="G465" s="6">
        <f>IF($D465="","",IFERROR(XLOOKUP($D465,Items!$A:$A,Items!$D:$D),0))</f>
        <v/>
      </c>
      <c r="H465" s="6">
        <f>IF($C465="Issue",IFERROR($F465*$G465,0),0)</f>
        <v/>
      </c>
      <c r="I465" s="6" t="n"/>
      <c r="J465" s="5" t="n"/>
      <c r="K465" s="4" t="n"/>
    </row>
    <row r="466" ht="20" customHeight="1">
      <c r="A466" s="3" t="n"/>
      <c r="B466" s="4" t="n"/>
      <c r="C466" s="5" t="n"/>
      <c r="D466" s="5" t="n"/>
      <c r="E466" s="4">
        <f>IF($D466="","",IFERROR(XLOOKUP($D466,Items!$A:$A,Items!$B:$B),"ERR"))</f>
        <v/>
      </c>
      <c r="F466" s="6" t="n"/>
      <c r="G466" s="6">
        <f>IF($D466="","",IFERROR(XLOOKUP($D466,Items!$A:$A,Items!$D:$D),0))</f>
        <v/>
      </c>
      <c r="H466" s="6">
        <f>IF($C466="Issue",IFERROR($F466*$G466,0),0)</f>
        <v/>
      </c>
      <c r="I466" s="6" t="n"/>
      <c r="J466" s="5" t="n"/>
      <c r="K466" s="4" t="n"/>
    </row>
    <row r="467" ht="20" customHeight="1">
      <c r="A467" s="3" t="n"/>
      <c r="B467" s="4" t="n"/>
      <c r="C467" s="5" t="n"/>
      <c r="D467" s="5" t="n"/>
      <c r="E467" s="4">
        <f>IF($D467="","",IFERROR(XLOOKUP($D467,Items!$A:$A,Items!$B:$B),"ERR"))</f>
        <v/>
      </c>
      <c r="F467" s="6" t="n"/>
      <c r="G467" s="6">
        <f>IF($D467="","",IFERROR(XLOOKUP($D467,Items!$A:$A,Items!$D:$D),0))</f>
        <v/>
      </c>
      <c r="H467" s="6">
        <f>IF($C467="Issue",IFERROR($F467*$G467,0),0)</f>
        <v/>
      </c>
      <c r="I467" s="6" t="n"/>
      <c r="J467" s="5" t="n"/>
      <c r="K467" s="4" t="n"/>
    </row>
    <row r="468" ht="20" customHeight="1">
      <c r="A468" s="3" t="n"/>
      <c r="B468" s="4" t="n"/>
      <c r="C468" s="5" t="n"/>
      <c r="D468" s="5" t="n"/>
      <c r="E468" s="4">
        <f>IF($D468="","",IFERROR(XLOOKUP($D468,Items!$A:$A,Items!$B:$B),"ERR"))</f>
        <v/>
      </c>
      <c r="F468" s="6" t="n"/>
      <c r="G468" s="6">
        <f>IF($D468="","",IFERROR(XLOOKUP($D468,Items!$A:$A,Items!$D:$D),0))</f>
        <v/>
      </c>
      <c r="H468" s="6">
        <f>IF($C468="Issue",IFERROR($F468*$G468,0),0)</f>
        <v/>
      </c>
      <c r="I468" s="6" t="n"/>
      <c r="J468" s="5" t="n"/>
      <c r="K468" s="4" t="n"/>
    </row>
    <row r="469" ht="20" customHeight="1">
      <c r="A469" s="3" t="n"/>
      <c r="B469" s="4" t="n"/>
      <c r="C469" s="5" t="n"/>
      <c r="D469" s="5" t="n"/>
      <c r="E469" s="4">
        <f>IF($D469="","",IFERROR(XLOOKUP($D469,Items!$A:$A,Items!$B:$B),"ERR"))</f>
        <v/>
      </c>
      <c r="F469" s="6" t="n"/>
      <c r="G469" s="6">
        <f>IF($D469="","",IFERROR(XLOOKUP($D469,Items!$A:$A,Items!$D:$D),0))</f>
        <v/>
      </c>
      <c r="H469" s="6">
        <f>IF($C469="Issue",IFERROR($F469*$G469,0),0)</f>
        <v/>
      </c>
      <c r="I469" s="6" t="n"/>
      <c r="J469" s="5" t="n"/>
      <c r="K469" s="4" t="n"/>
    </row>
    <row r="470" ht="20" customHeight="1">
      <c r="A470" s="3" t="n"/>
      <c r="B470" s="4" t="n"/>
      <c r="C470" s="5" t="n"/>
      <c r="D470" s="5" t="n"/>
      <c r="E470" s="4">
        <f>IF($D470="","",IFERROR(XLOOKUP($D470,Items!$A:$A,Items!$B:$B),"ERR"))</f>
        <v/>
      </c>
      <c r="F470" s="6" t="n"/>
      <c r="G470" s="6">
        <f>IF($D470="","",IFERROR(XLOOKUP($D470,Items!$A:$A,Items!$D:$D),0))</f>
        <v/>
      </c>
      <c r="H470" s="6">
        <f>IF($C470="Issue",IFERROR($F470*$G470,0),0)</f>
        <v/>
      </c>
      <c r="I470" s="6" t="n"/>
      <c r="J470" s="5" t="n"/>
      <c r="K470" s="4" t="n"/>
    </row>
    <row r="471" ht="20" customHeight="1">
      <c r="A471" s="3" t="n"/>
      <c r="B471" s="4" t="n"/>
      <c r="C471" s="5" t="n"/>
      <c r="D471" s="5" t="n"/>
      <c r="E471" s="4">
        <f>IF($D471="","",IFERROR(XLOOKUP($D471,Items!$A:$A,Items!$B:$B),"ERR"))</f>
        <v/>
      </c>
      <c r="F471" s="6" t="n"/>
      <c r="G471" s="6">
        <f>IF($D471="","",IFERROR(XLOOKUP($D471,Items!$A:$A,Items!$D:$D),0))</f>
        <v/>
      </c>
      <c r="H471" s="6">
        <f>IF($C471="Issue",IFERROR($F471*$G471,0),0)</f>
        <v/>
      </c>
      <c r="I471" s="6" t="n"/>
      <c r="J471" s="5" t="n"/>
      <c r="K471" s="4" t="n"/>
    </row>
    <row r="472" ht="20" customHeight="1">
      <c r="A472" s="3" t="n"/>
      <c r="B472" s="4" t="n"/>
      <c r="C472" s="5" t="n"/>
      <c r="D472" s="5" t="n"/>
      <c r="E472" s="4">
        <f>IF($D472="","",IFERROR(XLOOKUP($D472,Items!$A:$A,Items!$B:$B),"ERR"))</f>
        <v/>
      </c>
      <c r="F472" s="6" t="n"/>
      <c r="G472" s="6">
        <f>IF($D472="","",IFERROR(XLOOKUP($D472,Items!$A:$A,Items!$D:$D),0))</f>
        <v/>
      </c>
      <c r="H472" s="6">
        <f>IF($C472="Issue",IFERROR($F472*$G472,0),0)</f>
        <v/>
      </c>
      <c r="I472" s="6" t="n"/>
      <c r="J472" s="5" t="n"/>
      <c r="K472" s="4" t="n"/>
    </row>
    <row r="473" ht="20" customHeight="1">
      <c r="A473" s="3" t="n"/>
      <c r="B473" s="4" t="n"/>
      <c r="C473" s="5" t="n"/>
      <c r="D473" s="5" t="n"/>
      <c r="E473" s="4">
        <f>IF($D473="","",IFERROR(XLOOKUP($D473,Items!$A:$A,Items!$B:$B),"ERR"))</f>
        <v/>
      </c>
      <c r="F473" s="6" t="n"/>
      <c r="G473" s="6">
        <f>IF($D473="","",IFERROR(XLOOKUP($D473,Items!$A:$A,Items!$D:$D),0))</f>
        <v/>
      </c>
      <c r="H473" s="6">
        <f>IF($C473="Issue",IFERROR($F473*$G473,0),0)</f>
        <v/>
      </c>
      <c r="I473" s="6" t="n"/>
      <c r="J473" s="5" t="n"/>
      <c r="K473" s="4" t="n"/>
    </row>
    <row r="474" ht="20" customHeight="1">
      <c r="A474" s="3" t="n"/>
      <c r="B474" s="4" t="n"/>
      <c r="C474" s="5" t="n"/>
      <c r="D474" s="5" t="n"/>
      <c r="E474" s="4">
        <f>IF($D474="","",IFERROR(XLOOKUP($D474,Items!$A:$A,Items!$B:$B),"ERR"))</f>
        <v/>
      </c>
      <c r="F474" s="6" t="n"/>
      <c r="G474" s="6">
        <f>IF($D474="","",IFERROR(XLOOKUP($D474,Items!$A:$A,Items!$D:$D),0))</f>
        <v/>
      </c>
      <c r="H474" s="6">
        <f>IF($C474="Issue",IFERROR($F474*$G474,0),0)</f>
        <v/>
      </c>
      <c r="I474" s="6" t="n"/>
      <c r="J474" s="5" t="n"/>
      <c r="K474" s="4" t="n"/>
    </row>
    <row r="475" ht="20" customHeight="1">
      <c r="A475" s="3" t="n"/>
      <c r="B475" s="4" t="n"/>
      <c r="C475" s="5" t="n"/>
      <c r="D475" s="5" t="n"/>
      <c r="E475" s="4">
        <f>IF($D475="","",IFERROR(XLOOKUP($D475,Items!$A:$A,Items!$B:$B),"ERR"))</f>
        <v/>
      </c>
      <c r="F475" s="6" t="n"/>
      <c r="G475" s="6">
        <f>IF($D475="","",IFERROR(XLOOKUP($D475,Items!$A:$A,Items!$D:$D),0))</f>
        <v/>
      </c>
      <c r="H475" s="6">
        <f>IF($C475="Issue",IFERROR($F475*$G475,0),0)</f>
        <v/>
      </c>
      <c r="I475" s="6" t="n"/>
      <c r="J475" s="5" t="n"/>
      <c r="K475" s="4" t="n"/>
    </row>
    <row r="476" ht="20" customHeight="1">
      <c r="A476" s="3" t="n"/>
      <c r="B476" s="4" t="n"/>
      <c r="C476" s="5" t="n"/>
      <c r="D476" s="5" t="n"/>
      <c r="E476" s="4">
        <f>IF($D476="","",IFERROR(XLOOKUP($D476,Items!$A:$A,Items!$B:$B),"ERR"))</f>
        <v/>
      </c>
      <c r="F476" s="6" t="n"/>
      <c r="G476" s="6">
        <f>IF($D476="","",IFERROR(XLOOKUP($D476,Items!$A:$A,Items!$D:$D),0))</f>
        <v/>
      </c>
      <c r="H476" s="6">
        <f>IF($C476="Issue",IFERROR($F476*$G476,0),0)</f>
        <v/>
      </c>
      <c r="I476" s="6" t="n"/>
      <c r="J476" s="5" t="n"/>
      <c r="K476" s="4" t="n"/>
    </row>
    <row r="477" ht="20" customHeight="1">
      <c r="A477" s="3" t="n"/>
      <c r="B477" s="4" t="n"/>
      <c r="C477" s="5" t="n"/>
      <c r="D477" s="5" t="n"/>
      <c r="E477" s="4">
        <f>IF($D477="","",IFERROR(XLOOKUP($D477,Items!$A:$A,Items!$B:$B),"ERR"))</f>
        <v/>
      </c>
      <c r="F477" s="6" t="n"/>
      <c r="G477" s="6">
        <f>IF($D477="","",IFERROR(XLOOKUP($D477,Items!$A:$A,Items!$D:$D),0))</f>
        <v/>
      </c>
      <c r="H477" s="6">
        <f>IF($C477="Issue",IFERROR($F477*$G477,0),0)</f>
        <v/>
      </c>
      <c r="I477" s="6" t="n"/>
      <c r="J477" s="5" t="n"/>
      <c r="K477" s="4" t="n"/>
    </row>
    <row r="478" ht="20" customHeight="1">
      <c r="A478" s="3" t="n"/>
      <c r="B478" s="4" t="n"/>
      <c r="C478" s="5" t="n"/>
      <c r="D478" s="5" t="n"/>
      <c r="E478" s="4">
        <f>IF($D478="","",IFERROR(XLOOKUP($D478,Items!$A:$A,Items!$B:$B),"ERR"))</f>
        <v/>
      </c>
      <c r="F478" s="6" t="n"/>
      <c r="G478" s="6">
        <f>IF($D478="","",IFERROR(XLOOKUP($D478,Items!$A:$A,Items!$D:$D),0))</f>
        <v/>
      </c>
      <c r="H478" s="6">
        <f>IF($C478="Issue",IFERROR($F478*$G478,0),0)</f>
        <v/>
      </c>
      <c r="I478" s="6" t="n"/>
      <c r="J478" s="5" t="n"/>
      <c r="K478" s="4" t="n"/>
    </row>
    <row r="479" ht="20" customHeight="1">
      <c r="A479" s="3" t="n"/>
      <c r="B479" s="4" t="n"/>
      <c r="C479" s="5" t="n"/>
      <c r="D479" s="5" t="n"/>
      <c r="E479" s="4">
        <f>IF($D479="","",IFERROR(XLOOKUP($D479,Items!$A:$A,Items!$B:$B),"ERR"))</f>
        <v/>
      </c>
      <c r="F479" s="6" t="n"/>
      <c r="G479" s="6">
        <f>IF($D479="","",IFERROR(XLOOKUP($D479,Items!$A:$A,Items!$D:$D),0))</f>
        <v/>
      </c>
      <c r="H479" s="6">
        <f>IF($C479="Issue",IFERROR($F479*$G479,0),0)</f>
        <v/>
      </c>
      <c r="I479" s="6" t="n"/>
      <c r="J479" s="5" t="n"/>
      <c r="K479" s="4" t="n"/>
    </row>
    <row r="480" ht="20" customHeight="1">
      <c r="A480" s="3" t="n"/>
      <c r="B480" s="4" t="n"/>
      <c r="C480" s="5" t="n"/>
      <c r="D480" s="5" t="n"/>
      <c r="E480" s="4">
        <f>IF($D480="","",IFERROR(XLOOKUP($D480,Items!$A:$A,Items!$B:$B),"ERR"))</f>
        <v/>
      </c>
      <c r="F480" s="6" t="n"/>
      <c r="G480" s="6">
        <f>IF($D480="","",IFERROR(XLOOKUP($D480,Items!$A:$A,Items!$D:$D),0))</f>
        <v/>
      </c>
      <c r="H480" s="6">
        <f>IF($C480="Issue",IFERROR($F480*$G480,0),0)</f>
        <v/>
      </c>
      <c r="I480" s="6" t="n"/>
      <c r="J480" s="5" t="n"/>
      <c r="K480" s="4" t="n"/>
    </row>
    <row r="481" ht="20" customHeight="1">
      <c r="A481" s="3" t="n"/>
      <c r="B481" s="4" t="n"/>
      <c r="C481" s="5" t="n"/>
      <c r="D481" s="5" t="n"/>
      <c r="E481" s="4">
        <f>IF($D481="","",IFERROR(XLOOKUP($D481,Items!$A:$A,Items!$B:$B),"ERR"))</f>
        <v/>
      </c>
      <c r="F481" s="6" t="n"/>
      <c r="G481" s="6">
        <f>IF($D481="","",IFERROR(XLOOKUP($D481,Items!$A:$A,Items!$D:$D),0))</f>
        <v/>
      </c>
      <c r="H481" s="6">
        <f>IF($C481="Issue",IFERROR($F481*$G481,0),0)</f>
        <v/>
      </c>
      <c r="I481" s="6" t="n"/>
      <c r="J481" s="5" t="n"/>
      <c r="K481" s="4" t="n"/>
    </row>
    <row r="482" ht="20" customHeight="1">
      <c r="A482" s="3" t="n"/>
      <c r="B482" s="4" t="n"/>
      <c r="C482" s="5" t="n"/>
      <c r="D482" s="5" t="n"/>
      <c r="E482" s="4">
        <f>IF($D482="","",IFERROR(XLOOKUP($D482,Items!$A:$A,Items!$B:$B),"ERR"))</f>
        <v/>
      </c>
      <c r="F482" s="6" t="n"/>
      <c r="G482" s="6">
        <f>IF($D482="","",IFERROR(XLOOKUP($D482,Items!$A:$A,Items!$D:$D),0))</f>
        <v/>
      </c>
      <c r="H482" s="6">
        <f>IF($C482="Issue",IFERROR($F482*$G482,0),0)</f>
        <v/>
      </c>
      <c r="I482" s="6" t="n"/>
      <c r="J482" s="5" t="n"/>
      <c r="K482" s="4" t="n"/>
    </row>
    <row r="483" ht="20" customHeight="1">
      <c r="A483" s="3" t="n"/>
      <c r="B483" s="4" t="n"/>
      <c r="C483" s="5" t="n"/>
      <c r="D483" s="5" t="n"/>
      <c r="E483" s="4">
        <f>IF($D483="","",IFERROR(XLOOKUP($D483,Items!$A:$A,Items!$B:$B),"ERR"))</f>
        <v/>
      </c>
      <c r="F483" s="6" t="n"/>
      <c r="G483" s="6">
        <f>IF($D483="","",IFERROR(XLOOKUP($D483,Items!$A:$A,Items!$D:$D),0))</f>
        <v/>
      </c>
      <c r="H483" s="6">
        <f>IF($C483="Issue",IFERROR($F483*$G483,0),0)</f>
        <v/>
      </c>
      <c r="I483" s="6" t="n"/>
      <c r="J483" s="5" t="n"/>
      <c r="K483" s="4" t="n"/>
    </row>
    <row r="484" ht="20" customHeight="1">
      <c r="A484" s="3" t="n"/>
      <c r="B484" s="4" t="n"/>
      <c r="C484" s="5" t="n"/>
      <c r="D484" s="5" t="n"/>
      <c r="E484" s="4">
        <f>IF($D484="","",IFERROR(XLOOKUP($D484,Items!$A:$A,Items!$B:$B),"ERR"))</f>
        <v/>
      </c>
      <c r="F484" s="6" t="n"/>
      <c r="G484" s="6">
        <f>IF($D484="","",IFERROR(XLOOKUP($D484,Items!$A:$A,Items!$D:$D),0))</f>
        <v/>
      </c>
      <c r="H484" s="6">
        <f>IF($C484="Issue",IFERROR($F484*$G484,0),0)</f>
        <v/>
      </c>
      <c r="I484" s="6" t="n"/>
      <c r="J484" s="5" t="n"/>
      <c r="K484" s="4" t="n"/>
    </row>
    <row r="485" ht="20" customHeight="1">
      <c r="A485" s="3" t="n"/>
      <c r="B485" s="4" t="n"/>
      <c r="C485" s="5" t="n"/>
      <c r="D485" s="5" t="n"/>
      <c r="E485" s="4">
        <f>IF($D485="","",IFERROR(XLOOKUP($D485,Items!$A:$A,Items!$B:$B),"ERR"))</f>
        <v/>
      </c>
      <c r="F485" s="6" t="n"/>
      <c r="G485" s="6">
        <f>IF($D485="","",IFERROR(XLOOKUP($D485,Items!$A:$A,Items!$D:$D),0))</f>
        <v/>
      </c>
      <c r="H485" s="6">
        <f>IF($C485="Issue",IFERROR($F485*$G485,0),0)</f>
        <v/>
      </c>
      <c r="I485" s="6" t="n"/>
      <c r="J485" s="5" t="n"/>
      <c r="K485" s="4" t="n"/>
    </row>
    <row r="486" ht="20" customHeight="1">
      <c r="A486" s="3" t="n"/>
      <c r="B486" s="4" t="n"/>
      <c r="C486" s="5" t="n"/>
      <c r="D486" s="5" t="n"/>
      <c r="E486" s="4">
        <f>IF($D486="","",IFERROR(XLOOKUP($D486,Items!$A:$A,Items!$B:$B),"ERR"))</f>
        <v/>
      </c>
      <c r="F486" s="6" t="n"/>
      <c r="G486" s="6">
        <f>IF($D486="","",IFERROR(XLOOKUP($D486,Items!$A:$A,Items!$D:$D),0))</f>
        <v/>
      </c>
      <c r="H486" s="6">
        <f>IF($C486="Issue",IFERROR($F486*$G486,0),0)</f>
        <v/>
      </c>
      <c r="I486" s="6" t="n"/>
      <c r="J486" s="5" t="n"/>
      <c r="K486" s="4" t="n"/>
    </row>
    <row r="487" ht="20" customHeight="1">
      <c r="A487" s="3" t="n"/>
      <c r="B487" s="4" t="n"/>
      <c r="C487" s="5" t="n"/>
      <c r="D487" s="5" t="n"/>
      <c r="E487" s="4">
        <f>IF($D487="","",IFERROR(XLOOKUP($D487,Items!$A:$A,Items!$B:$B),"ERR"))</f>
        <v/>
      </c>
      <c r="F487" s="6" t="n"/>
      <c r="G487" s="6">
        <f>IF($D487="","",IFERROR(XLOOKUP($D487,Items!$A:$A,Items!$D:$D),0))</f>
        <v/>
      </c>
      <c r="H487" s="6">
        <f>IF($C487="Issue",IFERROR($F487*$G487,0),0)</f>
        <v/>
      </c>
      <c r="I487" s="6" t="n"/>
      <c r="J487" s="5" t="n"/>
      <c r="K487" s="4" t="n"/>
    </row>
    <row r="488" ht="20" customHeight="1">
      <c r="A488" s="3" t="n"/>
      <c r="B488" s="4" t="n"/>
      <c r="C488" s="5" t="n"/>
      <c r="D488" s="5" t="n"/>
      <c r="E488" s="4">
        <f>IF($D488="","",IFERROR(XLOOKUP($D488,Items!$A:$A,Items!$B:$B),"ERR"))</f>
        <v/>
      </c>
      <c r="F488" s="6" t="n"/>
      <c r="G488" s="6">
        <f>IF($D488="","",IFERROR(XLOOKUP($D488,Items!$A:$A,Items!$D:$D),0))</f>
        <v/>
      </c>
      <c r="H488" s="6">
        <f>IF($C488="Issue",IFERROR($F488*$G488,0),0)</f>
        <v/>
      </c>
      <c r="I488" s="6" t="n"/>
      <c r="J488" s="5" t="n"/>
      <c r="K488" s="4" t="n"/>
    </row>
    <row r="489" ht="20" customHeight="1">
      <c r="A489" s="3" t="n"/>
      <c r="B489" s="4" t="n"/>
      <c r="C489" s="5" t="n"/>
      <c r="D489" s="5" t="n"/>
      <c r="E489" s="4">
        <f>IF($D489="","",IFERROR(XLOOKUP($D489,Items!$A:$A,Items!$B:$B),"ERR"))</f>
        <v/>
      </c>
      <c r="F489" s="6" t="n"/>
      <c r="G489" s="6">
        <f>IF($D489="","",IFERROR(XLOOKUP($D489,Items!$A:$A,Items!$D:$D),0))</f>
        <v/>
      </c>
      <c r="H489" s="6">
        <f>IF($C489="Issue",IFERROR($F489*$G489,0),0)</f>
        <v/>
      </c>
      <c r="I489" s="6" t="n"/>
      <c r="J489" s="5" t="n"/>
      <c r="K489" s="4" t="n"/>
    </row>
    <row r="490" ht="20" customHeight="1">
      <c r="A490" s="3" t="n"/>
      <c r="B490" s="4" t="n"/>
      <c r="C490" s="5" t="n"/>
      <c r="D490" s="5" t="n"/>
      <c r="E490" s="4">
        <f>IF($D490="","",IFERROR(XLOOKUP($D490,Items!$A:$A,Items!$B:$B),"ERR"))</f>
        <v/>
      </c>
      <c r="F490" s="6" t="n"/>
      <c r="G490" s="6">
        <f>IF($D490="","",IFERROR(XLOOKUP($D490,Items!$A:$A,Items!$D:$D),0))</f>
        <v/>
      </c>
      <c r="H490" s="6">
        <f>IF($C490="Issue",IFERROR($F490*$G490,0),0)</f>
        <v/>
      </c>
      <c r="I490" s="6" t="n"/>
      <c r="J490" s="5" t="n"/>
      <c r="K490" s="4" t="n"/>
    </row>
    <row r="491" ht="20" customHeight="1">
      <c r="A491" s="3" t="n"/>
      <c r="B491" s="4" t="n"/>
      <c r="C491" s="5" t="n"/>
      <c r="D491" s="5" t="n"/>
      <c r="E491" s="4">
        <f>IF($D491="","",IFERROR(XLOOKUP($D491,Items!$A:$A,Items!$B:$B),"ERR"))</f>
        <v/>
      </c>
      <c r="F491" s="6" t="n"/>
      <c r="G491" s="6">
        <f>IF($D491="","",IFERROR(XLOOKUP($D491,Items!$A:$A,Items!$D:$D),0))</f>
        <v/>
      </c>
      <c r="H491" s="6">
        <f>IF($C491="Issue",IFERROR($F491*$G491,0),0)</f>
        <v/>
      </c>
      <c r="I491" s="6" t="n"/>
      <c r="J491" s="5" t="n"/>
      <c r="K491" s="4" t="n"/>
    </row>
    <row r="492" ht="20" customHeight="1">
      <c r="A492" s="3" t="n"/>
      <c r="B492" s="4" t="n"/>
      <c r="C492" s="5" t="n"/>
      <c r="D492" s="5" t="n"/>
      <c r="E492" s="4">
        <f>IF($D492="","",IFERROR(XLOOKUP($D492,Items!$A:$A,Items!$B:$B),"ERR"))</f>
        <v/>
      </c>
      <c r="F492" s="6" t="n"/>
      <c r="G492" s="6">
        <f>IF($D492="","",IFERROR(XLOOKUP($D492,Items!$A:$A,Items!$D:$D),0))</f>
        <v/>
      </c>
      <c r="H492" s="6">
        <f>IF($C492="Issue",IFERROR($F492*$G492,0),0)</f>
        <v/>
      </c>
      <c r="I492" s="6" t="n"/>
      <c r="J492" s="5" t="n"/>
      <c r="K492" s="4" t="n"/>
    </row>
    <row r="493" ht="20" customHeight="1">
      <c r="A493" s="3" t="n"/>
      <c r="B493" s="4" t="n"/>
      <c r="C493" s="5" t="n"/>
      <c r="D493" s="5" t="n"/>
      <c r="E493" s="4">
        <f>IF($D493="","",IFERROR(XLOOKUP($D493,Items!$A:$A,Items!$B:$B),"ERR"))</f>
        <v/>
      </c>
      <c r="F493" s="6" t="n"/>
      <c r="G493" s="6">
        <f>IF($D493="","",IFERROR(XLOOKUP($D493,Items!$A:$A,Items!$D:$D),0))</f>
        <v/>
      </c>
      <c r="H493" s="6">
        <f>IF($C493="Issue",IFERROR($F493*$G493,0),0)</f>
        <v/>
      </c>
      <c r="I493" s="6" t="n"/>
      <c r="J493" s="5" t="n"/>
      <c r="K493" s="4" t="n"/>
    </row>
    <row r="494" ht="20" customHeight="1">
      <c r="A494" s="3" t="n"/>
      <c r="B494" s="4" t="n"/>
      <c r="C494" s="5" t="n"/>
      <c r="D494" s="5" t="n"/>
      <c r="E494" s="4">
        <f>IF($D494="","",IFERROR(XLOOKUP($D494,Items!$A:$A,Items!$B:$B),"ERR"))</f>
        <v/>
      </c>
      <c r="F494" s="6" t="n"/>
      <c r="G494" s="6">
        <f>IF($D494="","",IFERROR(XLOOKUP($D494,Items!$A:$A,Items!$D:$D),0))</f>
        <v/>
      </c>
      <c r="H494" s="6">
        <f>IF($C494="Issue",IFERROR($F494*$G494,0),0)</f>
        <v/>
      </c>
      <c r="I494" s="6" t="n"/>
      <c r="J494" s="5" t="n"/>
      <c r="K494" s="4" t="n"/>
    </row>
    <row r="495" ht="20" customHeight="1">
      <c r="A495" s="3" t="n"/>
      <c r="B495" s="4" t="n"/>
      <c r="C495" s="5" t="n"/>
      <c r="D495" s="5" t="n"/>
      <c r="E495" s="4">
        <f>IF($D495="","",IFERROR(XLOOKUP($D495,Items!$A:$A,Items!$B:$B),"ERR"))</f>
        <v/>
      </c>
      <c r="F495" s="6" t="n"/>
      <c r="G495" s="6">
        <f>IF($D495="","",IFERROR(XLOOKUP($D495,Items!$A:$A,Items!$D:$D),0))</f>
        <v/>
      </c>
      <c r="H495" s="6">
        <f>IF($C495="Issue",IFERROR($F495*$G495,0),0)</f>
        <v/>
      </c>
      <c r="I495" s="6" t="n"/>
      <c r="J495" s="5" t="n"/>
      <c r="K495" s="4" t="n"/>
    </row>
    <row r="496" ht="20" customHeight="1">
      <c r="A496" s="3" t="n"/>
      <c r="B496" s="4" t="n"/>
      <c r="C496" s="5" t="n"/>
      <c r="D496" s="5" t="n"/>
      <c r="E496" s="4">
        <f>IF($D496="","",IFERROR(XLOOKUP($D496,Items!$A:$A,Items!$B:$B),"ERR"))</f>
        <v/>
      </c>
      <c r="F496" s="6" t="n"/>
      <c r="G496" s="6">
        <f>IF($D496="","",IFERROR(XLOOKUP($D496,Items!$A:$A,Items!$D:$D),0))</f>
        <v/>
      </c>
      <c r="H496" s="6">
        <f>IF($C496="Issue",IFERROR($F496*$G496,0),0)</f>
        <v/>
      </c>
      <c r="I496" s="6" t="n"/>
      <c r="J496" s="5" t="n"/>
      <c r="K496" s="4" t="n"/>
    </row>
    <row r="497" ht="20" customHeight="1">
      <c r="A497" s="3" t="n"/>
      <c r="B497" s="4" t="n"/>
      <c r="C497" s="5" t="n"/>
      <c r="D497" s="5" t="n"/>
      <c r="E497" s="4">
        <f>IF($D497="","",IFERROR(XLOOKUP($D497,Items!$A:$A,Items!$B:$B),"ERR"))</f>
        <v/>
      </c>
      <c r="F497" s="6" t="n"/>
      <c r="G497" s="6">
        <f>IF($D497="","",IFERROR(XLOOKUP($D497,Items!$A:$A,Items!$D:$D),0))</f>
        <v/>
      </c>
      <c r="H497" s="6">
        <f>IF($C497="Issue",IFERROR($F497*$G497,0),0)</f>
        <v/>
      </c>
      <c r="I497" s="6" t="n"/>
      <c r="J497" s="5" t="n"/>
      <c r="K497" s="4" t="n"/>
    </row>
    <row r="498" ht="20" customHeight="1">
      <c r="A498" s="3" t="n"/>
      <c r="B498" s="4" t="n"/>
      <c r="C498" s="5" t="n"/>
      <c r="D498" s="5" t="n"/>
      <c r="E498" s="4">
        <f>IF($D498="","",IFERROR(XLOOKUP($D498,Items!$A:$A,Items!$B:$B),"ERR"))</f>
        <v/>
      </c>
      <c r="F498" s="6" t="n"/>
      <c r="G498" s="6">
        <f>IF($D498="","",IFERROR(XLOOKUP($D498,Items!$A:$A,Items!$D:$D),0))</f>
        <v/>
      </c>
      <c r="H498" s="6">
        <f>IF($C498="Issue",IFERROR($F498*$G498,0),0)</f>
        <v/>
      </c>
      <c r="I498" s="6" t="n"/>
      <c r="J498" s="5" t="n"/>
      <c r="K498" s="4" t="n"/>
    </row>
    <row r="499" ht="20" customHeight="1">
      <c r="A499" s="3" t="n"/>
      <c r="B499" s="4" t="n"/>
      <c r="C499" s="5" t="n"/>
      <c r="D499" s="5" t="n"/>
      <c r="E499" s="4">
        <f>IF($D499="","",IFERROR(XLOOKUP($D499,Items!$A:$A,Items!$B:$B),"ERR"))</f>
        <v/>
      </c>
      <c r="F499" s="6" t="n"/>
      <c r="G499" s="6">
        <f>IF($D499="","",IFERROR(XLOOKUP($D499,Items!$A:$A,Items!$D:$D),0))</f>
        <v/>
      </c>
      <c r="H499" s="6">
        <f>IF($C499="Issue",IFERROR($F499*$G499,0),0)</f>
        <v/>
      </c>
      <c r="I499" s="6" t="n"/>
      <c r="J499" s="5" t="n"/>
      <c r="K499" s="4" t="n"/>
    </row>
    <row r="500" ht="20" customHeight="1">
      <c r="A500" s="3" t="n"/>
      <c r="B500" s="4" t="n"/>
      <c r="C500" s="5" t="n"/>
      <c r="D500" s="5" t="n"/>
      <c r="E500" s="4">
        <f>IF($D500="","",IFERROR(XLOOKUP($D500,Items!$A:$A,Items!$B:$B),"ERR"))</f>
        <v/>
      </c>
      <c r="F500" s="6" t="n"/>
      <c r="G500" s="6">
        <f>IF($D500="","",IFERROR(XLOOKUP($D500,Items!$A:$A,Items!$D:$D),0))</f>
        <v/>
      </c>
      <c r="H500" s="6">
        <f>IF($C500="Issue",IFERROR($F500*$G500,0),0)</f>
        <v/>
      </c>
      <c r="I500" s="6" t="n"/>
      <c r="J500" s="5" t="n"/>
      <c r="K500" s="4" t="n"/>
    </row>
    <row r="501" ht="20" customHeight="1">
      <c r="A501" s="3" t="n"/>
      <c r="B501" s="4" t="n"/>
      <c r="C501" s="5" t="n"/>
      <c r="D501" s="5" t="n"/>
      <c r="E501" s="4">
        <f>IF($D501="","",IFERROR(XLOOKUP($D501,Items!$A:$A,Items!$B:$B),"ERR"))</f>
        <v/>
      </c>
      <c r="F501" s="6" t="n"/>
      <c r="G501" s="6">
        <f>IF($D501="","",IFERROR(XLOOKUP($D501,Items!$A:$A,Items!$D:$D),0))</f>
        <v/>
      </c>
      <c r="H501" s="6">
        <f>IF($C501="Issue",IFERROR($F501*$G501,0),0)</f>
        <v/>
      </c>
      <c r="I501" s="6" t="n"/>
      <c r="J501" s="5" t="n"/>
      <c r="K501" s="4" t="n"/>
    </row>
    <row r="502" ht="20" customHeight="1">
      <c r="A502" s="3" t="n"/>
      <c r="B502" s="4" t="n"/>
      <c r="C502" s="5" t="n"/>
      <c r="D502" s="5" t="n"/>
      <c r="E502" s="4">
        <f>IF($D502="","",IFERROR(XLOOKUP($D502,Items!$A:$A,Items!$B:$B),"ERR"))</f>
        <v/>
      </c>
      <c r="F502" s="6" t="n"/>
      <c r="G502" s="6">
        <f>IF($D502="","",IFERROR(XLOOKUP($D502,Items!$A:$A,Items!$D:$D),0))</f>
        <v/>
      </c>
      <c r="H502" s="6">
        <f>IF($C502="Issue",IFERROR($F502*$G502,0),0)</f>
        <v/>
      </c>
      <c r="I502" s="6" t="n"/>
      <c r="J502" s="5" t="n"/>
      <c r="K502" s="4" t="n"/>
    </row>
    <row r="503" ht="20" customHeight="1">
      <c r="A503" s="3" t="n"/>
      <c r="B503" s="4" t="n"/>
      <c r="C503" s="5" t="n"/>
      <c r="D503" s="5" t="n"/>
      <c r="E503" s="4">
        <f>IF($D503="","",IFERROR(XLOOKUP($D503,Items!$A:$A,Items!$B:$B),"ERR"))</f>
        <v/>
      </c>
      <c r="F503" s="6" t="n"/>
      <c r="G503" s="6">
        <f>IF($D503="","",IFERROR(XLOOKUP($D503,Items!$A:$A,Items!$D:$D),0))</f>
        <v/>
      </c>
      <c r="H503" s="6">
        <f>IF($C503="Issue",IFERROR($F503*$G503,0),0)</f>
        <v/>
      </c>
      <c r="I503" s="6" t="n"/>
      <c r="J503" s="5" t="n"/>
      <c r="K503" s="4" t="n"/>
    </row>
    <row r="504" ht="20" customHeight="1">
      <c r="A504" s="3" t="n"/>
      <c r="B504" s="4" t="n"/>
      <c r="C504" s="5" t="n"/>
      <c r="D504" s="5" t="n"/>
      <c r="E504" s="4">
        <f>IF($D504="","",IFERROR(XLOOKUP($D504,Items!$A:$A,Items!$B:$B),"ERR"))</f>
        <v/>
      </c>
      <c r="F504" s="6" t="n"/>
      <c r="G504" s="6">
        <f>IF($D504="","",IFERROR(XLOOKUP($D504,Items!$A:$A,Items!$D:$D),0))</f>
        <v/>
      </c>
      <c r="H504" s="6">
        <f>IF($C504="Issue",IFERROR($F504*$G504,0),0)</f>
        <v/>
      </c>
      <c r="I504" s="6" t="n"/>
      <c r="J504" s="5" t="n"/>
      <c r="K504" s="4" t="n"/>
    </row>
    <row r="505" ht="20" customHeight="1">
      <c r="A505" s="3" t="n"/>
      <c r="B505" s="4" t="n"/>
      <c r="C505" s="5" t="n"/>
      <c r="D505" s="5" t="n"/>
      <c r="E505" s="4">
        <f>IF($D505="","",IFERROR(XLOOKUP($D505,Items!$A:$A,Items!$B:$B),"ERR"))</f>
        <v/>
      </c>
      <c r="F505" s="6" t="n"/>
      <c r="G505" s="6">
        <f>IF($D505="","",IFERROR(XLOOKUP($D505,Items!$A:$A,Items!$D:$D),0))</f>
        <v/>
      </c>
      <c r="H505" s="6">
        <f>IF($C505="Issue",IFERROR($F505*$G505,0),0)</f>
        <v/>
      </c>
      <c r="I505" s="6" t="n"/>
      <c r="J505" s="5" t="n"/>
      <c r="K505" s="4" t="n"/>
    </row>
    <row r="506" ht="20" customHeight="1">
      <c r="A506" s="3" t="n"/>
      <c r="B506" s="4" t="n"/>
      <c r="C506" s="5" t="n"/>
      <c r="D506" s="5" t="n"/>
      <c r="E506" s="4">
        <f>IF($D506="","",IFERROR(XLOOKUP($D506,Items!$A:$A,Items!$B:$B),"ERR"))</f>
        <v/>
      </c>
      <c r="F506" s="6" t="n"/>
      <c r="G506" s="6">
        <f>IF($D506="","",IFERROR(XLOOKUP($D506,Items!$A:$A,Items!$D:$D),0))</f>
        <v/>
      </c>
      <c r="H506" s="6">
        <f>IF($C506="Issue",IFERROR($F506*$G506,0),0)</f>
        <v/>
      </c>
      <c r="I506" s="6" t="n"/>
      <c r="J506" s="5" t="n"/>
      <c r="K506" s="4" t="n"/>
    </row>
    <row r="507" ht="20" customHeight="1">
      <c r="A507" s="3" t="n"/>
      <c r="B507" s="4" t="n"/>
      <c r="C507" s="5" t="n"/>
      <c r="D507" s="5" t="n"/>
      <c r="E507" s="4">
        <f>IF($D507="","",IFERROR(XLOOKUP($D507,Items!$A:$A,Items!$B:$B),"ERR"))</f>
        <v/>
      </c>
      <c r="F507" s="6" t="n"/>
      <c r="G507" s="6">
        <f>IF($D507="","",IFERROR(XLOOKUP($D507,Items!$A:$A,Items!$D:$D),0))</f>
        <v/>
      </c>
      <c r="H507" s="6">
        <f>IF($C507="Issue",IFERROR($F507*$G507,0),0)</f>
        <v/>
      </c>
      <c r="I507" s="6" t="n"/>
      <c r="J507" s="5" t="n"/>
      <c r="K507" s="4" t="n"/>
    </row>
    <row r="508" ht="20" customHeight="1">
      <c r="A508" s="3" t="n"/>
      <c r="B508" s="4" t="n"/>
      <c r="C508" s="5" t="n"/>
      <c r="D508" s="5" t="n"/>
      <c r="E508" s="4">
        <f>IF($D508="","",IFERROR(XLOOKUP($D508,Items!$A:$A,Items!$B:$B),"ERR"))</f>
        <v/>
      </c>
      <c r="F508" s="6" t="n"/>
      <c r="G508" s="6">
        <f>IF($D508="","",IFERROR(XLOOKUP($D508,Items!$A:$A,Items!$D:$D),0))</f>
        <v/>
      </c>
      <c r="H508" s="6">
        <f>IF($C508="Issue",IFERROR($F508*$G508,0),0)</f>
        <v/>
      </c>
      <c r="I508" s="6" t="n"/>
      <c r="J508" s="5" t="n"/>
      <c r="K508" s="4" t="n"/>
    </row>
    <row r="509" ht="20" customHeight="1">
      <c r="A509" s="3" t="n"/>
      <c r="B509" s="4" t="n"/>
      <c r="C509" s="5" t="n"/>
      <c r="D509" s="5" t="n"/>
      <c r="E509" s="4">
        <f>IF($D509="","",IFERROR(XLOOKUP($D509,Items!$A:$A,Items!$B:$B),"ERR"))</f>
        <v/>
      </c>
      <c r="F509" s="6" t="n"/>
      <c r="G509" s="6">
        <f>IF($D509="","",IFERROR(XLOOKUP($D509,Items!$A:$A,Items!$D:$D),0))</f>
        <v/>
      </c>
      <c r="H509" s="6">
        <f>IF($C509="Issue",IFERROR($F509*$G509,0),0)</f>
        <v/>
      </c>
      <c r="I509" s="6" t="n"/>
      <c r="J509" s="5" t="n"/>
      <c r="K509" s="4" t="n"/>
    </row>
    <row r="510" ht="20" customHeight="1">
      <c r="A510" s="3" t="n"/>
      <c r="B510" s="4" t="n"/>
      <c r="C510" s="5" t="n"/>
      <c r="D510" s="5" t="n"/>
      <c r="E510" s="4">
        <f>IF($D510="","",IFERROR(XLOOKUP($D510,Items!$A:$A,Items!$B:$B),"ERR"))</f>
        <v/>
      </c>
      <c r="F510" s="6" t="n"/>
      <c r="G510" s="6">
        <f>IF($D510="","",IFERROR(XLOOKUP($D510,Items!$A:$A,Items!$D:$D),0))</f>
        <v/>
      </c>
      <c r="H510" s="6">
        <f>IF($C510="Issue",IFERROR($F510*$G510,0),0)</f>
        <v/>
      </c>
      <c r="I510" s="6" t="n"/>
      <c r="J510" s="5" t="n"/>
      <c r="K510" s="4" t="n"/>
    </row>
    <row r="511" ht="20" customHeight="1">
      <c r="A511" s="3" t="n"/>
      <c r="B511" s="4" t="n"/>
      <c r="C511" s="5" t="n"/>
      <c r="D511" s="5" t="n"/>
      <c r="E511" s="4">
        <f>IF($D511="","",IFERROR(XLOOKUP($D511,Items!$A:$A,Items!$B:$B),"ERR"))</f>
        <v/>
      </c>
      <c r="F511" s="6" t="n"/>
      <c r="G511" s="6">
        <f>IF($D511="","",IFERROR(XLOOKUP($D511,Items!$A:$A,Items!$D:$D),0))</f>
        <v/>
      </c>
      <c r="H511" s="6">
        <f>IF($C511="Issue",IFERROR($F511*$G511,0),0)</f>
        <v/>
      </c>
      <c r="I511" s="6" t="n"/>
      <c r="J511" s="5" t="n"/>
      <c r="K511" s="4" t="n"/>
    </row>
    <row r="512" ht="20" customHeight="1">
      <c r="A512" s="3" t="n"/>
      <c r="B512" s="4" t="n"/>
      <c r="C512" s="5" t="n"/>
      <c r="D512" s="5" t="n"/>
      <c r="E512" s="4">
        <f>IF($D512="","",IFERROR(XLOOKUP($D512,Items!$A:$A,Items!$B:$B),"ERR"))</f>
        <v/>
      </c>
      <c r="F512" s="6" t="n"/>
      <c r="G512" s="6">
        <f>IF($D512="","",IFERROR(XLOOKUP($D512,Items!$A:$A,Items!$D:$D),0))</f>
        <v/>
      </c>
      <c r="H512" s="6">
        <f>IF($C512="Issue",IFERROR($F512*$G512,0),0)</f>
        <v/>
      </c>
      <c r="I512" s="6" t="n"/>
      <c r="J512" s="5" t="n"/>
      <c r="K512" s="4" t="n"/>
    </row>
    <row r="513" ht="20" customHeight="1">
      <c r="A513" s="3" t="n"/>
      <c r="B513" s="4" t="n"/>
      <c r="C513" s="5" t="n"/>
      <c r="D513" s="5" t="n"/>
      <c r="E513" s="4">
        <f>IF($D513="","",IFERROR(XLOOKUP($D513,Items!$A:$A,Items!$B:$B),"ERR"))</f>
        <v/>
      </c>
      <c r="F513" s="6" t="n"/>
      <c r="G513" s="6">
        <f>IF($D513="","",IFERROR(XLOOKUP($D513,Items!$A:$A,Items!$D:$D),0))</f>
        <v/>
      </c>
      <c r="H513" s="6">
        <f>IF($C513="Issue",IFERROR($F513*$G513,0),0)</f>
        <v/>
      </c>
      <c r="I513" s="6" t="n"/>
      <c r="J513" s="5" t="n"/>
      <c r="K513" s="4" t="n"/>
    </row>
    <row r="514" ht="20" customHeight="1">
      <c r="A514" s="3" t="n"/>
      <c r="B514" s="4" t="n"/>
      <c r="C514" s="5" t="n"/>
      <c r="D514" s="5" t="n"/>
      <c r="E514" s="4">
        <f>IF($D514="","",IFERROR(XLOOKUP($D514,Items!$A:$A,Items!$B:$B),"ERR"))</f>
        <v/>
      </c>
      <c r="F514" s="6" t="n"/>
      <c r="G514" s="6">
        <f>IF($D514="","",IFERROR(XLOOKUP($D514,Items!$A:$A,Items!$D:$D),0))</f>
        <v/>
      </c>
      <c r="H514" s="6">
        <f>IF($C514="Issue",IFERROR($F514*$G514,0),0)</f>
        <v/>
      </c>
      <c r="I514" s="6" t="n"/>
      <c r="J514" s="5" t="n"/>
      <c r="K514" s="4" t="n"/>
    </row>
    <row r="515" ht="20" customHeight="1">
      <c r="A515" s="3" t="n"/>
      <c r="B515" s="4" t="n"/>
      <c r="C515" s="5" t="n"/>
      <c r="D515" s="5" t="n"/>
      <c r="E515" s="4">
        <f>IF($D515="","",IFERROR(XLOOKUP($D515,Items!$A:$A,Items!$B:$B),"ERR"))</f>
        <v/>
      </c>
      <c r="F515" s="6" t="n"/>
      <c r="G515" s="6">
        <f>IF($D515="","",IFERROR(XLOOKUP($D515,Items!$A:$A,Items!$D:$D),0))</f>
        <v/>
      </c>
      <c r="H515" s="6">
        <f>IF($C515="Issue",IFERROR($F515*$G515,0),0)</f>
        <v/>
      </c>
      <c r="I515" s="6" t="n"/>
      <c r="J515" s="5" t="n"/>
      <c r="K515" s="4" t="n"/>
    </row>
    <row r="516" ht="20" customHeight="1">
      <c r="A516" s="3" t="n"/>
      <c r="B516" s="4" t="n"/>
      <c r="C516" s="5" t="n"/>
      <c r="D516" s="5" t="n"/>
      <c r="E516" s="4">
        <f>IF($D516="","",IFERROR(XLOOKUP($D516,Items!$A:$A,Items!$B:$B),"ERR"))</f>
        <v/>
      </c>
      <c r="F516" s="6" t="n"/>
      <c r="G516" s="6">
        <f>IF($D516="","",IFERROR(XLOOKUP($D516,Items!$A:$A,Items!$D:$D),0))</f>
        <v/>
      </c>
      <c r="H516" s="6">
        <f>IF($C516="Issue",IFERROR($F516*$G516,0),0)</f>
        <v/>
      </c>
      <c r="I516" s="6" t="n"/>
      <c r="J516" s="5" t="n"/>
      <c r="K516" s="4" t="n"/>
    </row>
    <row r="517" ht="20" customHeight="1">
      <c r="A517" s="3" t="n"/>
      <c r="B517" s="4" t="n"/>
      <c r="C517" s="5" t="n"/>
      <c r="D517" s="5" t="n"/>
      <c r="E517" s="4">
        <f>IF($D517="","",IFERROR(XLOOKUP($D517,Items!$A:$A,Items!$B:$B),"ERR"))</f>
        <v/>
      </c>
      <c r="F517" s="6" t="n"/>
      <c r="G517" s="6">
        <f>IF($D517="","",IFERROR(XLOOKUP($D517,Items!$A:$A,Items!$D:$D),0))</f>
        <v/>
      </c>
      <c r="H517" s="6">
        <f>IF($C517="Issue",IFERROR($F517*$G517,0),0)</f>
        <v/>
      </c>
      <c r="I517" s="6" t="n"/>
      <c r="J517" s="5" t="n"/>
      <c r="K517" s="4" t="n"/>
    </row>
    <row r="518" ht="20" customHeight="1">
      <c r="A518" s="3" t="n"/>
      <c r="B518" s="4" t="n"/>
      <c r="C518" s="5" t="n"/>
      <c r="D518" s="5" t="n"/>
      <c r="E518" s="4">
        <f>IF($D518="","",IFERROR(XLOOKUP($D518,Items!$A:$A,Items!$B:$B),"ERR"))</f>
        <v/>
      </c>
      <c r="F518" s="6" t="n"/>
      <c r="G518" s="6">
        <f>IF($D518="","",IFERROR(XLOOKUP($D518,Items!$A:$A,Items!$D:$D),0))</f>
        <v/>
      </c>
      <c r="H518" s="6">
        <f>IF($C518="Issue",IFERROR($F518*$G518,0),0)</f>
        <v/>
      </c>
      <c r="I518" s="6" t="n"/>
      <c r="J518" s="5" t="n"/>
      <c r="K518" s="4" t="n"/>
    </row>
    <row r="519" ht="20" customHeight="1">
      <c r="A519" s="3" t="n"/>
      <c r="B519" s="4" t="n"/>
      <c r="C519" s="5" t="n"/>
      <c r="D519" s="5" t="n"/>
      <c r="E519" s="4">
        <f>IF($D519="","",IFERROR(XLOOKUP($D519,Items!$A:$A,Items!$B:$B),"ERR"))</f>
        <v/>
      </c>
      <c r="F519" s="6" t="n"/>
      <c r="G519" s="6">
        <f>IF($D519="","",IFERROR(XLOOKUP($D519,Items!$A:$A,Items!$D:$D),0))</f>
        <v/>
      </c>
      <c r="H519" s="6">
        <f>IF($C519="Issue",IFERROR($F519*$G519,0),0)</f>
        <v/>
      </c>
      <c r="I519" s="6" t="n"/>
      <c r="J519" s="5" t="n"/>
      <c r="K519" s="4" t="n"/>
    </row>
    <row r="520" ht="20" customHeight="1">
      <c r="A520" s="3" t="n"/>
      <c r="B520" s="4" t="n"/>
      <c r="C520" s="5" t="n"/>
      <c r="D520" s="5" t="n"/>
      <c r="E520" s="4">
        <f>IF($D520="","",IFERROR(XLOOKUP($D520,Items!$A:$A,Items!$B:$B),"ERR"))</f>
        <v/>
      </c>
      <c r="F520" s="6" t="n"/>
      <c r="G520" s="6">
        <f>IF($D520="","",IFERROR(XLOOKUP($D520,Items!$A:$A,Items!$D:$D),0))</f>
        <v/>
      </c>
      <c r="H520" s="6">
        <f>IF($C520="Issue",IFERROR($F520*$G520,0),0)</f>
        <v/>
      </c>
      <c r="I520" s="6" t="n"/>
      <c r="J520" s="5" t="n"/>
      <c r="K520" s="4" t="n"/>
    </row>
    <row r="521" ht="20" customHeight="1">
      <c r="A521" s="3" t="n"/>
      <c r="B521" s="4" t="n"/>
      <c r="C521" s="5" t="n"/>
      <c r="D521" s="5" t="n"/>
      <c r="E521" s="4">
        <f>IF($D521="","",IFERROR(XLOOKUP($D521,Items!$A:$A,Items!$B:$B),"ERR"))</f>
        <v/>
      </c>
      <c r="F521" s="6" t="n"/>
      <c r="G521" s="6">
        <f>IF($D521="","",IFERROR(XLOOKUP($D521,Items!$A:$A,Items!$D:$D),0))</f>
        <v/>
      </c>
      <c r="H521" s="6">
        <f>IF($C521="Issue",IFERROR($F521*$G521,0),0)</f>
        <v/>
      </c>
      <c r="I521" s="6" t="n"/>
      <c r="J521" s="5" t="n"/>
      <c r="K521" s="4" t="n"/>
    </row>
    <row r="522" ht="20" customHeight="1">
      <c r="A522" s="3" t="n"/>
      <c r="B522" s="4" t="n"/>
      <c r="C522" s="5" t="n"/>
      <c r="D522" s="5" t="n"/>
      <c r="E522" s="4">
        <f>IF($D522="","",IFERROR(XLOOKUP($D522,Items!$A:$A,Items!$B:$B),"ERR"))</f>
        <v/>
      </c>
      <c r="F522" s="6" t="n"/>
      <c r="G522" s="6">
        <f>IF($D522="","",IFERROR(XLOOKUP($D522,Items!$A:$A,Items!$D:$D),0))</f>
        <v/>
      </c>
      <c r="H522" s="6">
        <f>IF($C522="Issue",IFERROR($F522*$G522,0),0)</f>
        <v/>
      </c>
      <c r="I522" s="6" t="n"/>
      <c r="J522" s="5" t="n"/>
      <c r="K522" s="4" t="n"/>
    </row>
    <row r="523" ht="20" customHeight="1">
      <c r="A523" s="3" t="n"/>
      <c r="B523" s="4" t="n"/>
      <c r="C523" s="5" t="n"/>
      <c r="D523" s="5" t="n"/>
      <c r="E523" s="4">
        <f>IF($D523="","",IFERROR(XLOOKUP($D523,Items!$A:$A,Items!$B:$B),"ERR"))</f>
        <v/>
      </c>
      <c r="F523" s="6" t="n"/>
      <c r="G523" s="6">
        <f>IF($D523="","",IFERROR(XLOOKUP($D523,Items!$A:$A,Items!$D:$D),0))</f>
        <v/>
      </c>
      <c r="H523" s="6">
        <f>IF($C523="Issue",IFERROR($F523*$G523,0),0)</f>
        <v/>
      </c>
      <c r="I523" s="6" t="n"/>
      <c r="J523" s="5" t="n"/>
      <c r="K523" s="4" t="n"/>
    </row>
    <row r="524" ht="20" customHeight="1">
      <c r="A524" s="3" t="n"/>
      <c r="B524" s="4" t="n"/>
      <c r="C524" s="5" t="n"/>
      <c r="D524" s="5" t="n"/>
      <c r="E524" s="4">
        <f>IF($D524="","",IFERROR(XLOOKUP($D524,Items!$A:$A,Items!$B:$B),"ERR"))</f>
        <v/>
      </c>
      <c r="F524" s="6" t="n"/>
      <c r="G524" s="6">
        <f>IF($D524="","",IFERROR(XLOOKUP($D524,Items!$A:$A,Items!$D:$D),0))</f>
        <v/>
      </c>
      <c r="H524" s="6">
        <f>IF($C524="Issue",IFERROR($F524*$G524,0),0)</f>
        <v/>
      </c>
      <c r="I524" s="6" t="n"/>
      <c r="J524" s="5" t="n"/>
      <c r="K524" s="4" t="n"/>
    </row>
    <row r="525" ht="20" customHeight="1">
      <c r="A525" s="3" t="n"/>
      <c r="B525" s="4" t="n"/>
      <c r="C525" s="5" t="n"/>
      <c r="D525" s="5" t="n"/>
      <c r="E525" s="4">
        <f>IF($D525="","",IFERROR(XLOOKUP($D525,Items!$A:$A,Items!$B:$B),"ERR"))</f>
        <v/>
      </c>
      <c r="F525" s="6" t="n"/>
      <c r="G525" s="6">
        <f>IF($D525="","",IFERROR(XLOOKUP($D525,Items!$A:$A,Items!$D:$D),0))</f>
        <v/>
      </c>
      <c r="H525" s="6">
        <f>IF($C525="Issue",IFERROR($F525*$G525,0),0)</f>
        <v/>
      </c>
      <c r="I525" s="6" t="n"/>
      <c r="J525" s="5" t="n"/>
      <c r="K525" s="4" t="n"/>
    </row>
    <row r="526" ht="20" customHeight="1">
      <c r="A526" s="3" t="n"/>
      <c r="B526" s="4" t="n"/>
      <c r="C526" s="5" t="n"/>
      <c r="D526" s="5" t="n"/>
      <c r="E526" s="4">
        <f>IF($D526="","",IFERROR(XLOOKUP($D526,Items!$A:$A,Items!$B:$B),"ERR"))</f>
        <v/>
      </c>
      <c r="F526" s="6" t="n"/>
      <c r="G526" s="6">
        <f>IF($D526="","",IFERROR(XLOOKUP($D526,Items!$A:$A,Items!$D:$D),0))</f>
        <v/>
      </c>
      <c r="H526" s="6">
        <f>IF($C526="Issue",IFERROR($F526*$G526,0),0)</f>
        <v/>
      </c>
      <c r="I526" s="6" t="n"/>
      <c r="J526" s="5" t="n"/>
      <c r="K526" s="4" t="n"/>
    </row>
    <row r="527" ht="20" customHeight="1">
      <c r="A527" s="3" t="n"/>
      <c r="B527" s="4" t="n"/>
      <c r="C527" s="5" t="n"/>
      <c r="D527" s="5" t="n"/>
      <c r="E527" s="4">
        <f>IF($D527="","",IFERROR(XLOOKUP($D527,Items!$A:$A,Items!$B:$B),"ERR"))</f>
        <v/>
      </c>
      <c r="F527" s="6" t="n"/>
      <c r="G527" s="6">
        <f>IF($D527="","",IFERROR(XLOOKUP($D527,Items!$A:$A,Items!$D:$D),0))</f>
        <v/>
      </c>
      <c r="H527" s="6">
        <f>IF($C527="Issue",IFERROR($F527*$G527,0),0)</f>
        <v/>
      </c>
      <c r="I527" s="6" t="n"/>
      <c r="J527" s="5" t="n"/>
      <c r="K527" s="4" t="n"/>
    </row>
    <row r="528" ht="20" customHeight="1">
      <c r="A528" s="3" t="n"/>
      <c r="B528" s="4" t="n"/>
      <c r="C528" s="5" t="n"/>
      <c r="D528" s="5" t="n"/>
      <c r="E528" s="4">
        <f>IF($D528="","",IFERROR(XLOOKUP($D528,Items!$A:$A,Items!$B:$B),"ERR"))</f>
        <v/>
      </c>
      <c r="F528" s="6" t="n"/>
      <c r="G528" s="6">
        <f>IF($D528="","",IFERROR(XLOOKUP($D528,Items!$A:$A,Items!$D:$D),0))</f>
        <v/>
      </c>
      <c r="H528" s="6">
        <f>IF($C528="Issue",IFERROR($F528*$G528,0),0)</f>
        <v/>
      </c>
      <c r="I528" s="6" t="n"/>
      <c r="J528" s="5" t="n"/>
      <c r="K528" s="4" t="n"/>
    </row>
    <row r="529" ht="20" customHeight="1">
      <c r="A529" s="3" t="n"/>
      <c r="B529" s="4" t="n"/>
      <c r="C529" s="5" t="n"/>
      <c r="D529" s="5" t="n"/>
      <c r="E529" s="4">
        <f>IF($D529="","",IFERROR(XLOOKUP($D529,Items!$A:$A,Items!$B:$B),"ERR"))</f>
        <v/>
      </c>
      <c r="F529" s="6" t="n"/>
      <c r="G529" s="6">
        <f>IF($D529="","",IFERROR(XLOOKUP($D529,Items!$A:$A,Items!$D:$D),0))</f>
        <v/>
      </c>
      <c r="H529" s="6">
        <f>IF($C529="Issue",IFERROR($F529*$G529,0),0)</f>
        <v/>
      </c>
      <c r="I529" s="6" t="n"/>
      <c r="J529" s="5" t="n"/>
      <c r="K529" s="4" t="n"/>
    </row>
    <row r="530" ht="20" customHeight="1">
      <c r="A530" s="3" t="n"/>
      <c r="B530" s="4" t="n"/>
      <c r="C530" s="5" t="n"/>
      <c r="D530" s="5" t="n"/>
      <c r="E530" s="4">
        <f>IF($D530="","",IFERROR(XLOOKUP($D530,Items!$A:$A,Items!$B:$B),"ERR"))</f>
        <v/>
      </c>
      <c r="F530" s="6" t="n"/>
      <c r="G530" s="6">
        <f>IF($D530="","",IFERROR(XLOOKUP($D530,Items!$A:$A,Items!$D:$D),0))</f>
        <v/>
      </c>
      <c r="H530" s="6">
        <f>IF($C530="Issue",IFERROR($F530*$G530,0),0)</f>
        <v/>
      </c>
      <c r="I530" s="6" t="n"/>
      <c r="J530" s="5" t="n"/>
      <c r="K530" s="4" t="n"/>
    </row>
    <row r="531" ht="20" customHeight="1">
      <c r="A531" s="3" t="n"/>
      <c r="B531" s="4" t="n"/>
      <c r="C531" s="5" t="n"/>
      <c r="D531" s="5" t="n"/>
      <c r="E531" s="4">
        <f>IF($D531="","",IFERROR(XLOOKUP($D531,Items!$A:$A,Items!$B:$B),"ERR"))</f>
        <v/>
      </c>
      <c r="F531" s="6" t="n"/>
      <c r="G531" s="6">
        <f>IF($D531="","",IFERROR(XLOOKUP($D531,Items!$A:$A,Items!$D:$D),0))</f>
        <v/>
      </c>
      <c r="H531" s="6">
        <f>IF($C531="Issue",IFERROR($F531*$G531,0),0)</f>
        <v/>
      </c>
      <c r="I531" s="6" t="n"/>
      <c r="J531" s="5" t="n"/>
      <c r="K531" s="4" t="n"/>
    </row>
    <row r="532" ht="20" customHeight="1">
      <c r="A532" s="3" t="n"/>
      <c r="B532" s="4" t="n"/>
      <c r="C532" s="5" t="n"/>
      <c r="D532" s="5" t="n"/>
      <c r="E532" s="4">
        <f>IF($D532="","",IFERROR(XLOOKUP($D532,Items!$A:$A,Items!$B:$B),"ERR"))</f>
        <v/>
      </c>
      <c r="F532" s="6" t="n"/>
      <c r="G532" s="6">
        <f>IF($D532="","",IFERROR(XLOOKUP($D532,Items!$A:$A,Items!$D:$D),0))</f>
        <v/>
      </c>
      <c r="H532" s="6">
        <f>IF($C532="Issue",IFERROR($F532*$G532,0),0)</f>
        <v/>
      </c>
      <c r="I532" s="6" t="n"/>
      <c r="J532" s="5" t="n"/>
      <c r="K532" s="4" t="n"/>
    </row>
    <row r="533" ht="20" customHeight="1">
      <c r="A533" s="3" t="n"/>
      <c r="B533" s="4" t="n"/>
      <c r="C533" s="5" t="n"/>
      <c r="D533" s="5" t="n"/>
      <c r="E533" s="4">
        <f>IF($D533="","",IFERROR(XLOOKUP($D533,Items!$A:$A,Items!$B:$B),"ERR"))</f>
        <v/>
      </c>
      <c r="F533" s="6" t="n"/>
      <c r="G533" s="6">
        <f>IF($D533="","",IFERROR(XLOOKUP($D533,Items!$A:$A,Items!$D:$D),0))</f>
        <v/>
      </c>
      <c r="H533" s="6">
        <f>IF($C533="Issue",IFERROR($F533*$G533,0),0)</f>
        <v/>
      </c>
      <c r="I533" s="6" t="n"/>
      <c r="J533" s="5" t="n"/>
      <c r="K533" s="4" t="n"/>
    </row>
    <row r="534" ht="20" customHeight="1">
      <c r="A534" s="3" t="n"/>
      <c r="B534" s="4" t="n"/>
      <c r="C534" s="5" t="n"/>
      <c r="D534" s="5" t="n"/>
      <c r="E534" s="4">
        <f>IF($D534="","",IFERROR(XLOOKUP($D534,Items!$A:$A,Items!$B:$B),"ERR"))</f>
        <v/>
      </c>
      <c r="F534" s="6" t="n"/>
      <c r="G534" s="6">
        <f>IF($D534="","",IFERROR(XLOOKUP($D534,Items!$A:$A,Items!$D:$D),0))</f>
        <v/>
      </c>
      <c r="H534" s="6">
        <f>IF($C534="Issue",IFERROR($F534*$G534,0),0)</f>
        <v/>
      </c>
      <c r="I534" s="6" t="n"/>
      <c r="J534" s="5" t="n"/>
      <c r="K534" s="4" t="n"/>
    </row>
    <row r="535" ht="20" customHeight="1">
      <c r="A535" s="3" t="n"/>
      <c r="B535" s="4" t="n"/>
      <c r="C535" s="5" t="n"/>
      <c r="D535" s="5" t="n"/>
      <c r="E535" s="4">
        <f>IF($D535="","",IFERROR(XLOOKUP($D535,Items!$A:$A,Items!$B:$B),"ERR"))</f>
        <v/>
      </c>
      <c r="F535" s="6" t="n"/>
      <c r="G535" s="6">
        <f>IF($D535="","",IFERROR(XLOOKUP($D535,Items!$A:$A,Items!$D:$D),0))</f>
        <v/>
      </c>
      <c r="H535" s="6">
        <f>IF($C535="Issue",IFERROR($F535*$G535,0),0)</f>
        <v/>
      </c>
      <c r="I535" s="6" t="n"/>
      <c r="J535" s="5" t="n"/>
      <c r="K535" s="4" t="n"/>
    </row>
    <row r="536" ht="20" customHeight="1">
      <c r="A536" s="3" t="n"/>
      <c r="B536" s="4" t="n"/>
      <c r="C536" s="5" t="n"/>
      <c r="D536" s="5" t="n"/>
      <c r="E536" s="4">
        <f>IF($D536="","",IFERROR(XLOOKUP($D536,Items!$A:$A,Items!$B:$B),"ERR"))</f>
        <v/>
      </c>
      <c r="F536" s="6" t="n"/>
      <c r="G536" s="6">
        <f>IF($D536="","",IFERROR(XLOOKUP($D536,Items!$A:$A,Items!$D:$D),0))</f>
        <v/>
      </c>
      <c r="H536" s="6">
        <f>IF($C536="Issue",IFERROR($F536*$G536,0),0)</f>
        <v/>
      </c>
      <c r="I536" s="6" t="n"/>
      <c r="J536" s="5" t="n"/>
      <c r="K536" s="4" t="n"/>
    </row>
    <row r="537" ht="20" customHeight="1">
      <c r="A537" s="3" t="n"/>
      <c r="B537" s="4" t="n"/>
      <c r="C537" s="5" t="n"/>
      <c r="D537" s="5" t="n"/>
      <c r="E537" s="4">
        <f>IF($D537="","",IFERROR(XLOOKUP($D537,Items!$A:$A,Items!$B:$B),"ERR"))</f>
        <v/>
      </c>
      <c r="F537" s="6" t="n"/>
      <c r="G537" s="6">
        <f>IF($D537="","",IFERROR(XLOOKUP($D537,Items!$A:$A,Items!$D:$D),0))</f>
        <v/>
      </c>
      <c r="H537" s="6">
        <f>IF($C537="Issue",IFERROR($F537*$G537,0),0)</f>
        <v/>
      </c>
      <c r="I537" s="6" t="n"/>
      <c r="J537" s="5" t="n"/>
      <c r="K537" s="4" t="n"/>
    </row>
    <row r="538" ht="20" customHeight="1">
      <c r="A538" s="3" t="n"/>
      <c r="B538" s="4" t="n"/>
      <c r="C538" s="5" t="n"/>
      <c r="D538" s="5" t="n"/>
      <c r="E538" s="4">
        <f>IF($D538="","",IFERROR(XLOOKUP($D538,Items!$A:$A,Items!$B:$B),"ERR"))</f>
        <v/>
      </c>
      <c r="F538" s="6" t="n"/>
      <c r="G538" s="6">
        <f>IF($D538="","",IFERROR(XLOOKUP($D538,Items!$A:$A,Items!$D:$D),0))</f>
        <v/>
      </c>
      <c r="H538" s="6">
        <f>IF($C538="Issue",IFERROR($F538*$G538,0),0)</f>
        <v/>
      </c>
      <c r="I538" s="6" t="n"/>
      <c r="J538" s="5" t="n"/>
      <c r="K538" s="4" t="n"/>
    </row>
    <row r="539" ht="20" customHeight="1">
      <c r="A539" s="3" t="n"/>
      <c r="B539" s="4" t="n"/>
      <c r="C539" s="5" t="n"/>
      <c r="D539" s="5" t="n"/>
      <c r="E539" s="4">
        <f>IF($D539="","",IFERROR(XLOOKUP($D539,Items!$A:$A,Items!$B:$B),"ERR"))</f>
        <v/>
      </c>
      <c r="F539" s="6" t="n"/>
      <c r="G539" s="6">
        <f>IF($D539="","",IFERROR(XLOOKUP($D539,Items!$A:$A,Items!$D:$D),0))</f>
        <v/>
      </c>
      <c r="H539" s="6">
        <f>IF($C539="Issue",IFERROR($F539*$G539,0),0)</f>
        <v/>
      </c>
      <c r="I539" s="6" t="n"/>
      <c r="J539" s="5" t="n"/>
      <c r="K539" s="4" t="n"/>
    </row>
    <row r="540" ht="20" customHeight="1">
      <c r="A540" s="3" t="n"/>
      <c r="B540" s="4" t="n"/>
      <c r="C540" s="5" t="n"/>
      <c r="D540" s="5" t="n"/>
      <c r="E540" s="4">
        <f>IF($D540="","",IFERROR(XLOOKUP($D540,Items!$A:$A,Items!$B:$B),"ERR"))</f>
        <v/>
      </c>
      <c r="F540" s="6" t="n"/>
      <c r="G540" s="6">
        <f>IF($D540="","",IFERROR(XLOOKUP($D540,Items!$A:$A,Items!$D:$D),0))</f>
        <v/>
      </c>
      <c r="H540" s="6">
        <f>IF($C540="Issue",IFERROR($F540*$G540,0),0)</f>
        <v/>
      </c>
      <c r="I540" s="6" t="n"/>
      <c r="J540" s="5" t="n"/>
      <c r="K540" s="4" t="n"/>
    </row>
    <row r="541" ht="20" customHeight="1">
      <c r="A541" s="3" t="n"/>
      <c r="B541" s="4" t="n"/>
      <c r="C541" s="5" t="n"/>
      <c r="D541" s="5" t="n"/>
      <c r="E541" s="4">
        <f>IF($D541="","",IFERROR(XLOOKUP($D541,Items!$A:$A,Items!$B:$B),"ERR"))</f>
        <v/>
      </c>
      <c r="F541" s="6" t="n"/>
      <c r="G541" s="6">
        <f>IF($D541="","",IFERROR(XLOOKUP($D541,Items!$A:$A,Items!$D:$D),0))</f>
        <v/>
      </c>
      <c r="H541" s="6">
        <f>IF($C541="Issue",IFERROR($F541*$G541,0),0)</f>
        <v/>
      </c>
      <c r="I541" s="6" t="n"/>
      <c r="J541" s="5" t="n"/>
      <c r="K541" s="4" t="n"/>
    </row>
    <row r="542" ht="20" customHeight="1">
      <c r="A542" s="3" t="n"/>
      <c r="B542" s="4" t="n"/>
      <c r="C542" s="5" t="n"/>
      <c r="D542" s="5" t="n"/>
      <c r="E542" s="4">
        <f>IF($D542="","",IFERROR(XLOOKUP($D542,Items!$A:$A,Items!$B:$B),"ERR"))</f>
        <v/>
      </c>
      <c r="F542" s="6" t="n"/>
      <c r="G542" s="6">
        <f>IF($D542="","",IFERROR(XLOOKUP($D542,Items!$A:$A,Items!$D:$D),0))</f>
        <v/>
      </c>
      <c r="H542" s="6">
        <f>IF($C542="Issue",IFERROR($F542*$G542,0),0)</f>
        <v/>
      </c>
      <c r="I542" s="6" t="n"/>
      <c r="J542" s="5" t="n"/>
      <c r="K542" s="4" t="n"/>
    </row>
    <row r="543" ht="20" customHeight="1">
      <c r="A543" s="3" t="n"/>
      <c r="B543" s="4" t="n"/>
      <c r="C543" s="5" t="n"/>
      <c r="D543" s="5" t="n"/>
      <c r="E543" s="4">
        <f>IF($D543="","",IFERROR(XLOOKUP($D543,Items!$A:$A,Items!$B:$B),"ERR"))</f>
        <v/>
      </c>
      <c r="F543" s="6" t="n"/>
      <c r="G543" s="6">
        <f>IF($D543="","",IFERROR(XLOOKUP($D543,Items!$A:$A,Items!$D:$D),0))</f>
        <v/>
      </c>
      <c r="H543" s="6">
        <f>IF($C543="Issue",IFERROR($F543*$G543,0),0)</f>
        <v/>
      </c>
      <c r="I543" s="6" t="n"/>
      <c r="J543" s="5" t="n"/>
      <c r="K543" s="4" t="n"/>
    </row>
    <row r="544" ht="20" customHeight="1">
      <c r="A544" s="3" t="n"/>
      <c r="B544" s="4" t="n"/>
      <c r="C544" s="5" t="n"/>
      <c r="D544" s="5" t="n"/>
      <c r="E544" s="4">
        <f>IF($D544="","",IFERROR(XLOOKUP($D544,Items!$A:$A,Items!$B:$B),"ERR"))</f>
        <v/>
      </c>
      <c r="F544" s="6" t="n"/>
      <c r="G544" s="6">
        <f>IF($D544="","",IFERROR(XLOOKUP($D544,Items!$A:$A,Items!$D:$D),0))</f>
        <v/>
      </c>
      <c r="H544" s="6">
        <f>IF($C544="Issue",IFERROR($F544*$G544,0),0)</f>
        <v/>
      </c>
      <c r="I544" s="6" t="n"/>
      <c r="J544" s="5" t="n"/>
      <c r="K544" s="4" t="n"/>
    </row>
    <row r="545" ht="20" customHeight="1">
      <c r="A545" s="3" t="n"/>
      <c r="B545" s="4" t="n"/>
      <c r="C545" s="5" t="n"/>
      <c r="D545" s="5" t="n"/>
      <c r="E545" s="4">
        <f>IF($D545="","",IFERROR(XLOOKUP($D545,Items!$A:$A,Items!$B:$B),"ERR"))</f>
        <v/>
      </c>
      <c r="F545" s="6" t="n"/>
      <c r="G545" s="6">
        <f>IF($D545="","",IFERROR(XLOOKUP($D545,Items!$A:$A,Items!$D:$D),0))</f>
        <v/>
      </c>
      <c r="H545" s="6">
        <f>IF($C545="Issue",IFERROR($F545*$G545,0),0)</f>
        <v/>
      </c>
      <c r="I545" s="6" t="n"/>
      <c r="J545" s="5" t="n"/>
      <c r="K545" s="4" t="n"/>
    </row>
    <row r="546" ht="20" customHeight="1">
      <c r="A546" s="3" t="n"/>
      <c r="B546" s="4" t="n"/>
      <c r="C546" s="5" t="n"/>
      <c r="D546" s="5" t="n"/>
      <c r="E546" s="4">
        <f>IF($D546="","",IFERROR(XLOOKUP($D546,Items!$A:$A,Items!$B:$B),"ERR"))</f>
        <v/>
      </c>
      <c r="F546" s="6" t="n"/>
      <c r="G546" s="6">
        <f>IF($D546="","",IFERROR(XLOOKUP($D546,Items!$A:$A,Items!$D:$D),0))</f>
        <v/>
      </c>
      <c r="H546" s="6">
        <f>IF($C546="Issue",IFERROR($F546*$G546,0),0)</f>
        <v/>
      </c>
      <c r="I546" s="6" t="n"/>
      <c r="J546" s="5" t="n"/>
      <c r="K546" s="4" t="n"/>
    </row>
    <row r="547" ht="20" customHeight="1">
      <c r="A547" s="3" t="n"/>
      <c r="B547" s="4" t="n"/>
      <c r="C547" s="5" t="n"/>
      <c r="D547" s="5" t="n"/>
      <c r="E547" s="4">
        <f>IF($D547="","",IFERROR(XLOOKUP($D547,Items!$A:$A,Items!$B:$B),"ERR"))</f>
        <v/>
      </c>
      <c r="F547" s="6" t="n"/>
      <c r="G547" s="6">
        <f>IF($D547="","",IFERROR(XLOOKUP($D547,Items!$A:$A,Items!$D:$D),0))</f>
        <v/>
      </c>
      <c r="H547" s="6">
        <f>IF($C547="Issue",IFERROR($F547*$G547,0),0)</f>
        <v/>
      </c>
      <c r="I547" s="6" t="n"/>
      <c r="J547" s="5" t="n"/>
      <c r="K547" s="4" t="n"/>
    </row>
    <row r="548" ht="20" customHeight="1">
      <c r="A548" s="3" t="n"/>
      <c r="B548" s="4" t="n"/>
      <c r="C548" s="5" t="n"/>
      <c r="D548" s="5" t="n"/>
      <c r="E548" s="4">
        <f>IF($D548="","",IFERROR(XLOOKUP($D548,Items!$A:$A,Items!$B:$B),"ERR"))</f>
        <v/>
      </c>
      <c r="F548" s="6" t="n"/>
      <c r="G548" s="6">
        <f>IF($D548="","",IFERROR(XLOOKUP($D548,Items!$A:$A,Items!$D:$D),0))</f>
        <v/>
      </c>
      <c r="H548" s="6">
        <f>IF($C548="Issue",IFERROR($F548*$G548,0),0)</f>
        <v/>
      </c>
      <c r="I548" s="6" t="n"/>
      <c r="J548" s="5" t="n"/>
      <c r="K548" s="4" t="n"/>
    </row>
    <row r="549" ht="20" customHeight="1">
      <c r="A549" s="3" t="n"/>
      <c r="B549" s="4" t="n"/>
      <c r="C549" s="5" t="n"/>
      <c r="D549" s="5" t="n"/>
      <c r="E549" s="4">
        <f>IF($D549="","",IFERROR(XLOOKUP($D549,Items!$A:$A,Items!$B:$B),"ERR"))</f>
        <v/>
      </c>
      <c r="F549" s="6" t="n"/>
      <c r="G549" s="6">
        <f>IF($D549="","",IFERROR(XLOOKUP($D549,Items!$A:$A,Items!$D:$D),0))</f>
        <v/>
      </c>
      <c r="H549" s="6">
        <f>IF($C549="Issue",IFERROR($F549*$G549,0),0)</f>
        <v/>
      </c>
      <c r="I549" s="6" t="n"/>
      <c r="J549" s="5" t="n"/>
      <c r="K549" s="4" t="n"/>
    </row>
    <row r="550" ht="20" customHeight="1">
      <c r="A550" s="3" t="n"/>
      <c r="B550" s="4" t="n"/>
      <c r="C550" s="5" t="n"/>
      <c r="D550" s="5" t="n"/>
      <c r="E550" s="4">
        <f>IF($D550="","",IFERROR(XLOOKUP($D550,Items!$A:$A,Items!$B:$B),"ERR"))</f>
        <v/>
      </c>
      <c r="F550" s="6" t="n"/>
      <c r="G550" s="6">
        <f>IF($D550="","",IFERROR(XLOOKUP($D550,Items!$A:$A,Items!$D:$D),0))</f>
        <v/>
      </c>
      <c r="H550" s="6">
        <f>IF($C550="Issue",IFERROR($F550*$G550,0),0)</f>
        <v/>
      </c>
      <c r="I550" s="6" t="n"/>
      <c r="J550" s="5" t="n"/>
      <c r="K550" s="4" t="n"/>
    </row>
    <row r="551" ht="20" customHeight="1">
      <c r="A551" s="3" t="n"/>
      <c r="B551" s="4" t="n"/>
      <c r="C551" s="5" t="n"/>
      <c r="D551" s="5" t="n"/>
      <c r="E551" s="4">
        <f>IF($D551="","",IFERROR(XLOOKUP($D551,Items!$A:$A,Items!$B:$B),"ERR"))</f>
        <v/>
      </c>
      <c r="F551" s="6" t="n"/>
      <c r="G551" s="6">
        <f>IF($D551="","",IFERROR(XLOOKUP($D551,Items!$A:$A,Items!$D:$D),0))</f>
        <v/>
      </c>
      <c r="H551" s="6">
        <f>IF($C551="Issue",IFERROR($F551*$G551,0),0)</f>
        <v/>
      </c>
      <c r="I551" s="6" t="n"/>
      <c r="J551" s="5" t="n"/>
      <c r="K551" s="4" t="n"/>
    </row>
    <row r="552" ht="20" customHeight="1">
      <c r="A552" s="3" t="n"/>
      <c r="B552" s="4" t="n"/>
      <c r="C552" s="5" t="n"/>
      <c r="D552" s="5" t="n"/>
      <c r="E552" s="4">
        <f>IF($D552="","",IFERROR(XLOOKUP($D552,Items!$A:$A,Items!$B:$B),"ERR"))</f>
        <v/>
      </c>
      <c r="F552" s="6" t="n"/>
      <c r="G552" s="6">
        <f>IF($D552="","",IFERROR(XLOOKUP($D552,Items!$A:$A,Items!$D:$D),0))</f>
        <v/>
      </c>
      <c r="H552" s="6">
        <f>IF($C552="Issue",IFERROR($F552*$G552,0),0)</f>
        <v/>
      </c>
      <c r="I552" s="6" t="n"/>
      <c r="J552" s="5" t="n"/>
      <c r="K552" s="4" t="n"/>
    </row>
    <row r="553" ht="20" customHeight="1">
      <c r="A553" s="3" t="n"/>
      <c r="B553" s="4" t="n"/>
      <c r="C553" s="5" t="n"/>
      <c r="D553" s="5" t="n"/>
      <c r="E553" s="4">
        <f>IF($D553="","",IFERROR(XLOOKUP($D553,Items!$A:$A,Items!$B:$B),"ERR"))</f>
        <v/>
      </c>
      <c r="F553" s="6" t="n"/>
      <c r="G553" s="6">
        <f>IF($D553="","",IFERROR(XLOOKUP($D553,Items!$A:$A,Items!$D:$D),0))</f>
        <v/>
      </c>
      <c r="H553" s="6">
        <f>IF($C553="Issue",IFERROR($F553*$G553,0),0)</f>
        <v/>
      </c>
      <c r="I553" s="6" t="n"/>
      <c r="J553" s="5" t="n"/>
      <c r="K553" s="4" t="n"/>
    </row>
    <row r="554" ht="20" customHeight="1">
      <c r="A554" s="3" t="n"/>
      <c r="B554" s="4" t="n"/>
      <c r="C554" s="5" t="n"/>
      <c r="D554" s="5" t="n"/>
      <c r="E554" s="4">
        <f>IF($D554="","",IFERROR(XLOOKUP($D554,Items!$A:$A,Items!$B:$B),"ERR"))</f>
        <v/>
      </c>
      <c r="F554" s="6" t="n"/>
      <c r="G554" s="6">
        <f>IF($D554="","",IFERROR(XLOOKUP($D554,Items!$A:$A,Items!$D:$D),0))</f>
        <v/>
      </c>
      <c r="H554" s="6">
        <f>IF($C554="Issue",IFERROR($F554*$G554,0),0)</f>
        <v/>
      </c>
      <c r="I554" s="6" t="n"/>
      <c r="J554" s="5" t="n"/>
      <c r="K554" s="4" t="n"/>
    </row>
    <row r="555" ht="20" customHeight="1">
      <c r="A555" s="3" t="n"/>
      <c r="B555" s="4" t="n"/>
      <c r="C555" s="5" t="n"/>
      <c r="D555" s="5" t="n"/>
      <c r="E555" s="4">
        <f>IF($D555="","",IFERROR(XLOOKUP($D555,Items!$A:$A,Items!$B:$B),"ERR"))</f>
        <v/>
      </c>
      <c r="F555" s="6" t="n"/>
      <c r="G555" s="6">
        <f>IF($D555="","",IFERROR(XLOOKUP($D555,Items!$A:$A,Items!$D:$D),0))</f>
        <v/>
      </c>
      <c r="H555" s="6">
        <f>IF($C555="Issue",IFERROR($F555*$G555,0),0)</f>
        <v/>
      </c>
      <c r="I555" s="6" t="n"/>
      <c r="J555" s="5" t="n"/>
      <c r="K555" s="4" t="n"/>
    </row>
    <row r="556" ht="20" customHeight="1">
      <c r="A556" s="3" t="n"/>
      <c r="B556" s="4" t="n"/>
      <c r="C556" s="5" t="n"/>
      <c r="D556" s="5" t="n"/>
      <c r="E556" s="4">
        <f>IF($D556="","",IFERROR(XLOOKUP($D556,Items!$A:$A,Items!$B:$B),"ERR"))</f>
        <v/>
      </c>
      <c r="F556" s="6" t="n"/>
      <c r="G556" s="6">
        <f>IF($D556="","",IFERROR(XLOOKUP($D556,Items!$A:$A,Items!$D:$D),0))</f>
        <v/>
      </c>
      <c r="H556" s="6">
        <f>IF($C556="Issue",IFERROR($F556*$G556,0),0)</f>
        <v/>
      </c>
      <c r="I556" s="6" t="n"/>
      <c r="J556" s="5" t="n"/>
      <c r="K556" s="4" t="n"/>
    </row>
    <row r="557" ht="20" customHeight="1">
      <c r="A557" s="3" t="n"/>
      <c r="B557" s="4" t="n"/>
      <c r="C557" s="5" t="n"/>
      <c r="D557" s="5" t="n"/>
      <c r="E557" s="4">
        <f>IF($D557="","",IFERROR(XLOOKUP($D557,Items!$A:$A,Items!$B:$B),"ERR"))</f>
        <v/>
      </c>
      <c r="F557" s="6" t="n"/>
      <c r="G557" s="6">
        <f>IF($D557="","",IFERROR(XLOOKUP($D557,Items!$A:$A,Items!$D:$D),0))</f>
        <v/>
      </c>
      <c r="H557" s="6">
        <f>IF($C557="Issue",IFERROR($F557*$G557,0),0)</f>
        <v/>
      </c>
      <c r="I557" s="6" t="n"/>
      <c r="J557" s="5" t="n"/>
      <c r="K557" s="4" t="n"/>
    </row>
    <row r="558" ht="20" customHeight="1">
      <c r="A558" s="3" t="n"/>
      <c r="B558" s="4" t="n"/>
      <c r="C558" s="5" t="n"/>
      <c r="D558" s="5" t="n"/>
      <c r="E558" s="4">
        <f>IF($D558="","",IFERROR(XLOOKUP($D558,Items!$A:$A,Items!$B:$B),"ERR"))</f>
        <v/>
      </c>
      <c r="F558" s="6" t="n"/>
      <c r="G558" s="6">
        <f>IF($D558="","",IFERROR(XLOOKUP($D558,Items!$A:$A,Items!$D:$D),0))</f>
        <v/>
      </c>
      <c r="H558" s="6">
        <f>IF($C558="Issue",IFERROR($F558*$G558,0),0)</f>
        <v/>
      </c>
      <c r="I558" s="6" t="n"/>
      <c r="J558" s="5" t="n"/>
      <c r="K558" s="4" t="n"/>
    </row>
    <row r="559" ht="20" customHeight="1">
      <c r="A559" s="3" t="n"/>
      <c r="B559" s="4" t="n"/>
      <c r="C559" s="5" t="n"/>
      <c r="D559" s="5" t="n"/>
      <c r="E559" s="4">
        <f>IF($D559="","",IFERROR(XLOOKUP($D559,Items!$A:$A,Items!$B:$B),"ERR"))</f>
        <v/>
      </c>
      <c r="F559" s="6" t="n"/>
      <c r="G559" s="6">
        <f>IF($D559="","",IFERROR(XLOOKUP($D559,Items!$A:$A,Items!$D:$D),0))</f>
        <v/>
      </c>
      <c r="H559" s="6">
        <f>IF($C559="Issue",IFERROR($F559*$G559,0),0)</f>
        <v/>
      </c>
      <c r="I559" s="6" t="n"/>
      <c r="J559" s="5" t="n"/>
      <c r="K559" s="4" t="n"/>
    </row>
    <row r="560" ht="20" customHeight="1">
      <c r="A560" s="3" t="n"/>
      <c r="B560" s="4" t="n"/>
      <c r="C560" s="5" t="n"/>
      <c r="D560" s="5" t="n"/>
      <c r="E560" s="4">
        <f>IF($D560="","",IFERROR(XLOOKUP($D560,Items!$A:$A,Items!$B:$B),"ERR"))</f>
        <v/>
      </c>
      <c r="F560" s="6" t="n"/>
      <c r="G560" s="6">
        <f>IF($D560="","",IFERROR(XLOOKUP($D560,Items!$A:$A,Items!$D:$D),0))</f>
        <v/>
      </c>
      <c r="H560" s="6">
        <f>IF($C560="Issue",IFERROR($F560*$G560,0),0)</f>
        <v/>
      </c>
      <c r="I560" s="6" t="n"/>
      <c r="J560" s="5" t="n"/>
      <c r="K560" s="4" t="n"/>
    </row>
    <row r="561" ht="20" customHeight="1">
      <c r="A561" s="3" t="n"/>
      <c r="B561" s="4" t="n"/>
      <c r="C561" s="5" t="n"/>
      <c r="D561" s="5" t="n"/>
      <c r="E561" s="4">
        <f>IF($D561="","",IFERROR(XLOOKUP($D561,Items!$A:$A,Items!$B:$B),"ERR"))</f>
        <v/>
      </c>
      <c r="F561" s="6" t="n"/>
      <c r="G561" s="6">
        <f>IF($D561="","",IFERROR(XLOOKUP($D561,Items!$A:$A,Items!$D:$D),0))</f>
        <v/>
      </c>
      <c r="H561" s="6">
        <f>IF($C561="Issue",IFERROR($F561*$G561,0),0)</f>
        <v/>
      </c>
      <c r="I561" s="6" t="n"/>
      <c r="J561" s="5" t="n"/>
      <c r="K561" s="4" t="n"/>
    </row>
    <row r="562" ht="20" customHeight="1">
      <c r="A562" s="3" t="n"/>
      <c r="B562" s="4" t="n"/>
      <c r="C562" s="5" t="n"/>
      <c r="D562" s="5" t="n"/>
      <c r="E562" s="4">
        <f>IF($D562="","",IFERROR(XLOOKUP($D562,Items!$A:$A,Items!$B:$B),"ERR"))</f>
        <v/>
      </c>
      <c r="F562" s="6" t="n"/>
      <c r="G562" s="6">
        <f>IF($D562="","",IFERROR(XLOOKUP($D562,Items!$A:$A,Items!$D:$D),0))</f>
        <v/>
      </c>
      <c r="H562" s="6">
        <f>IF($C562="Issue",IFERROR($F562*$G562,0),0)</f>
        <v/>
      </c>
      <c r="I562" s="6" t="n"/>
      <c r="J562" s="5" t="n"/>
      <c r="K562" s="4" t="n"/>
    </row>
    <row r="563" ht="20" customHeight="1">
      <c r="A563" s="3" t="n"/>
      <c r="B563" s="4" t="n"/>
      <c r="C563" s="5" t="n"/>
      <c r="D563" s="5" t="n"/>
      <c r="E563" s="4">
        <f>IF($D563="","",IFERROR(XLOOKUP($D563,Items!$A:$A,Items!$B:$B),"ERR"))</f>
        <v/>
      </c>
      <c r="F563" s="6" t="n"/>
      <c r="G563" s="6">
        <f>IF($D563="","",IFERROR(XLOOKUP($D563,Items!$A:$A,Items!$D:$D),0))</f>
        <v/>
      </c>
      <c r="H563" s="6">
        <f>IF($C563="Issue",IFERROR($F563*$G563,0),0)</f>
        <v/>
      </c>
      <c r="I563" s="6" t="n"/>
      <c r="J563" s="5" t="n"/>
      <c r="K563" s="4" t="n"/>
    </row>
    <row r="564" ht="20" customHeight="1">
      <c r="A564" s="3" t="n"/>
      <c r="B564" s="4" t="n"/>
      <c r="C564" s="5" t="n"/>
      <c r="D564" s="5" t="n"/>
      <c r="E564" s="4">
        <f>IF($D564="","",IFERROR(XLOOKUP($D564,Items!$A:$A,Items!$B:$B),"ERR"))</f>
        <v/>
      </c>
      <c r="F564" s="6" t="n"/>
      <c r="G564" s="6">
        <f>IF($D564="","",IFERROR(XLOOKUP($D564,Items!$A:$A,Items!$D:$D),0))</f>
        <v/>
      </c>
      <c r="H564" s="6">
        <f>IF($C564="Issue",IFERROR($F564*$G564,0),0)</f>
        <v/>
      </c>
      <c r="I564" s="6" t="n"/>
      <c r="J564" s="5" t="n"/>
      <c r="K564" s="4" t="n"/>
    </row>
    <row r="565" ht="20" customHeight="1">
      <c r="A565" s="3" t="n"/>
      <c r="B565" s="4" t="n"/>
      <c r="C565" s="5" t="n"/>
      <c r="D565" s="5" t="n"/>
      <c r="E565" s="4">
        <f>IF($D565="","",IFERROR(XLOOKUP($D565,Items!$A:$A,Items!$B:$B),"ERR"))</f>
        <v/>
      </c>
      <c r="F565" s="6" t="n"/>
      <c r="G565" s="6">
        <f>IF($D565="","",IFERROR(XLOOKUP($D565,Items!$A:$A,Items!$D:$D),0))</f>
        <v/>
      </c>
      <c r="H565" s="6">
        <f>IF($C565="Issue",IFERROR($F565*$G565,0),0)</f>
        <v/>
      </c>
      <c r="I565" s="6" t="n"/>
      <c r="J565" s="5" t="n"/>
      <c r="K565" s="4" t="n"/>
    </row>
    <row r="566" ht="20" customHeight="1">
      <c r="A566" s="3" t="n"/>
      <c r="B566" s="4" t="n"/>
      <c r="C566" s="5" t="n"/>
      <c r="D566" s="5" t="n"/>
      <c r="E566" s="4">
        <f>IF($D566="","",IFERROR(XLOOKUP($D566,Items!$A:$A,Items!$B:$B),"ERR"))</f>
        <v/>
      </c>
      <c r="F566" s="6" t="n"/>
      <c r="G566" s="6">
        <f>IF($D566="","",IFERROR(XLOOKUP($D566,Items!$A:$A,Items!$D:$D),0))</f>
        <v/>
      </c>
      <c r="H566" s="6">
        <f>IF($C566="Issue",IFERROR($F566*$G566,0),0)</f>
        <v/>
      </c>
      <c r="I566" s="6" t="n"/>
      <c r="J566" s="5" t="n"/>
      <c r="K566" s="4" t="n"/>
    </row>
    <row r="567" ht="20" customHeight="1">
      <c r="A567" s="3" t="n"/>
      <c r="B567" s="4" t="n"/>
      <c r="C567" s="5" t="n"/>
      <c r="D567" s="5" t="n"/>
      <c r="E567" s="4">
        <f>IF($D567="","",IFERROR(XLOOKUP($D567,Items!$A:$A,Items!$B:$B),"ERR"))</f>
        <v/>
      </c>
      <c r="F567" s="6" t="n"/>
      <c r="G567" s="6">
        <f>IF($D567="","",IFERROR(XLOOKUP($D567,Items!$A:$A,Items!$D:$D),0))</f>
        <v/>
      </c>
      <c r="H567" s="6">
        <f>IF($C567="Issue",IFERROR($F567*$G567,0),0)</f>
        <v/>
      </c>
      <c r="I567" s="6" t="n"/>
      <c r="J567" s="5" t="n"/>
      <c r="K567" s="4" t="n"/>
    </row>
    <row r="568" ht="20" customHeight="1">
      <c r="A568" s="3" t="n"/>
      <c r="B568" s="4" t="n"/>
      <c r="C568" s="5" t="n"/>
      <c r="D568" s="5" t="n"/>
      <c r="E568" s="4">
        <f>IF($D568="","",IFERROR(XLOOKUP($D568,Items!$A:$A,Items!$B:$B),"ERR"))</f>
        <v/>
      </c>
      <c r="F568" s="6" t="n"/>
      <c r="G568" s="6">
        <f>IF($D568="","",IFERROR(XLOOKUP($D568,Items!$A:$A,Items!$D:$D),0))</f>
        <v/>
      </c>
      <c r="H568" s="6">
        <f>IF($C568="Issue",IFERROR($F568*$G568,0),0)</f>
        <v/>
      </c>
      <c r="I568" s="6" t="n"/>
      <c r="J568" s="5" t="n"/>
      <c r="K568" s="4" t="n"/>
    </row>
    <row r="569" ht="20" customHeight="1">
      <c r="A569" s="3" t="n"/>
      <c r="B569" s="4" t="n"/>
      <c r="C569" s="5" t="n"/>
      <c r="D569" s="5" t="n"/>
      <c r="E569" s="4">
        <f>IF($D569="","",IFERROR(XLOOKUP($D569,Items!$A:$A,Items!$B:$B),"ERR"))</f>
        <v/>
      </c>
      <c r="F569" s="6" t="n"/>
      <c r="G569" s="6">
        <f>IF($D569="","",IFERROR(XLOOKUP($D569,Items!$A:$A,Items!$D:$D),0))</f>
        <v/>
      </c>
      <c r="H569" s="6">
        <f>IF($C569="Issue",IFERROR($F569*$G569,0),0)</f>
        <v/>
      </c>
      <c r="I569" s="6" t="n"/>
      <c r="J569" s="5" t="n"/>
      <c r="K569" s="4" t="n"/>
    </row>
    <row r="570" ht="20" customHeight="1">
      <c r="A570" s="3" t="n"/>
      <c r="B570" s="4" t="n"/>
      <c r="C570" s="5" t="n"/>
      <c r="D570" s="5" t="n"/>
      <c r="E570" s="4">
        <f>IF($D570="","",IFERROR(XLOOKUP($D570,Items!$A:$A,Items!$B:$B),"ERR"))</f>
        <v/>
      </c>
      <c r="F570" s="6" t="n"/>
      <c r="G570" s="6">
        <f>IF($D570="","",IFERROR(XLOOKUP($D570,Items!$A:$A,Items!$D:$D),0))</f>
        <v/>
      </c>
      <c r="H570" s="6">
        <f>IF($C570="Issue",IFERROR($F570*$G570,0),0)</f>
        <v/>
      </c>
      <c r="I570" s="6" t="n"/>
      <c r="J570" s="5" t="n"/>
      <c r="K570" s="4" t="n"/>
    </row>
    <row r="571" ht="20" customHeight="1">
      <c r="A571" s="3" t="n"/>
      <c r="B571" s="4" t="n"/>
      <c r="C571" s="5" t="n"/>
      <c r="D571" s="5" t="n"/>
      <c r="E571" s="4">
        <f>IF($D571="","",IFERROR(XLOOKUP($D571,Items!$A:$A,Items!$B:$B),"ERR"))</f>
        <v/>
      </c>
      <c r="F571" s="6" t="n"/>
      <c r="G571" s="6">
        <f>IF($D571="","",IFERROR(XLOOKUP($D571,Items!$A:$A,Items!$D:$D),0))</f>
        <v/>
      </c>
      <c r="H571" s="6">
        <f>IF($C571="Issue",IFERROR($F571*$G571,0),0)</f>
        <v/>
      </c>
      <c r="I571" s="6" t="n"/>
      <c r="J571" s="5" t="n"/>
      <c r="K571" s="4" t="n"/>
    </row>
    <row r="572" ht="20" customHeight="1">
      <c r="A572" s="3" t="n"/>
      <c r="B572" s="4" t="n"/>
      <c r="C572" s="5" t="n"/>
      <c r="D572" s="5" t="n"/>
      <c r="E572" s="4">
        <f>IF($D572="","",IFERROR(XLOOKUP($D572,Items!$A:$A,Items!$B:$B),"ERR"))</f>
        <v/>
      </c>
      <c r="F572" s="6" t="n"/>
      <c r="G572" s="6">
        <f>IF($D572="","",IFERROR(XLOOKUP($D572,Items!$A:$A,Items!$D:$D),0))</f>
        <v/>
      </c>
      <c r="H572" s="6">
        <f>IF($C572="Issue",IFERROR($F572*$G572,0),0)</f>
        <v/>
      </c>
      <c r="I572" s="6" t="n"/>
      <c r="J572" s="5" t="n"/>
      <c r="K572" s="4" t="n"/>
    </row>
    <row r="573" ht="20" customHeight="1">
      <c r="A573" s="3" t="n"/>
      <c r="B573" s="4" t="n"/>
      <c r="C573" s="5" t="n"/>
      <c r="D573" s="5" t="n"/>
      <c r="E573" s="4">
        <f>IF($D573="","",IFERROR(XLOOKUP($D573,Items!$A:$A,Items!$B:$B),"ERR"))</f>
        <v/>
      </c>
      <c r="F573" s="6" t="n"/>
      <c r="G573" s="6">
        <f>IF($D573="","",IFERROR(XLOOKUP($D573,Items!$A:$A,Items!$D:$D),0))</f>
        <v/>
      </c>
      <c r="H573" s="6">
        <f>IF($C573="Issue",IFERROR($F573*$G573,0),0)</f>
        <v/>
      </c>
      <c r="I573" s="6" t="n"/>
      <c r="J573" s="5" t="n"/>
      <c r="K573" s="4" t="n"/>
    </row>
    <row r="574" ht="20" customHeight="1">
      <c r="A574" s="3" t="n"/>
      <c r="B574" s="4" t="n"/>
      <c r="C574" s="5" t="n"/>
      <c r="D574" s="5" t="n"/>
      <c r="E574" s="4">
        <f>IF($D574="","",IFERROR(XLOOKUP($D574,Items!$A:$A,Items!$B:$B),"ERR"))</f>
        <v/>
      </c>
      <c r="F574" s="6" t="n"/>
      <c r="G574" s="6">
        <f>IF($D574="","",IFERROR(XLOOKUP($D574,Items!$A:$A,Items!$D:$D),0))</f>
        <v/>
      </c>
      <c r="H574" s="6">
        <f>IF($C574="Issue",IFERROR($F574*$G574,0),0)</f>
        <v/>
      </c>
      <c r="I574" s="6" t="n"/>
      <c r="J574" s="5" t="n"/>
      <c r="K574" s="4" t="n"/>
    </row>
    <row r="575" ht="20" customHeight="1">
      <c r="A575" s="3" t="n"/>
      <c r="B575" s="4" t="n"/>
      <c r="C575" s="5" t="n"/>
      <c r="D575" s="5" t="n"/>
      <c r="E575" s="4">
        <f>IF($D575="","",IFERROR(XLOOKUP($D575,Items!$A:$A,Items!$B:$B),"ERR"))</f>
        <v/>
      </c>
      <c r="F575" s="6" t="n"/>
      <c r="G575" s="6">
        <f>IF($D575="","",IFERROR(XLOOKUP($D575,Items!$A:$A,Items!$D:$D),0))</f>
        <v/>
      </c>
      <c r="H575" s="6">
        <f>IF($C575="Issue",IFERROR($F575*$G575,0),0)</f>
        <v/>
      </c>
      <c r="I575" s="6" t="n"/>
      <c r="J575" s="5" t="n"/>
      <c r="K575" s="4" t="n"/>
    </row>
    <row r="576" ht="20" customHeight="1">
      <c r="A576" s="3" t="n"/>
      <c r="B576" s="4" t="n"/>
      <c r="C576" s="5" t="n"/>
      <c r="D576" s="5" t="n"/>
      <c r="E576" s="4">
        <f>IF($D576="","",IFERROR(XLOOKUP($D576,Items!$A:$A,Items!$B:$B),"ERR"))</f>
        <v/>
      </c>
      <c r="F576" s="6" t="n"/>
      <c r="G576" s="6">
        <f>IF($D576="","",IFERROR(XLOOKUP($D576,Items!$A:$A,Items!$D:$D),0))</f>
        <v/>
      </c>
      <c r="H576" s="6">
        <f>IF($C576="Issue",IFERROR($F576*$G576,0),0)</f>
        <v/>
      </c>
      <c r="I576" s="6" t="n"/>
      <c r="J576" s="5" t="n"/>
      <c r="K576" s="4" t="n"/>
    </row>
    <row r="577" ht="20" customHeight="1">
      <c r="A577" s="3" t="n"/>
      <c r="B577" s="4" t="n"/>
      <c r="C577" s="5" t="n"/>
      <c r="D577" s="5" t="n"/>
      <c r="E577" s="4">
        <f>IF($D577="","",IFERROR(XLOOKUP($D577,Items!$A:$A,Items!$B:$B),"ERR"))</f>
        <v/>
      </c>
      <c r="F577" s="6" t="n"/>
      <c r="G577" s="6">
        <f>IF($D577="","",IFERROR(XLOOKUP($D577,Items!$A:$A,Items!$D:$D),0))</f>
        <v/>
      </c>
      <c r="H577" s="6">
        <f>IF($C577="Issue",IFERROR($F577*$G577,0),0)</f>
        <v/>
      </c>
      <c r="I577" s="6" t="n"/>
      <c r="J577" s="5" t="n"/>
      <c r="K577" s="4" t="n"/>
    </row>
    <row r="578" ht="20" customHeight="1">
      <c r="A578" s="3" t="n"/>
      <c r="B578" s="4" t="n"/>
      <c r="C578" s="5" t="n"/>
      <c r="D578" s="5" t="n"/>
      <c r="E578" s="4">
        <f>IF($D578="","",IFERROR(XLOOKUP($D578,Items!$A:$A,Items!$B:$B),"ERR"))</f>
        <v/>
      </c>
      <c r="F578" s="6" t="n"/>
      <c r="G578" s="6">
        <f>IF($D578="","",IFERROR(XLOOKUP($D578,Items!$A:$A,Items!$D:$D),0))</f>
        <v/>
      </c>
      <c r="H578" s="6">
        <f>IF($C578="Issue",IFERROR($F578*$G578,0),0)</f>
        <v/>
      </c>
      <c r="I578" s="6" t="n"/>
      <c r="J578" s="5" t="n"/>
      <c r="K578" s="4" t="n"/>
    </row>
    <row r="579" ht="20" customHeight="1">
      <c r="A579" s="3" t="n"/>
      <c r="B579" s="4" t="n"/>
      <c r="C579" s="5" t="n"/>
      <c r="D579" s="5" t="n"/>
      <c r="E579" s="4">
        <f>IF($D579="","",IFERROR(XLOOKUP($D579,Items!$A:$A,Items!$B:$B),"ERR"))</f>
        <v/>
      </c>
      <c r="F579" s="6" t="n"/>
      <c r="G579" s="6">
        <f>IF($D579="","",IFERROR(XLOOKUP($D579,Items!$A:$A,Items!$D:$D),0))</f>
        <v/>
      </c>
      <c r="H579" s="6">
        <f>IF($C579="Issue",IFERROR($F579*$G579,0),0)</f>
        <v/>
      </c>
      <c r="I579" s="6" t="n"/>
      <c r="J579" s="5" t="n"/>
      <c r="K579" s="4" t="n"/>
    </row>
    <row r="580" ht="20" customHeight="1">
      <c r="A580" s="3" t="n"/>
      <c r="B580" s="4" t="n"/>
      <c r="C580" s="5" t="n"/>
      <c r="D580" s="5" t="n"/>
      <c r="E580" s="4">
        <f>IF($D580="","",IFERROR(XLOOKUP($D580,Items!$A:$A,Items!$B:$B),"ERR"))</f>
        <v/>
      </c>
      <c r="F580" s="6" t="n"/>
      <c r="G580" s="6">
        <f>IF($D580="","",IFERROR(XLOOKUP($D580,Items!$A:$A,Items!$D:$D),0))</f>
        <v/>
      </c>
      <c r="H580" s="6">
        <f>IF($C580="Issue",IFERROR($F580*$G580,0),0)</f>
        <v/>
      </c>
      <c r="I580" s="6" t="n"/>
      <c r="J580" s="5" t="n"/>
      <c r="K580" s="4" t="n"/>
    </row>
    <row r="581" ht="20" customHeight="1">
      <c r="A581" s="3" t="n"/>
      <c r="B581" s="4" t="n"/>
      <c r="C581" s="5" t="n"/>
      <c r="D581" s="5" t="n"/>
      <c r="E581" s="4">
        <f>IF($D581="","",IFERROR(XLOOKUP($D581,Items!$A:$A,Items!$B:$B),"ERR"))</f>
        <v/>
      </c>
      <c r="F581" s="6" t="n"/>
      <c r="G581" s="6">
        <f>IF($D581="","",IFERROR(XLOOKUP($D581,Items!$A:$A,Items!$D:$D),0))</f>
        <v/>
      </c>
      <c r="H581" s="6">
        <f>IF($C581="Issue",IFERROR($F581*$G581,0),0)</f>
        <v/>
      </c>
      <c r="I581" s="6" t="n"/>
      <c r="J581" s="5" t="n"/>
      <c r="K581" s="4" t="n"/>
    </row>
    <row r="582" ht="20" customHeight="1">
      <c r="A582" s="3" t="n"/>
      <c r="B582" s="4" t="n"/>
      <c r="C582" s="5" t="n"/>
      <c r="D582" s="5" t="n"/>
      <c r="E582" s="4">
        <f>IF($D582="","",IFERROR(XLOOKUP($D582,Items!$A:$A,Items!$B:$B),"ERR"))</f>
        <v/>
      </c>
      <c r="F582" s="6" t="n"/>
      <c r="G582" s="6">
        <f>IF($D582="","",IFERROR(XLOOKUP($D582,Items!$A:$A,Items!$D:$D),0))</f>
        <v/>
      </c>
      <c r="H582" s="6">
        <f>IF($C582="Issue",IFERROR($F582*$G582,0),0)</f>
        <v/>
      </c>
      <c r="I582" s="6" t="n"/>
      <c r="J582" s="5" t="n"/>
      <c r="K582" s="4" t="n"/>
    </row>
    <row r="583" ht="20" customHeight="1">
      <c r="A583" s="3" t="n"/>
      <c r="B583" s="4" t="n"/>
      <c r="C583" s="5" t="n"/>
      <c r="D583" s="5" t="n"/>
      <c r="E583" s="4">
        <f>IF($D583="","",IFERROR(XLOOKUP($D583,Items!$A:$A,Items!$B:$B),"ERR"))</f>
        <v/>
      </c>
      <c r="F583" s="6" t="n"/>
      <c r="G583" s="6">
        <f>IF($D583="","",IFERROR(XLOOKUP($D583,Items!$A:$A,Items!$D:$D),0))</f>
        <v/>
      </c>
      <c r="H583" s="6">
        <f>IF($C583="Issue",IFERROR($F583*$G583,0),0)</f>
        <v/>
      </c>
      <c r="I583" s="6" t="n"/>
      <c r="J583" s="5" t="n"/>
      <c r="K583" s="4" t="n"/>
    </row>
    <row r="584" ht="20" customHeight="1">
      <c r="A584" s="3" t="n"/>
      <c r="B584" s="4" t="n"/>
      <c r="C584" s="5" t="n"/>
      <c r="D584" s="5" t="n"/>
      <c r="E584" s="4">
        <f>IF($D584="","",IFERROR(XLOOKUP($D584,Items!$A:$A,Items!$B:$B),"ERR"))</f>
        <v/>
      </c>
      <c r="F584" s="6" t="n"/>
      <c r="G584" s="6">
        <f>IF($D584="","",IFERROR(XLOOKUP($D584,Items!$A:$A,Items!$D:$D),0))</f>
        <v/>
      </c>
      <c r="H584" s="6">
        <f>IF($C584="Issue",IFERROR($F584*$G584,0),0)</f>
        <v/>
      </c>
      <c r="I584" s="6" t="n"/>
      <c r="J584" s="5" t="n"/>
      <c r="K584" s="4" t="n"/>
    </row>
    <row r="585" ht="20" customHeight="1">
      <c r="A585" s="3" t="n"/>
      <c r="B585" s="4" t="n"/>
      <c r="C585" s="5" t="n"/>
      <c r="D585" s="5" t="n"/>
      <c r="E585" s="4">
        <f>IF($D585="","",IFERROR(XLOOKUP($D585,Items!$A:$A,Items!$B:$B),"ERR"))</f>
        <v/>
      </c>
      <c r="F585" s="6" t="n"/>
      <c r="G585" s="6">
        <f>IF($D585="","",IFERROR(XLOOKUP($D585,Items!$A:$A,Items!$D:$D),0))</f>
        <v/>
      </c>
      <c r="H585" s="6">
        <f>IF($C585="Issue",IFERROR($F585*$G585,0),0)</f>
        <v/>
      </c>
      <c r="I585" s="6" t="n"/>
      <c r="J585" s="5" t="n"/>
      <c r="K585" s="4" t="n"/>
    </row>
    <row r="586" ht="20" customHeight="1">
      <c r="A586" s="3" t="n"/>
      <c r="B586" s="4" t="n"/>
      <c r="C586" s="5" t="n"/>
      <c r="D586" s="5" t="n"/>
      <c r="E586" s="4">
        <f>IF($D586="","",IFERROR(XLOOKUP($D586,Items!$A:$A,Items!$B:$B),"ERR"))</f>
        <v/>
      </c>
      <c r="F586" s="6" t="n"/>
      <c r="G586" s="6">
        <f>IF($D586="","",IFERROR(XLOOKUP($D586,Items!$A:$A,Items!$D:$D),0))</f>
        <v/>
      </c>
      <c r="H586" s="6">
        <f>IF($C586="Issue",IFERROR($F586*$G586,0),0)</f>
        <v/>
      </c>
      <c r="I586" s="6" t="n"/>
      <c r="J586" s="5" t="n"/>
      <c r="K586" s="4" t="n"/>
    </row>
    <row r="587" ht="20" customHeight="1">
      <c r="A587" s="3" t="n"/>
      <c r="B587" s="4" t="n"/>
      <c r="C587" s="5" t="n"/>
      <c r="D587" s="5" t="n"/>
      <c r="E587" s="4">
        <f>IF($D587="","",IFERROR(XLOOKUP($D587,Items!$A:$A,Items!$B:$B),"ERR"))</f>
        <v/>
      </c>
      <c r="F587" s="6" t="n"/>
      <c r="G587" s="6">
        <f>IF($D587="","",IFERROR(XLOOKUP($D587,Items!$A:$A,Items!$D:$D),0))</f>
        <v/>
      </c>
      <c r="H587" s="6">
        <f>IF($C587="Issue",IFERROR($F587*$G587,0),0)</f>
        <v/>
      </c>
      <c r="I587" s="6" t="n"/>
      <c r="J587" s="5" t="n"/>
      <c r="K587" s="4" t="n"/>
    </row>
    <row r="588" ht="20" customHeight="1">
      <c r="A588" s="3" t="n"/>
      <c r="B588" s="4" t="n"/>
      <c r="C588" s="5" t="n"/>
      <c r="D588" s="5" t="n"/>
      <c r="E588" s="4">
        <f>IF($D588="","",IFERROR(XLOOKUP($D588,Items!$A:$A,Items!$B:$B),"ERR"))</f>
        <v/>
      </c>
      <c r="F588" s="6" t="n"/>
      <c r="G588" s="6">
        <f>IF($D588="","",IFERROR(XLOOKUP($D588,Items!$A:$A,Items!$D:$D),0))</f>
        <v/>
      </c>
      <c r="H588" s="6">
        <f>IF($C588="Issue",IFERROR($F588*$G588,0),0)</f>
        <v/>
      </c>
      <c r="I588" s="6" t="n"/>
      <c r="J588" s="5" t="n"/>
      <c r="K588" s="4" t="n"/>
    </row>
    <row r="589" ht="20" customHeight="1">
      <c r="A589" s="3" t="n"/>
      <c r="B589" s="4" t="n"/>
      <c r="C589" s="5" t="n"/>
      <c r="D589" s="5" t="n"/>
      <c r="E589" s="4">
        <f>IF($D589="","",IFERROR(XLOOKUP($D589,Items!$A:$A,Items!$B:$B),"ERR"))</f>
        <v/>
      </c>
      <c r="F589" s="6" t="n"/>
      <c r="G589" s="6">
        <f>IF($D589="","",IFERROR(XLOOKUP($D589,Items!$A:$A,Items!$D:$D),0))</f>
        <v/>
      </c>
      <c r="H589" s="6">
        <f>IF($C589="Issue",IFERROR($F589*$G589,0),0)</f>
        <v/>
      </c>
      <c r="I589" s="6" t="n"/>
      <c r="J589" s="5" t="n"/>
      <c r="K589" s="4" t="n"/>
    </row>
    <row r="590" ht="20" customHeight="1">
      <c r="A590" s="3" t="n"/>
      <c r="B590" s="4" t="n"/>
      <c r="C590" s="5" t="n"/>
      <c r="D590" s="5" t="n"/>
      <c r="E590" s="4">
        <f>IF($D590="","",IFERROR(XLOOKUP($D590,Items!$A:$A,Items!$B:$B),"ERR"))</f>
        <v/>
      </c>
      <c r="F590" s="6" t="n"/>
      <c r="G590" s="6">
        <f>IF($D590="","",IFERROR(XLOOKUP($D590,Items!$A:$A,Items!$D:$D),0))</f>
        <v/>
      </c>
      <c r="H590" s="6">
        <f>IF($C590="Issue",IFERROR($F590*$G590,0),0)</f>
        <v/>
      </c>
      <c r="I590" s="6" t="n"/>
      <c r="J590" s="5" t="n"/>
      <c r="K590" s="4" t="n"/>
    </row>
    <row r="591" ht="20" customHeight="1">
      <c r="A591" s="3" t="n"/>
      <c r="B591" s="4" t="n"/>
      <c r="C591" s="5" t="n"/>
      <c r="D591" s="5" t="n"/>
      <c r="E591" s="4">
        <f>IF($D591="","",IFERROR(XLOOKUP($D591,Items!$A:$A,Items!$B:$B),"ERR"))</f>
        <v/>
      </c>
      <c r="F591" s="6" t="n"/>
      <c r="G591" s="6">
        <f>IF($D591="","",IFERROR(XLOOKUP($D591,Items!$A:$A,Items!$D:$D),0))</f>
        <v/>
      </c>
      <c r="H591" s="6">
        <f>IF($C591="Issue",IFERROR($F591*$G591,0),0)</f>
        <v/>
      </c>
      <c r="I591" s="6" t="n"/>
      <c r="J591" s="5" t="n"/>
      <c r="K591" s="4" t="n"/>
    </row>
    <row r="592" ht="20" customHeight="1">
      <c r="A592" s="3" t="n"/>
      <c r="B592" s="4" t="n"/>
      <c r="C592" s="5" t="n"/>
      <c r="D592" s="5" t="n"/>
      <c r="E592" s="4">
        <f>IF($D592="","",IFERROR(XLOOKUP($D592,Items!$A:$A,Items!$B:$B),"ERR"))</f>
        <v/>
      </c>
      <c r="F592" s="6" t="n"/>
      <c r="G592" s="6">
        <f>IF($D592="","",IFERROR(XLOOKUP($D592,Items!$A:$A,Items!$D:$D),0))</f>
        <v/>
      </c>
      <c r="H592" s="6">
        <f>IF($C592="Issue",IFERROR($F592*$G592,0),0)</f>
        <v/>
      </c>
      <c r="I592" s="6" t="n"/>
      <c r="J592" s="5" t="n"/>
      <c r="K592" s="4" t="n"/>
    </row>
    <row r="593" ht="20" customHeight="1">
      <c r="A593" s="3" t="n"/>
      <c r="B593" s="4" t="n"/>
      <c r="C593" s="5" t="n"/>
      <c r="D593" s="5" t="n"/>
      <c r="E593" s="4">
        <f>IF($D593="","",IFERROR(XLOOKUP($D593,Items!$A:$A,Items!$B:$B),"ERR"))</f>
        <v/>
      </c>
      <c r="F593" s="6" t="n"/>
      <c r="G593" s="6">
        <f>IF($D593="","",IFERROR(XLOOKUP($D593,Items!$A:$A,Items!$D:$D),0))</f>
        <v/>
      </c>
      <c r="H593" s="6">
        <f>IF($C593="Issue",IFERROR($F593*$G593,0),0)</f>
        <v/>
      </c>
      <c r="I593" s="6" t="n"/>
      <c r="J593" s="5" t="n"/>
      <c r="K593" s="4" t="n"/>
    </row>
    <row r="594" ht="20" customHeight="1">
      <c r="A594" s="3" t="n"/>
      <c r="B594" s="4" t="n"/>
      <c r="C594" s="5" t="n"/>
      <c r="D594" s="5" t="n"/>
      <c r="E594" s="4">
        <f>IF($D594="","",IFERROR(XLOOKUP($D594,Items!$A:$A,Items!$B:$B),"ERR"))</f>
        <v/>
      </c>
      <c r="F594" s="6" t="n"/>
      <c r="G594" s="6">
        <f>IF($D594="","",IFERROR(XLOOKUP($D594,Items!$A:$A,Items!$D:$D),0))</f>
        <v/>
      </c>
      <c r="H594" s="6">
        <f>IF($C594="Issue",IFERROR($F594*$G594,0),0)</f>
        <v/>
      </c>
      <c r="I594" s="6" t="n"/>
      <c r="J594" s="5" t="n"/>
      <c r="K594" s="4" t="n"/>
    </row>
    <row r="595" ht="20" customHeight="1">
      <c r="A595" s="3" t="n"/>
      <c r="B595" s="4" t="n"/>
      <c r="C595" s="5" t="n"/>
      <c r="D595" s="5" t="n"/>
      <c r="E595" s="4">
        <f>IF($D595="","",IFERROR(XLOOKUP($D595,Items!$A:$A,Items!$B:$B),"ERR"))</f>
        <v/>
      </c>
      <c r="F595" s="6" t="n"/>
      <c r="G595" s="6">
        <f>IF($D595="","",IFERROR(XLOOKUP($D595,Items!$A:$A,Items!$D:$D),0))</f>
        <v/>
      </c>
      <c r="H595" s="6">
        <f>IF($C595="Issue",IFERROR($F595*$G595,0),0)</f>
        <v/>
      </c>
      <c r="I595" s="6" t="n"/>
      <c r="J595" s="5" t="n"/>
      <c r="K595" s="4" t="n"/>
    </row>
    <row r="596" ht="20" customHeight="1">
      <c r="A596" s="3" t="n"/>
      <c r="B596" s="4" t="n"/>
      <c r="C596" s="5" t="n"/>
      <c r="D596" s="5" t="n"/>
      <c r="E596" s="4">
        <f>IF($D596="","",IFERROR(XLOOKUP($D596,Items!$A:$A,Items!$B:$B),"ERR"))</f>
        <v/>
      </c>
      <c r="F596" s="6" t="n"/>
      <c r="G596" s="6">
        <f>IF($D596="","",IFERROR(XLOOKUP($D596,Items!$A:$A,Items!$D:$D),0))</f>
        <v/>
      </c>
      <c r="H596" s="6">
        <f>IF($C596="Issue",IFERROR($F596*$G596,0),0)</f>
        <v/>
      </c>
      <c r="I596" s="6" t="n"/>
      <c r="J596" s="5" t="n"/>
      <c r="K596" s="4" t="n"/>
    </row>
    <row r="597" ht="20" customHeight="1">
      <c r="A597" s="3" t="n"/>
      <c r="B597" s="4" t="n"/>
      <c r="C597" s="5" t="n"/>
      <c r="D597" s="5" t="n"/>
      <c r="E597" s="4">
        <f>IF($D597="","",IFERROR(XLOOKUP($D597,Items!$A:$A,Items!$B:$B),"ERR"))</f>
        <v/>
      </c>
      <c r="F597" s="6" t="n"/>
      <c r="G597" s="6">
        <f>IF($D597="","",IFERROR(XLOOKUP($D597,Items!$A:$A,Items!$D:$D),0))</f>
        <v/>
      </c>
      <c r="H597" s="6">
        <f>IF($C597="Issue",IFERROR($F597*$G597,0),0)</f>
        <v/>
      </c>
      <c r="I597" s="6" t="n"/>
      <c r="J597" s="5" t="n"/>
      <c r="K597" s="4" t="n"/>
    </row>
    <row r="598" ht="20" customHeight="1">
      <c r="A598" s="3" t="n"/>
      <c r="B598" s="4" t="n"/>
      <c r="C598" s="5" t="n"/>
      <c r="D598" s="5" t="n"/>
      <c r="E598" s="4">
        <f>IF($D598="","",IFERROR(XLOOKUP($D598,Items!$A:$A,Items!$B:$B),"ERR"))</f>
        <v/>
      </c>
      <c r="F598" s="6" t="n"/>
      <c r="G598" s="6">
        <f>IF($D598="","",IFERROR(XLOOKUP($D598,Items!$A:$A,Items!$D:$D),0))</f>
        <v/>
      </c>
      <c r="H598" s="6">
        <f>IF($C598="Issue",IFERROR($F598*$G598,0),0)</f>
        <v/>
      </c>
      <c r="I598" s="6" t="n"/>
      <c r="J598" s="5" t="n"/>
      <c r="K598" s="4" t="n"/>
    </row>
    <row r="599" ht="20" customHeight="1">
      <c r="A599" s="3" t="n"/>
      <c r="B599" s="4" t="n"/>
      <c r="C599" s="5" t="n"/>
      <c r="D599" s="5" t="n"/>
      <c r="E599" s="4">
        <f>IF($D599="","",IFERROR(XLOOKUP($D599,Items!$A:$A,Items!$B:$B),"ERR"))</f>
        <v/>
      </c>
      <c r="F599" s="6" t="n"/>
      <c r="G599" s="6">
        <f>IF($D599="","",IFERROR(XLOOKUP($D599,Items!$A:$A,Items!$D:$D),0))</f>
        <v/>
      </c>
      <c r="H599" s="6">
        <f>IF($C599="Issue",IFERROR($F599*$G599,0),0)</f>
        <v/>
      </c>
      <c r="I599" s="6" t="n"/>
      <c r="J599" s="5" t="n"/>
      <c r="K599" s="4" t="n"/>
    </row>
    <row r="600" ht="20" customHeight="1">
      <c r="A600" s="3" t="n"/>
      <c r="B600" s="4" t="n"/>
      <c r="C600" s="5" t="n"/>
      <c r="D600" s="5" t="n"/>
      <c r="E600" s="4">
        <f>IF($D600="","",IFERROR(XLOOKUP($D600,Items!$A:$A,Items!$B:$B),"ERR"))</f>
        <v/>
      </c>
      <c r="F600" s="6" t="n"/>
      <c r="G600" s="6">
        <f>IF($D600="","",IFERROR(XLOOKUP($D600,Items!$A:$A,Items!$D:$D),0))</f>
        <v/>
      </c>
      <c r="H600" s="6">
        <f>IF($C600="Issue",IFERROR($F600*$G600,0),0)</f>
        <v/>
      </c>
      <c r="I600" s="6" t="n"/>
      <c r="J600" s="5" t="n"/>
      <c r="K600" s="4" t="n"/>
    </row>
    <row r="601" ht="20" customHeight="1">
      <c r="A601" s="3" t="n"/>
      <c r="B601" s="4" t="n"/>
      <c r="C601" s="5" t="n"/>
      <c r="D601" s="5" t="n"/>
      <c r="E601" s="4">
        <f>IF($D601="","",IFERROR(XLOOKUP($D601,Items!$A:$A,Items!$B:$B),"ERR"))</f>
        <v/>
      </c>
      <c r="F601" s="6" t="n"/>
      <c r="G601" s="6">
        <f>IF($D601="","",IFERROR(XLOOKUP($D601,Items!$A:$A,Items!$D:$D),0))</f>
        <v/>
      </c>
      <c r="H601" s="6">
        <f>IF($C601="Issue",IFERROR($F601*$G601,0),0)</f>
        <v/>
      </c>
      <c r="I601" s="6" t="n"/>
      <c r="J601" s="5" t="n"/>
      <c r="K601" s="4" t="n"/>
    </row>
    <row r="602" ht="20" customHeight="1">
      <c r="A602" s="3" t="n"/>
      <c r="B602" s="4" t="n"/>
      <c r="C602" s="5" t="n"/>
      <c r="D602" s="5" t="n"/>
      <c r="E602" s="4">
        <f>IF($D602="","",IFERROR(XLOOKUP($D602,Items!$A:$A,Items!$B:$B),"ERR"))</f>
        <v/>
      </c>
      <c r="F602" s="6" t="n"/>
      <c r="G602" s="6">
        <f>IF($D602="","",IFERROR(XLOOKUP($D602,Items!$A:$A,Items!$D:$D),0))</f>
        <v/>
      </c>
      <c r="H602" s="6">
        <f>IF($C602="Issue",IFERROR($F602*$G602,0),0)</f>
        <v/>
      </c>
      <c r="I602" s="6" t="n"/>
      <c r="J602" s="5" t="n"/>
      <c r="K602" s="4" t="n"/>
    </row>
    <row r="603" ht="20" customHeight="1">
      <c r="A603" s="3" t="n"/>
      <c r="B603" s="4" t="n"/>
      <c r="C603" s="5" t="n"/>
      <c r="D603" s="5" t="n"/>
      <c r="E603" s="4">
        <f>IF($D603="","",IFERROR(XLOOKUP($D603,Items!$A:$A,Items!$B:$B),"ERR"))</f>
        <v/>
      </c>
      <c r="F603" s="6" t="n"/>
      <c r="G603" s="6">
        <f>IF($D603="","",IFERROR(XLOOKUP($D603,Items!$A:$A,Items!$D:$D),0))</f>
        <v/>
      </c>
      <c r="H603" s="6">
        <f>IF($C603="Issue",IFERROR($F603*$G603,0),0)</f>
        <v/>
      </c>
      <c r="I603" s="6" t="n"/>
      <c r="J603" s="5" t="n"/>
      <c r="K603" s="4" t="n"/>
    </row>
    <row r="604" ht="20" customHeight="1">
      <c r="A604" s="3" t="n"/>
      <c r="B604" s="4" t="n"/>
      <c r="C604" s="5" t="n"/>
      <c r="D604" s="5" t="n"/>
      <c r="E604" s="4">
        <f>IF($D604="","",IFERROR(XLOOKUP($D604,Items!$A:$A,Items!$B:$B),"ERR"))</f>
        <v/>
      </c>
      <c r="F604" s="6" t="n"/>
      <c r="G604" s="6">
        <f>IF($D604="","",IFERROR(XLOOKUP($D604,Items!$A:$A,Items!$D:$D),0))</f>
        <v/>
      </c>
      <c r="H604" s="6">
        <f>IF($C604="Issue",IFERROR($F604*$G604,0),0)</f>
        <v/>
      </c>
      <c r="I604" s="6" t="n"/>
      <c r="J604" s="5" t="n"/>
      <c r="K604" s="4" t="n"/>
    </row>
    <row r="605" ht="20" customHeight="1">
      <c r="A605" s="3" t="n"/>
      <c r="B605" s="4" t="n"/>
      <c r="C605" s="5" t="n"/>
      <c r="D605" s="5" t="n"/>
      <c r="E605" s="4">
        <f>IF($D605="","",IFERROR(XLOOKUP($D605,Items!$A:$A,Items!$B:$B),"ERR"))</f>
        <v/>
      </c>
      <c r="F605" s="6" t="n"/>
      <c r="G605" s="6">
        <f>IF($D605="","",IFERROR(XLOOKUP($D605,Items!$A:$A,Items!$D:$D),0))</f>
        <v/>
      </c>
      <c r="H605" s="6">
        <f>IF($C605="Issue",IFERROR($F605*$G605,0),0)</f>
        <v/>
      </c>
      <c r="I605" s="6" t="n"/>
      <c r="J605" s="5" t="n"/>
      <c r="K605" s="4" t="n"/>
    </row>
    <row r="606" ht="20" customHeight="1">
      <c r="A606" s="3" t="n"/>
      <c r="B606" s="4" t="n"/>
      <c r="C606" s="5" t="n"/>
      <c r="D606" s="5" t="n"/>
      <c r="E606" s="4">
        <f>IF($D606="","",IFERROR(XLOOKUP($D606,Items!$A:$A,Items!$B:$B),"ERR"))</f>
        <v/>
      </c>
      <c r="F606" s="6" t="n"/>
      <c r="G606" s="6">
        <f>IF($D606="","",IFERROR(XLOOKUP($D606,Items!$A:$A,Items!$D:$D),0))</f>
        <v/>
      </c>
      <c r="H606" s="6">
        <f>IF($C606="Issue",IFERROR($F606*$G606,0),0)</f>
        <v/>
      </c>
      <c r="I606" s="6" t="n"/>
      <c r="J606" s="5" t="n"/>
      <c r="K606" s="4" t="n"/>
    </row>
    <row r="607" ht="20" customHeight="1">
      <c r="A607" s="3" t="n"/>
      <c r="B607" s="4" t="n"/>
      <c r="C607" s="5" t="n"/>
      <c r="D607" s="5" t="n"/>
      <c r="E607" s="4">
        <f>IF($D607="","",IFERROR(XLOOKUP($D607,Items!$A:$A,Items!$B:$B),"ERR"))</f>
        <v/>
      </c>
      <c r="F607" s="6" t="n"/>
      <c r="G607" s="6">
        <f>IF($D607="","",IFERROR(XLOOKUP($D607,Items!$A:$A,Items!$D:$D),0))</f>
        <v/>
      </c>
      <c r="H607" s="6">
        <f>IF($C607="Issue",IFERROR($F607*$G607,0),0)</f>
        <v/>
      </c>
      <c r="I607" s="6" t="n"/>
      <c r="J607" s="5" t="n"/>
      <c r="K607" s="4" t="n"/>
    </row>
    <row r="608" ht="20" customHeight="1">
      <c r="A608" s="3" t="n"/>
      <c r="B608" s="4" t="n"/>
      <c r="C608" s="5" t="n"/>
      <c r="D608" s="5" t="n"/>
      <c r="E608" s="4">
        <f>IF($D608="","",IFERROR(XLOOKUP($D608,Items!$A:$A,Items!$B:$B),"ERR"))</f>
        <v/>
      </c>
      <c r="F608" s="6" t="n"/>
      <c r="G608" s="6">
        <f>IF($D608="","",IFERROR(XLOOKUP($D608,Items!$A:$A,Items!$D:$D),0))</f>
        <v/>
      </c>
      <c r="H608" s="6">
        <f>IF($C608="Issue",IFERROR($F608*$G608,0),0)</f>
        <v/>
      </c>
      <c r="I608" s="6" t="n"/>
      <c r="J608" s="5" t="n"/>
      <c r="K608" s="4" t="n"/>
    </row>
    <row r="609" ht="20" customHeight="1">
      <c r="A609" s="3" t="n"/>
      <c r="B609" s="4" t="n"/>
      <c r="C609" s="5" t="n"/>
      <c r="D609" s="5" t="n"/>
      <c r="E609" s="4">
        <f>IF($D609="","",IFERROR(XLOOKUP($D609,Items!$A:$A,Items!$B:$B),"ERR"))</f>
        <v/>
      </c>
      <c r="F609" s="6" t="n"/>
      <c r="G609" s="6">
        <f>IF($D609="","",IFERROR(XLOOKUP($D609,Items!$A:$A,Items!$D:$D),0))</f>
        <v/>
      </c>
      <c r="H609" s="6">
        <f>IF($C609="Issue",IFERROR($F609*$G609,0),0)</f>
        <v/>
      </c>
      <c r="I609" s="6" t="n"/>
      <c r="J609" s="5" t="n"/>
      <c r="K609" s="4" t="n"/>
    </row>
    <row r="610" ht="20" customHeight="1">
      <c r="A610" s="3" t="n"/>
      <c r="B610" s="4" t="n"/>
      <c r="C610" s="5" t="n"/>
      <c r="D610" s="5" t="n"/>
      <c r="E610" s="4">
        <f>IF($D610="","",IFERROR(XLOOKUP($D610,Items!$A:$A,Items!$B:$B),"ERR"))</f>
        <v/>
      </c>
      <c r="F610" s="6" t="n"/>
      <c r="G610" s="6">
        <f>IF($D610="","",IFERROR(XLOOKUP($D610,Items!$A:$A,Items!$D:$D),0))</f>
        <v/>
      </c>
      <c r="H610" s="6">
        <f>IF($C610="Issue",IFERROR($F610*$G610,0),0)</f>
        <v/>
      </c>
      <c r="I610" s="6" t="n"/>
      <c r="J610" s="5" t="n"/>
      <c r="K610" s="4" t="n"/>
    </row>
    <row r="611" ht="20" customHeight="1">
      <c r="A611" s="3" t="n"/>
      <c r="B611" s="4" t="n"/>
      <c r="C611" s="5" t="n"/>
      <c r="D611" s="5" t="n"/>
      <c r="E611" s="4">
        <f>IF($D611="","",IFERROR(XLOOKUP($D611,Items!$A:$A,Items!$B:$B),"ERR"))</f>
        <v/>
      </c>
      <c r="F611" s="6" t="n"/>
      <c r="G611" s="6">
        <f>IF($D611="","",IFERROR(XLOOKUP($D611,Items!$A:$A,Items!$D:$D),0))</f>
        <v/>
      </c>
      <c r="H611" s="6">
        <f>IF($C611="Issue",IFERROR($F611*$G611,0),0)</f>
        <v/>
      </c>
      <c r="I611" s="6" t="n"/>
      <c r="J611" s="5" t="n"/>
      <c r="K611" s="4" t="n"/>
    </row>
    <row r="612" ht="20" customHeight="1">
      <c r="A612" s="3" t="n"/>
      <c r="B612" s="4" t="n"/>
      <c r="C612" s="5" t="n"/>
      <c r="D612" s="5" t="n"/>
      <c r="E612" s="4">
        <f>IF($D612="","",IFERROR(XLOOKUP($D612,Items!$A:$A,Items!$B:$B),"ERR"))</f>
        <v/>
      </c>
      <c r="F612" s="6" t="n"/>
      <c r="G612" s="6">
        <f>IF($D612="","",IFERROR(XLOOKUP($D612,Items!$A:$A,Items!$D:$D),0))</f>
        <v/>
      </c>
      <c r="H612" s="6">
        <f>IF($C612="Issue",IFERROR($F612*$G612,0),0)</f>
        <v/>
      </c>
      <c r="I612" s="6" t="n"/>
      <c r="J612" s="5" t="n"/>
      <c r="K612" s="4" t="n"/>
    </row>
    <row r="613" ht="20" customHeight="1">
      <c r="A613" s="3" t="n"/>
      <c r="B613" s="4" t="n"/>
      <c r="C613" s="5" t="n"/>
      <c r="D613" s="5" t="n"/>
      <c r="E613" s="4">
        <f>IF($D613="","",IFERROR(XLOOKUP($D613,Items!$A:$A,Items!$B:$B),"ERR"))</f>
        <v/>
      </c>
      <c r="F613" s="6" t="n"/>
      <c r="G613" s="6">
        <f>IF($D613="","",IFERROR(XLOOKUP($D613,Items!$A:$A,Items!$D:$D),0))</f>
        <v/>
      </c>
      <c r="H613" s="6">
        <f>IF($C613="Issue",IFERROR($F613*$G613,0),0)</f>
        <v/>
      </c>
      <c r="I613" s="6" t="n"/>
      <c r="J613" s="5" t="n"/>
      <c r="K613" s="4" t="n"/>
    </row>
    <row r="614" ht="20" customHeight="1">
      <c r="A614" s="3" t="n"/>
      <c r="B614" s="4" t="n"/>
      <c r="C614" s="5" t="n"/>
      <c r="D614" s="5" t="n"/>
      <c r="E614" s="4">
        <f>IF($D614="","",IFERROR(XLOOKUP($D614,Items!$A:$A,Items!$B:$B),"ERR"))</f>
        <v/>
      </c>
      <c r="F614" s="6" t="n"/>
      <c r="G614" s="6">
        <f>IF($D614="","",IFERROR(XLOOKUP($D614,Items!$A:$A,Items!$D:$D),0))</f>
        <v/>
      </c>
      <c r="H614" s="6">
        <f>IF($C614="Issue",IFERROR($F614*$G614,0),0)</f>
        <v/>
      </c>
      <c r="I614" s="6" t="n"/>
      <c r="J614" s="5" t="n"/>
      <c r="K614" s="4" t="n"/>
    </row>
    <row r="615" ht="20" customHeight="1">
      <c r="A615" s="3" t="n"/>
      <c r="B615" s="4" t="n"/>
      <c r="C615" s="5" t="n"/>
      <c r="D615" s="5" t="n"/>
      <c r="E615" s="4">
        <f>IF($D615="","",IFERROR(XLOOKUP($D615,Items!$A:$A,Items!$B:$B),"ERR"))</f>
        <v/>
      </c>
      <c r="F615" s="6" t="n"/>
      <c r="G615" s="6">
        <f>IF($D615="","",IFERROR(XLOOKUP($D615,Items!$A:$A,Items!$D:$D),0))</f>
        <v/>
      </c>
      <c r="H615" s="6">
        <f>IF($C615="Issue",IFERROR($F615*$G615,0),0)</f>
        <v/>
      </c>
      <c r="I615" s="6" t="n"/>
      <c r="J615" s="5" t="n"/>
      <c r="K615" s="4" t="n"/>
    </row>
    <row r="616" ht="20" customHeight="1">
      <c r="A616" s="3" t="n"/>
      <c r="B616" s="4" t="n"/>
      <c r="C616" s="5" t="n"/>
      <c r="D616" s="5" t="n"/>
      <c r="E616" s="4">
        <f>IF($D616="","",IFERROR(XLOOKUP($D616,Items!$A:$A,Items!$B:$B),"ERR"))</f>
        <v/>
      </c>
      <c r="F616" s="6" t="n"/>
      <c r="G616" s="6">
        <f>IF($D616="","",IFERROR(XLOOKUP($D616,Items!$A:$A,Items!$D:$D),0))</f>
        <v/>
      </c>
      <c r="H616" s="6">
        <f>IF($C616="Issue",IFERROR($F616*$G616,0),0)</f>
        <v/>
      </c>
      <c r="I616" s="6" t="n"/>
      <c r="J616" s="5" t="n"/>
      <c r="K616" s="4" t="n"/>
    </row>
    <row r="617" ht="20" customHeight="1">
      <c r="A617" s="3" t="n"/>
      <c r="B617" s="4" t="n"/>
      <c r="C617" s="5" t="n"/>
      <c r="D617" s="5" t="n"/>
      <c r="E617" s="4">
        <f>IF($D617="","",IFERROR(XLOOKUP($D617,Items!$A:$A,Items!$B:$B),"ERR"))</f>
        <v/>
      </c>
      <c r="F617" s="6" t="n"/>
      <c r="G617" s="6">
        <f>IF($D617="","",IFERROR(XLOOKUP($D617,Items!$A:$A,Items!$D:$D),0))</f>
        <v/>
      </c>
      <c r="H617" s="6">
        <f>IF($C617="Issue",IFERROR($F617*$G617,0),0)</f>
        <v/>
      </c>
      <c r="I617" s="6" t="n"/>
      <c r="J617" s="5" t="n"/>
      <c r="K617" s="4" t="n"/>
    </row>
    <row r="618" ht="20" customHeight="1">
      <c r="A618" s="3" t="n"/>
      <c r="B618" s="4" t="n"/>
      <c r="C618" s="5" t="n"/>
      <c r="D618" s="5" t="n"/>
      <c r="E618" s="4">
        <f>IF($D618="","",IFERROR(XLOOKUP($D618,Items!$A:$A,Items!$B:$B),"ERR"))</f>
        <v/>
      </c>
      <c r="F618" s="6" t="n"/>
      <c r="G618" s="6">
        <f>IF($D618="","",IFERROR(XLOOKUP($D618,Items!$A:$A,Items!$D:$D),0))</f>
        <v/>
      </c>
      <c r="H618" s="6">
        <f>IF($C618="Issue",IFERROR($F618*$G618,0),0)</f>
        <v/>
      </c>
      <c r="I618" s="6" t="n"/>
      <c r="J618" s="5" t="n"/>
      <c r="K618" s="4" t="n"/>
    </row>
    <row r="619" ht="20" customHeight="1">
      <c r="A619" s="3" t="n"/>
      <c r="B619" s="4" t="n"/>
      <c r="C619" s="5" t="n"/>
      <c r="D619" s="5" t="n"/>
      <c r="E619" s="4">
        <f>IF($D619="","",IFERROR(XLOOKUP($D619,Items!$A:$A,Items!$B:$B),"ERR"))</f>
        <v/>
      </c>
      <c r="F619" s="6" t="n"/>
      <c r="G619" s="6">
        <f>IF($D619="","",IFERROR(XLOOKUP($D619,Items!$A:$A,Items!$D:$D),0))</f>
        <v/>
      </c>
      <c r="H619" s="6">
        <f>IF($C619="Issue",IFERROR($F619*$G619,0),0)</f>
        <v/>
      </c>
      <c r="I619" s="6" t="n"/>
      <c r="J619" s="5" t="n"/>
      <c r="K619" s="4" t="n"/>
    </row>
    <row r="620" ht="20" customHeight="1">
      <c r="A620" s="3" t="n"/>
      <c r="B620" s="4" t="n"/>
      <c r="C620" s="5" t="n"/>
      <c r="D620" s="5" t="n"/>
      <c r="E620" s="4">
        <f>IF($D620="","",IFERROR(XLOOKUP($D620,Items!$A:$A,Items!$B:$B),"ERR"))</f>
        <v/>
      </c>
      <c r="F620" s="6" t="n"/>
      <c r="G620" s="6">
        <f>IF($D620="","",IFERROR(XLOOKUP($D620,Items!$A:$A,Items!$D:$D),0))</f>
        <v/>
      </c>
      <c r="H620" s="6">
        <f>IF($C620="Issue",IFERROR($F620*$G620,0),0)</f>
        <v/>
      </c>
      <c r="I620" s="6" t="n"/>
      <c r="J620" s="5" t="n"/>
      <c r="K620" s="4" t="n"/>
    </row>
    <row r="621" ht="20" customHeight="1">
      <c r="A621" s="3" t="n"/>
      <c r="B621" s="4" t="n"/>
      <c r="C621" s="5" t="n"/>
      <c r="D621" s="5" t="n"/>
      <c r="E621" s="4">
        <f>IF($D621="","",IFERROR(XLOOKUP($D621,Items!$A:$A,Items!$B:$B),"ERR"))</f>
        <v/>
      </c>
      <c r="F621" s="6" t="n"/>
      <c r="G621" s="6">
        <f>IF($D621="","",IFERROR(XLOOKUP($D621,Items!$A:$A,Items!$D:$D),0))</f>
        <v/>
      </c>
      <c r="H621" s="6">
        <f>IF($C621="Issue",IFERROR($F621*$G621,0),0)</f>
        <v/>
      </c>
      <c r="I621" s="6" t="n"/>
      <c r="J621" s="5" t="n"/>
      <c r="K621" s="4" t="n"/>
    </row>
    <row r="622" ht="20" customHeight="1">
      <c r="A622" s="3" t="n"/>
      <c r="B622" s="4" t="n"/>
      <c r="C622" s="5" t="n"/>
      <c r="D622" s="5" t="n"/>
      <c r="E622" s="4">
        <f>IF($D622="","",IFERROR(XLOOKUP($D622,Items!$A:$A,Items!$B:$B),"ERR"))</f>
        <v/>
      </c>
      <c r="F622" s="6" t="n"/>
      <c r="G622" s="6">
        <f>IF($D622="","",IFERROR(XLOOKUP($D622,Items!$A:$A,Items!$D:$D),0))</f>
        <v/>
      </c>
      <c r="H622" s="6">
        <f>IF($C622="Issue",IFERROR($F622*$G622,0),0)</f>
        <v/>
      </c>
      <c r="I622" s="6" t="n"/>
      <c r="J622" s="5" t="n"/>
      <c r="K622" s="4" t="n"/>
    </row>
    <row r="623" ht="20" customHeight="1">
      <c r="A623" s="3" t="n"/>
      <c r="B623" s="4" t="n"/>
      <c r="C623" s="5" t="n"/>
      <c r="D623" s="5" t="n"/>
      <c r="E623" s="4">
        <f>IF($D623="","",IFERROR(XLOOKUP($D623,Items!$A:$A,Items!$B:$B),"ERR"))</f>
        <v/>
      </c>
      <c r="F623" s="6" t="n"/>
      <c r="G623" s="6">
        <f>IF($D623="","",IFERROR(XLOOKUP($D623,Items!$A:$A,Items!$D:$D),0))</f>
        <v/>
      </c>
      <c r="H623" s="6">
        <f>IF($C623="Issue",IFERROR($F623*$G623,0),0)</f>
        <v/>
      </c>
      <c r="I623" s="6" t="n"/>
      <c r="J623" s="5" t="n"/>
      <c r="K623" s="4" t="n"/>
    </row>
    <row r="624" ht="20" customHeight="1">
      <c r="A624" s="3" t="n"/>
      <c r="B624" s="4" t="n"/>
      <c r="C624" s="5" t="n"/>
      <c r="D624" s="5" t="n"/>
      <c r="E624" s="4">
        <f>IF($D624="","",IFERROR(XLOOKUP($D624,Items!$A:$A,Items!$B:$B),"ERR"))</f>
        <v/>
      </c>
      <c r="F624" s="6" t="n"/>
      <c r="G624" s="6">
        <f>IF($D624="","",IFERROR(XLOOKUP($D624,Items!$A:$A,Items!$D:$D),0))</f>
        <v/>
      </c>
      <c r="H624" s="6">
        <f>IF($C624="Issue",IFERROR($F624*$G624,0),0)</f>
        <v/>
      </c>
      <c r="I624" s="6" t="n"/>
      <c r="J624" s="5" t="n"/>
      <c r="K624" s="4" t="n"/>
    </row>
    <row r="625" ht="20" customHeight="1">
      <c r="A625" s="3" t="n"/>
      <c r="B625" s="4" t="n"/>
      <c r="C625" s="5" t="n"/>
      <c r="D625" s="5" t="n"/>
      <c r="E625" s="4">
        <f>IF($D625="","",IFERROR(XLOOKUP($D625,Items!$A:$A,Items!$B:$B),"ERR"))</f>
        <v/>
      </c>
      <c r="F625" s="6" t="n"/>
      <c r="G625" s="6">
        <f>IF($D625="","",IFERROR(XLOOKUP($D625,Items!$A:$A,Items!$D:$D),0))</f>
        <v/>
      </c>
      <c r="H625" s="6">
        <f>IF($C625="Issue",IFERROR($F625*$G625,0),0)</f>
        <v/>
      </c>
      <c r="I625" s="6" t="n"/>
      <c r="J625" s="5" t="n"/>
      <c r="K625" s="4" t="n"/>
    </row>
    <row r="626" ht="20" customHeight="1">
      <c r="A626" s="3" t="n"/>
      <c r="B626" s="4" t="n"/>
      <c r="C626" s="5" t="n"/>
      <c r="D626" s="5" t="n"/>
      <c r="E626" s="4">
        <f>IF($D626="","",IFERROR(XLOOKUP($D626,Items!$A:$A,Items!$B:$B),"ERR"))</f>
        <v/>
      </c>
      <c r="F626" s="6" t="n"/>
      <c r="G626" s="6">
        <f>IF($D626="","",IFERROR(XLOOKUP($D626,Items!$A:$A,Items!$D:$D),0))</f>
        <v/>
      </c>
      <c r="H626" s="6">
        <f>IF($C626="Issue",IFERROR($F626*$G626,0),0)</f>
        <v/>
      </c>
      <c r="I626" s="6" t="n"/>
      <c r="J626" s="5" t="n"/>
      <c r="K626" s="4" t="n"/>
    </row>
    <row r="627" ht="20" customHeight="1">
      <c r="A627" s="3" t="n"/>
      <c r="B627" s="4" t="n"/>
      <c r="C627" s="5" t="n"/>
      <c r="D627" s="5" t="n"/>
      <c r="E627" s="4">
        <f>IF($D627="","",IFERROR(XLOOKUP($D627,Items!$A:$A,Items!$B:$B),"ERR"))</f>
        <v/>
      </c>
      <c r="F627" s="6" t="n"/>
      <c r="G627" s="6">
        <f>IF($D627="","",IFERROR(XLOOKUP($D627,Items!$A:$A,Items!$D:$D),0))</f>
        <v/>
      </c>
      <c r="H627" s="6">
        <f>IF($C627="Issue",IFERROR($F627*$G627,0),0)</f>
        <v/>
      </c>
      <c r="I627" s="6" t="n"/>
      <c r="J627" s="5" t="n"/>
      <c r="K627" s="4" t="n"/>
    </row>
    <row r="628" ht="20" customHeight="1">
      <c r="A628" s="3" t="n"/>
      <c r="B628" s="4" t="n"/>
      <c r="C628" s="5" t="n"/>
      <c r="D628" s="5" t="n"/>
      <c r="E628" s="4">
        <f>IF($D628="","",IFERROR(XLOOKUP($D628,Items!$A:$A,Items!$B:$B),"ERR"))</f>
        <v/>
      </c>
      <c r="F628" s="6" t="n"/>
      <c r="G628" s="6">
        <f>IF($D628="","",IFERROR(XLOOKUP($D628,Items!$A:$A,Items!$D:$D),0))</f>
        <v/>
      </c>
      <c r="H628" s="6">
        <f>IF($C628="Issue",IFERROR($F628*$G628,0),0)</f>
        <v/>
      </c>
      <c r="I628" s="6" t="n"/>
      <c r="J628" s="5" t="n"/>
      <c r="K628" s="4" t="n"/>
    </row>
    <row r="629" ht="20" customHeight="1">
      <c r="A629" s="3" t="n"/>
      <c r="B629" s="4" t="n"/>
      <c r="C629" s="5" t="n"/>
      <c r="D629" s="5" t="n"/>
      <c r="E629" s="4">
        <f>IF($D629="","",IFERROR(XLOOKUP($D629,Items!$A:$A,Items!$B:$B),"ERR"))</f>
        <v/>
      </c>
      <c r="F629" s="6" t="n"/>
      <c r="G629" s="6">
        <f>IF($D629="","",IFERROR(XLOOKUP($D629,Items!$A:$A,Items!$D:$D),0))</f>
        <v/>
      </c>
      <c r="H629" s="6">
        <f>IF($C629="Issue",IFERROR($F629*$G629,0),0)</f>
        <v/>
      </c>
      <c r="I629" s="6" t="n"/>
      <c r="J629" s="5" t="n"/>
      <c r="K629" s="4" t="n"/>
    </row>
    <row r="630" ht="20" customHeight="1">
      <c r="A630" s="3" t="n"/>
      <c r="B630" s="4" t="n"/>
      <c r="C630" s="5" t="n"/>
      <c r="D630" s="5" t="n"/>
      <c r="E630" s="4">
        <f>IF($D630="","",IFERROR(XLOOKUP($D630,Items!$A:$A,Items!$B:$B),"ERR"))</f>
        <v/>
      </c>
      <c r="F630" s="6" t="n"/>
      <c r="G630" s="6">
        <f>IF($D630="","",IFERROR(XLOOKUP($D630,Items!$A:$A,Items!$D:$D),0))</f>
        <v/>
      </c>
      <c r="H630" s="6">
        <f>IF($C630="Issue",IFERROR($F630*$G630,0),0)</f>
        <v/>
      </c>
      <c r="I630" s="6" t="n"/>
      <c r="J630" s="5" t="n"/>
      <c r="K630" s="4" t="n"/>
    </row>
    <row r="631" ht="20" customHeight="1">
      <c r="A631" s="3" t="n"/>
      <c r="B631" s="4" t="n"/>
      <c r="C631" s="5" t="n"/>
      <c r="D631" s="5" t="n"/>
      <c r="E631" s="4">
        <f>IF($D631="","",IFERROR(XLOOKUP($D631,Items!$A:$A,Items!$B:$B),"ERR"))</f>
        <v/>
      </c>
      <c r="F631" s="6" t="n"/>
      <c r="G631" s="6">
        <f>IF($D631="","",IFERROR(XLOOKUP($D631,Items!$A:$A,Items!$D:$D),0))</f>
        <v/>
      </c>
      <c r="H631" s="6">
        <f>IF($C631="Issue",IFERROR($F631*$G631,0),0)</f>
        <v/>
      </c>
      <c r="I631" s="6" t="n"/>
      <c r="J631" s="5" t="n"/>
      <c r="K631" s="4" t="n"/>
    </row>
    <row r="632" ht="20" customHeight="1">
      <c r="A632" s="3" t="n"/>
      <c r="B632" s="4" t="n"/>
      <c r="C632" s="5" t="n"/>
      <c r="D632" s="5" t="n"/>
      <c r="E632" s="4">
        <f>IF($D632="","",IFERROR(XLOOKUP($D632,Items!$A:$A,Items!$B:$B),"ERR"))</f>
        <v/>
      </c>
      <c r="F632" s="6" t="n"/>
      <c r="G632" s="6">
        <f>IF($D632="","",IFERROR(XLOOKUP($D632,Items!$A:$A,Items!$D:$D),0))</f>
        <v/>
      </c>
      <c r="H632" s="6">
        <f>IF($C632="Issue",IFERROR($F632*$G632,0),0)</f>
        <v/>
      </c>
      <c r="I632" s="6" t="n"/>
      <c r="J632" s="5" t="n"/>
      <c r="K632" s="4" t="n"/>
    </row>
    <row r="633" ht="20" customHeight="1">
      <c r="A633" s="3" t="n"/>
      <c r="B633" s="4" t="n"/>
      <c r="C633" s="5" t="n"/>
      <c r="D633" s="5" t="n"/>
      <c r="E633" s="4">
        <f>IF($D633="","",IFERROR(XLOOKUP($D633,Items!$A:$A,Items!$B:$B),"ERR"))</f>
        <v/>
      </c>
      <c r="F633" s="6" t="n"/>
      <c r="G633" s="6">
        <f>IF($D633="","",IFERROR(XLOOKUP($D633,Items!$A:$A,Items!$D:$D),0))</f>
        <v/>
      </c>
      <c r="H633" s="6">
        <f>IF($C633="Issue",IFERROR($F633*$G633,0),0)</f>
        <v/>
      </c>
      <c r="I633" s="6" t="n"/>
      <c r="J633" s="5" t="n"/>
      <c r="K633" s="4" t="n"/>
    </row>
    <row r="634" ht="20" customHeight="1">
      <c r="A634" s="3" t="n"/>
      <c r="B634" s="4" t="n"/>
      <c r="C634" s="5" t="n"/>
      <c r="D634" s="5" t="n"/>
      <c r="E634" s="4">
        <f>IF($D634="","",IFERROR(XLOOKUP($D634,Items!$A:$A,Items!$B:$B),"ERR"))</f>
        <v/>
      </c>
      <c r="F634" s="6" t="n"/>
      <c r="G634" s="6">
        <f>IF($D634="","",IFERROR(XLOOKUP($D634,Items!$A:$A,Items!$D:$D),0))</f>
        <v/>
      </c>
      <c r="H634" s="6">
        <f>IF($C634="Issue",IFERROR($F634*$G634,0),0)</f>
        <v/>
      </c>
      <c r="I634" s="6" t="n"/>
      <c r="J634" s="5" t="n"/>
      <c r="K634" s="4" t="n"/>
    </row>
    <row r="635" ht="20" customHeight="1">
      <c r="A635" s="3" t="n"/>
      <c r="B635" s="4" t="n"/>
      <c r="C635" s="5" t="n"/>
      <c r="D635" s="5" t="n"/>
      <c r="E635" s="4">
        <f>IF($D635="","",IFERROR(XLOOKUP($D635,Items!$A:$A,Items!$B:$B),"ERR"))</f>
        <v/>
      </c>
      <c r="F635" s="6" t="n"/>
      <c r="G635" s="6">
        <f>IF($D635="","",IFERROR(XLOOKUP($D635,Items!$A:$A,Items!$D:$D),0))</f>
        <v/>
      </c>
      <c r="H635" s="6">
        <f>IF($C635="Issue",IFERROR($F635*$G635,0),0)</f>
        <v/>
      </c>
      <c r="I635" s="6" t="n"/>
      <c r="J635" s="5" t="n"/>
      <c r="K635" s="4" t="n"/>
    </row>
    <row r="636" ht="20" customHeight="1">
      <c r="A636" s="3" t="n"/>
      <c r="B636" s="4" t="n"/>
      <c r="C636" s="5" t="n"/>
      <c r="D636" s="5" t="n"/>
      <c r="E636" s="4">
        <f>IF($D636="","",IFERROR(XLOOKUP($D636,Items!$A:$A,Items!$B:$B),"ERR"))</f>
        <v/>
      </c>
      <c r="F636" s="6" t="n"/>
      <c r="G636" s="6">
        <f>IF($D636="","",IFERROR(XLOOKUP($D636,Items!$A:$A,Items!$D:$D),0))</f>
        <v/>
      </c>
      <c r="H636" s="6">
        <f>IF($C636="Issue",IFERROR($F636*$G636,0),0)</f>
        <v/>
      </c>
      <c r="I636" s="6" t="n"/>
      <c r="J636" s="5" t="n"/>
      <c r="K636" s="4" t="n"/>
    </row>
    <row r="637" ht="20" customHeight="1">
      <c r="A637" s="3" t="n"/>
      <c r="B637" s="4" t="n"/>
      <c r="C637" s="5" t="n"/>
      <c r="D637" s="5" t="n"/>
      <c r="E637" s="4">
        <f>IF($D637="","",IFERROR(XLOOKUP($D637,Items!$A:$A,Items!$B:$B),"ERR"))</f>
        <v/>
      </c>
      <c r="F637" s="6" t="n"/>
      <c r="G637" s="6">
        <f>IF($D637="","",IFERROR(XLOOKUP($D637,Items!$A:$A,Items!$D:$D),0))</f>
        <v/>
      </c>
      <c r="H637" s="6">
        <f>IF($C637="Issue",IFERROR($F637*$G637,0),0)</f>
        <v/>
      </c>
      <c r="I637" s="6" t="n"/>
      <c r="J637" s="5" t="n"/>
      <c r="K637" s="4" t="n"/>
    </row>
    <row r="638" ht="20" customHeight="1">
      <c r="A638" s="3" t="n"/>
      <c r="B638" s="4" t="n"/>
      <c r="C638" s="5" t="n"/>
      <c r="D638" s="5" t="n"/>
      <c r="E638" s="4">
        <f>IF($D638="","",IFERROR(XLOOKUP($D638,Items!$A:$A,Items!$B:$B),"ERR"))</f>
        <v/>
      </c>
      <c r="F638" s="6" t="n"/>
      <c r="G638" s="6">
        <f>IF($D638="","",IFERROR(XLOOKUP($D638,Items!$A:$A,Items!$D:$D),0))</f>
        <v/>
      </c>
      <c r="H638" s="6">
        <f>IF($C638="Issue",IFERROR($F638*$G638,0),0)</f>
        <v/>
      </c>
      <c r="I638" s="6" t="n"/>
      <c r="J638" s="5" t="n"/>
      <c r="K638" s="4" t="n"/>
    </row>
    <row r="639" ht="20" customHeight="1">
      <c r="A639" s="3" t="n"/>
      <c r="B639" s="4" t="n"/>
      <c r="C639" s="5" t="n"/>
      <c r="D639" s="5" t="n"/>
      <c r="E639" s="4">
        <f>IF($D639="","",IFERROR(XLOOKUP($D639,Items!$A:$A,Items!$B:$B),"ERR"))</f>
        <v/>
      </c>
      <c r="F639" s="6" t="n"/>
      <c r="G639" s="6">
        <f>IF($D639="","",IFERROR(XLOOKUP($D639,Items!$A:$A,Items!$D:$D),0))</f>
        <v/>
      </c>
      <c r="H639" s="6">
        <f>IF($C639="Issue",IFERROR($F639*$G639,0),0)</f>
        <v/>
      </c>
      <c r="I639" s="6" t="n"/>
      <c r="J639" s="5" t="n"/>
      <c r="K639" s="4" t="n"/>
    </row>
    <row r="640" ht="20" customHeight="1">
      <c r="A640" s="3" t="n"/>
      <c r="B640" s="4" t="n"/>
      <c r="C640" s="5" t="n"/>
      <c r="D640" s="5" t="n"/>
      <c r="E640" s="4">
        <f>IF($D640="","",IFERROR(XLOOKUP($D640,Items!$A:$A,Items!$B:$B),"ERR"))</f>
        <v/>
      </c>
      <c r="F640" s="6" t="n"/>
      <c r="G640" s="6">
        <f>IF($D640="","",IFERROR(XLOOKUP($D640,Items!$A:$A,Items!$D:$D),0))</f>
        <v/>
      </c>
      <c r="H640" s="6">
        <f>IF($C640="Issue",IFERROR($F640*$G640,0),0)</f>
        <v/>
      </c>
      <c r="I640" s="6" t="n"/>
      <c r="J640" s="5" t="n"/>
      <c r="K640" s="4" t="n"/>
    </row>
    <row r="641" ht="20" customHeight="1">
      <c r="A641" s="3" t="n"/>
      <c r="B641" s="4" t="n"/>
      <c r="C641" s="5" t="n"/>
      <c r="D641" s="5" t="n"/>
      <c r="E641" s="4">
        <f>IF($D641="","",IFERROR(XLOOKUP($D641,Items!$A:$A,Items!$B:$B),"ERR"))</f>
        <v/>
      </c>
      <c r="F641" s="6" t="n"/>
      <c r="G641" s="6">
        <f>IF($D641="","",IFERROR(XLOOKUP($D641,Items!$A:$A,Items!$D:$D),0))</f>
        <v/>
      </c>
      <c r="H641" s="6">
        <f>IF($C641="Issue",IFERROR($F641*$G641,0),0)</f>
        <v/>
      </c>
      <c r="I641" s="6" t="n"/>
      <c r="J641" s="5" t="n"/>
      <c r="K641" s="4" t="n"/>
    </row>
    <row r="642" ht="20" customHeight="1">
      <c r="A642" s="3" t="n"/>
      <c r="B642" s="4" t="n"/>
      <c r="C642" s="5" t="n"/>
      <c r="D642" s="5" t="n"/>
      <c r="E642" s="4">
        <f>IF($D642="","",IFERROR(XLOOKUP($D642,Items!$A:$A,Items!$B:$B),"ERR"))</f>
        <v/>
      </c>
      <c r="F642" s="6" t="n"/>
      <c r="G642" s="6">
        <f>IF($D642="","",IFERROR(XLOOKUP($D642,Items!$A:$A,Items!$D:$D),0))</f>
        <v/>
      </c>
      <c r="H642" s="6">
        <f>IF($C642="Issue",IFERROR($F642*$G642,0),0)</f>
        <v/>
      </c>
      <c r="I642" s="6" t="n"/>
      <c r="J642" s="5" t="n"/>
      <c r="K642" s="4" t="n"/>
    </row>
    <row r="643" ht="20" customHeight="1">
      <c r="A643" s="3" t="n"/>
      <c r="B643" s="4" t="n"/>
      <c r="C643" s="5" t="n"/>
      <c r="D643" s="5" t="n"/>
      <c r="E643" s="4">
        <f>IF($D643="","",IFERROR(XLOOKUP($D643,Items!$A:$A,Items!$B:$B),"ERR"))</f>
        <v/>
      </c>
      <c r="F643" s="6" t="n"/>
      <c r="G643" s="6">
        <f>IF($D643="","",IFERROR(XLOOKUP($D643,Items!$A:$A,Items!$D:$D),0))</f>
        <v/>
      </c>
      <c r="H643" s="6">
        <f>IF($C643="Issue",IFERROR($F643*$G643,0),0)</f>
        <v/>
      </c>
      <c r="I643" s="6" t="n"/>
      <c r="J643" s="5" t="n"/>
      <c r="K643" s="4" t="n"/>
    </row>
    <row r="644" ht="20" customHeight="1">
      <c r="A644" s="3" t="n"/>
      <c r="B644" s="4" t="n"/>
      <c r="C644" s="5" t="n"/>
      <c r="D644" s="5" t="n"/>
      <c r="E644" s="4">
        <f>IF($D644="","",IFERROR(XLOOKUP($D644,Items!$A:$A,Items!$B:$B),"ERR"))</f>
        <v/>
      </c>
      <c r="F644" s="6" t="n"/>
      <c r="G644" s="6">
        <f>IF($D644="","",IFERROR(XLOOKUP($D644,Items!$A:$A,Items!$D:$D),0))</f>
        <v/>
      </c>
      <c r="H644" s="6">
        <f>IF($C644="Issue",IFERROR($F644*$G644,0),0)</f>
        <v/>
      </c>
      <c r="I644" s="6" t="n"/>
      <c r="J644" s="5" t="n"/>
      <c r="K644" s="4" t="n"/>
    </row>
    <row r="645" ht="20" customHeight="1">
      <c r="A645" s="3" t="n"/>
      <c r="B645" s="4" t="n"/>
      <c r="C645" s="5" t="n"/>
      <c r="D645" s="5" t="n"/>
      <c r="E645" s="4">
        <f>IF($D645="","",IFERROR(XLOOKUP($D645,Items!$A:$A,Items!$B:$B),"ERR"))</f>
        <v/>
      </c>
      <c r="F645" s="6" t="n"/>
      <c r="G645" s="6">
        <f>IF($D645="","",IFERROR(XLOOKUP($D645,Items!$A:$A,Items!$D:$D),0))</f>
        <v/>
      </c>
      <c r="H645" s="6">
        <f>IF($C645="Issue",IFERROR($F645*$G645,0),0)</f>
        <v/>
      </c>
      <c r="I645" s="6" t="n"/>
      <c r="J645" s="5" t="n"/>
      <c r="K645" s="4" t="n"/>
    </row>
    <row r="646" ht="20" customHeight="1">
      <c r="A646" s="3" t="n"/>
      <c r="B646" s="4" t="n"/>
      <c r="C646" s="5" t="n"/>
      <c r="D646" s="5" t="n"/>
      <c r="E646" s="4">
        <f>IF($D646="","",IFERROR(XLOOKUP($D646,Items!$A:$A,Items!$B:$B),"ERR"))</f>
        <v/>
      </c>
      <c r="F646" s="6" t="n"/>
      <c r="G646" s="6">
        <f>IF($D646="","",IFERROR(XLOOKUP($D646,Items!$A:$A,Items!$D:$D),0))</f>
        <v/>
      </c>
      <c r="H646" s="6">
        <f>IF($C646="Issue",IFERROR($F646*$G646,0),0)</f>
        <v/>
      </c>
      <c r="I646" s="6" t="n"/>
      <c r="J646" s="5" t="n"/>
      <c r="K646" s="4" t="n"/>
    </row>
    <row r="647" ht="20" customHeight="1">
      <c r="A647" s="3" t="n"/>
      <c r="B647" s="4" t="n"/>
      <c r="C647" s="5" t="n"/>
      <c r="D647" s="5" t="n"/>
      <c r="E647" s="4">
        <f>IF($D647="","",IFERROR(XLOOKUP($D647,Items!$A:$A,Items!$B:$B),"ERR"))</f>
        <v/>
      </c>
      <c r="F647" s="6" t="n"/>
      <c r="G647" s="6">
        <f>IF($D647="","",IFERROR(XLOOKUP($D647,Items!$A:$A,Items!$D:$D),0))</f>
        <v/>
      </c>
      <c r="H647" s="6">
        <f>IF($C647="Issue",IFERROR($F647*$G647,0),0)</f>
        <v/>
      </c>
      <c r="I647" s="6" t="n"/>
      <c r="J647" s="5" t="n"/>
      <c r="K647" s="4" t="n"/>
    </row>
    <row r="648" ht="20" customHeight="1">
      <c r="A648" s="3" t="n"/>
      <c r="B648" s="4" t="n"/>
      <c r="C648" s="5" t="n"/>
      <c r="D648" s="5" t="n"/>
      <c r="E648" s="4">
        <f>IF($D648="","",IFERROR(XLOOKUP($D648,Items!$A:$A,Items!$B:$B),"ERR"))</f>
        <v/>
      </c>
      <c r="F648" s="6" t="n"/>
      <c r="G648" s="6">
        <f>IF($D648="","",IFERROR(XLOOKUP($D648,Items!$A:$A,Items!$D:$D),0))</f>
        <v/>
      </c>
      <c r="H648" s="6">
        <f>IF($C648="Issue",IFERROR($F648*$G648,0),0)</f>
        <v/>
      </c>
      <c r="I648" s="6" t="n"/>
      <c r="J648" s="5" t="n"/>
      <c r="K648" s="4" t="n"/>
    </row>
    <row r="649" ht="20" customHeight="1">
      <c r="A649" s="3" t="n"/>
      <c r="B649" s="4" t="n"/>
      <c r="C649" s="5" t="n"/>
      <c r="D649" s="5" t="n"/>
      <c r="E649" s="4">
        <f>IF($D649="","",IFERROR(XLOOKUP($D649,Items!$A:$A,Items!$B:$B),"ERR"))</f>
        <v/>
      </c>
      <c r="F649" s="6" t="n"/>
      <c r="G649" s="6">
        <f>IF($D649="","",IFERROR(XLOOKUP($D649,Items!$A:$A,Items!$D:$D),0))</f>
        <v/>
      </c>
      <c r="H649" s="6">
        <f>IF($C649="Issue",IFERROR($F649*$G649,0),0)</f>
        <v/>
      </c>
      <c r="I649" s="6" t="n"/>
      <c r="J649" s="5" t="n"/>
      <c r="K649" s="4" t="n"/>
    </row>
    <row r="650" ht="20" customHeight="1">
      <c r="A650" s="3" t="n"/>
      <c r="B650" s="4" t="n"/>
      <c r="C650" s="5" t="n"/>
      <c r="D650" s="5" t="n"/>
      <c r="E650" s="4">
        <f>IF($D650="","",IFERROR(XLOOKUP($D650,Items!$A:$A,Items!$B:$B),"ERR"))</f>
        <v/>
      </c>
      <c r="F650" s="6" t="n"/>
      <c r="G650" s="6">
        <f>IF($D650="","",IFERROR(XLOOKUP($D650,Items!$A:$A,Items!$D:$D),0))</f>
        <v/>
      </c>
      <c r="H650" s="6">
        <f>IF($C650="Issue",IFERROR($F650*$G650,0),0)</f>
        <v/>
      </c>
      <c r="I650" s="6" t="n"/>
      <c r="J650" s="5" t="n"/>
      <c r="K650" s="4" t="n"/>
    </row>
    <row r="651" ht="20" customHeight="1">
      <c r="A651" s="3" t="n"/>
      <c r="B651" s="4" t="n"/>
      <c r="C651" s="5" t="n"/>
      <c r="D651" s="5" t="n"/>
      <c r="E651" s="4">
        <f>IF($D651="","",IFERROR(XLOOKUP($D651,Items!$A:$A,Items!$B:$B),"ERR"))</f>
        <v/>
      </c>
      <c r="F651" s="6" t="n"/>
      <c r="G651" s="6">
        <f>IF($D651="","",IFERROR(XLOOKUP($D651,Items!$A:$A,Items!$D:$D),0))</f>
        <v/>
      </c>
      <c r="H651" s="6">
        <f>IF($C651="Issue",IFERROR($F651*$G651,0),0)</f>
        <v/>
      </c>
      <c r="I651" s="6" t="n"/>
      <c r="J651" s="5" t="n"/>
      <c r="K651" s="4" t="n"/>
    </row>
    <row r="652" ht="20" customHeight="1">
      <c r="A652" s="3" t="n"/>
      <c r="B652" s="4" t="n"/>
      <c r="C652" s="5" t="n"/>
      <c r="D652" s="5" t="n"/>
      <c r="E652" s="4">
        <f>IF($D652="","",IFERROR(XLOOKUP($D652,Items!$A:$A,Items!$B:$B),"ERR"))</f>
        <v/>
      </c>
      <c r="F652" s="6" t="n"/>
      <c r="G652" s="6">
        <f>IF($D652="","",IFERROR(XLOOKUP($D652,Items!$A:$A,Items!$D:$D),0))</f>
        <v/>
      </c>
      <c r="H652" s="6">
        <f>IF($C652="Issue",IFERROR($F652*$G652,0),0)</f>
        <v/>
      </c>
      <c r="I652" s="6" t="n"/>
      <c r="J652" s="5" t="n"/>
      <c r="K652" s="4" t="n"/>
    </row>
    <row r="653" ht="20" customHeight="1">
      <c r="A653" s="3" t="n"/>
      <c r="B653" s="4" t="n"/>
      <c r="C653" s="5" t="n"/>
      <c r="D653" s="5" t="n"/>
      <c r="E653" s="4">
        <f>IF($D653="","",IFERROR(XLOOKUP($D653,Items!$A:$A,Items!$B:$B),"ERR"))</f>
        <v/>
      </c>
      <c r="F653" s="6" t="n"/>
      <c r="G653" s="6">
        <f>IF($D653="","",IFERROR(XLOOKUP($D653,Items!$A:$A,Items!$D:$D),0))</f>
        <v/>
      </c>
      <c r="H653" s="6">
        <f>IF($C653="Issue",IFERROR($F653*$G653,0),0)</f>
        <v/>
      </c>
      <c r="I653" s="6" t="n"/>
      <c r="J653" s="5" t="n"/>
      <c r="K653" s="4" t="n"/>
    </row>
    <row r="654" ht="20" customHeight="1">
      <c r="A654" s="3" t="n"/>
      <c r="B654" s="4" t="n"/>
      <c r="C654" s="5" t="n"/>
      <c r="D654" s="5" t="n"/>
      <c r="E654" s="4">
        <f>IF($D654="","",IFERROR(XLOOKUP($D654,Items!$A:$A,Items!$B:$B),"ERR"))</f>
        <v/>
      </c>
      <c r="F654" s="6" t="n"/>
      <c r="G654" s="6">
        <f>IF($D654="","",IFERROR(XLOOKUP($D654,Items!$A:$A,Items!$D:$D),0))</f>
        <v/>
      </c>
      <c r="H654" s="6">
        <f>IF($C654="Issue",IFERROR($F654*$G654,0),0)</f>
        <v/>
      </c>
      <c r="I654" s="6" t="n"/>
      <c r="J654" s="5" t="n"/>
      <c r="K654" s="4" t="n"/>
    </row>
    <row r="655" ht="20" customHeight="1">
      <c r="A655" s="3" t="n"/>
      <c r="B655" s="4" t="n"/>
      <c r="C655" s="5" t="n"/>
      <c r="D655" s="5" t="n"/>
      <c r="E655" s="4">
        <f>IF($D655="","",IFERROR(XLOOKUP($D655,Items!$A:$A,Items!$B:$B),"ERR"))</f>
        <v/>
      </c>
      <c r="F655" s="6" t="n"/>
      <c r="G655" s="6">
        <f>IF($D655="","",IFERROR(XLOOKUP($D655,Items!$A:$A,Items!$D:$D),0))</f>
        <v/>
      </c>
      <c r="H655" s="6">
        <f>IF($C655="Issue",IFERROR($F655*$G655,0),0)</f>
        <v/>
      </c>
      <c r="I655" s="6" t="n"/>
      <c r="J655" s="5" t="n"/>
      <c r="K655" s="4" t="n"/>
    </row>
    <row r="656" ht="20" customHeight="1">
      <c r="A656" s="3" t="n"/>
      <c r="B656" s="4" t="n"/>
      <c r="C656" s="5" t="n"/>
      <c r="D656" s="5" t="n"/>
      <c r="E656" s="4">
        <f>IF($D656="","",IFERROR(XLOOKUP($D656,Items!$A:$A,Items!$B:$B),"ERR"))</f>
        <v/>
      </c>
      <c r="F656" s="6" t="n"/>
      <c r="G656" s="6">
        <f>IF($D656="","",IFERROR(XLOOKUP($D656,Items!$A:$A,Items!$D:$D),0))</f>
        <v/>
      </c>
      <c r="H656" s="6">
        <f>IF($C656="Issue",IFERROR($F656*$G656,0),0)</f>
        <v/>
      </c>
      <c r="I656" s="6" t="n"/>
      <c r="J656" s="5" t="n"/>
      <c r="K656" s="4" t="n"/>
    </row>
    <row r="657" ht="20" customHeight="1">
      <c r="A657" s="3" t="n"/>
      <c r="B657" s="4" t="n"/>
      <c r="C657" s="5" t="n"/>
      <c r="D657" s="5" t="n"/>
      <c r="E657" s="4">
        <f>IF($D657="","",IFERROR(XLOOKUP($D657,Items!$A:$A,Items!$B:$B),"ERR"))</f>
        <v/>
      </c>
      <c r="F657" s="6" t="n"/>
      <c r="G657" s="6">
        <f>IF($D657="","",IFERROR(XLOOKUP($D657,Items!$A:$A,Items!$D:$D),0))</f>
        <v/>
      </c>
      <c r="H657" s="6">
        <f>IF($C657="Issue",IFERROR($F657*$G657,0),0)</f>
        <v/>
      </c>
      <c r="I657" s="6" t="n"/>
      <c r="J657" s="5" t="n"/>
      <c r="K657" s="4" t="n"/>
    </row>
    <row r="658" ht="20" customHeight="1">
      <c r="A658" s="3" t="n"/>
      <c r="B658" s="4" t="n"/>
      <c r="C658" s="5" t="n"/>
      <c r="D658" s="5" t="n"/>
      <c r="E658" s="4">
        <f>IF($D658="","",IFERROR(XLOOKUP($D658,Items!$A:$A,Items!$B:$B),"ERR"))</f>
        <v/>
      </c>
      <c r="F658" s="6" t="n"/>
      <c r="G658" s="6">
        <f>IF($D658="","",IFERROR(XLOOKUP($D658,Items!$A:$A,Items!$D:$D),0))</f>
        <v/>
      </c>
      <c r="H658" s="6">
        <f>IF($C658="Issue",IFERROR($F658*$G658,0),0)</f>
        <v/>
      </c>
      <c r="I658" s="6" t="n"/>
      <c r="J658" s="5" t="n"/>
      <c r="K658" s="4" t="n"/>
    </row>
    <row r="659" ht="20" customHeight="1">
      <c r="A659" s="3" t="n"/>
      <c r="B659" s="4" t="n"/>
      <c r="C659" s="5" t="n"/>
      <c r="D659" s="5" t="n"/>
      <c r="E659" s="4">
        <f>IF($D659="","",IFERROR(XLOOKUP($D659,Items!$A:$A,Items!$B:$B),"ERR"))</f>
        <v/>
      </c>
      <c r="F659" s="6" t="n"/>
      <c r="G659" s="6">
        <f>IF($D659="","",IFERROR(XLOOKUP($D659,Items!$A:$A,Items!$D:$D),0))</f>
        <v/>
      </c>
      <c r="H659" s="6">
        <f>IF($C659="Issue",IFERROR($F659*$G659,0),0)</f>
        <v/>
      </c>
      <c r="I659" s="6" t="n"/>
      <c r="J659" s="5" t="n"/>
      <c r="K659" s="4" t="n"/>
    </row>
    <row r="660" ht="20" customHeight="1">
      <c r="A660" s="3" t="n"/>
      <c r="B660" s="4" t="n"/>
      <c r="C660" s="5" t="n"/>
      <c r="D660" s="5" t="n"/>
      <c r="E660" s="4">
        <f>IF($D660="","",IFERROR(XLOOKUP($D660,Items!$A:$A,Items!$B:$B),"ERR"))</f>
        <v/>
      </c>
      <c r="F660" s="6" t="n"/>
      <c r="G660" s="6">
        <f>IF($D660="","",IFERROR(XLOOKUP($D660,Items!$A:$A,Items!$D:$D),0))</f>
        <v/>
      </c>
      <c r="H660" s="6">
        <f>IF($C660="Issue",IFERROR($F660*$G660,0),0)</f>
        <v/>
      </c>
      <c r="I660" s="6" t="n"/>
      <c r="J660" s="5" t="n"/>
      <c r="K660" s="4" t="n"/>
    </row>
    <row r="661" ht="20" customHeight="1">
      <c r="A661" s="3" t="n"/>
      <c r="B661" s="4" t="n"/>
      <c r="C661" s="5" t="n"/>
      <c r="D661" s="5" t="n"/>
      <c r="E661" s="4">
        <f>IF($D661="","",IFERROR(XLOOKUP($D661,Items!$A:$A,Items!$B:$B),"ERR"))</f>
        <v/>
      </c>
      <c r="F661" s="6" t="n"/>
      <c r="G661" s="6">
        <f>IF($D661="","",IFERROR(XLOOKUP($D661,Items!$A:$A,Items!$D:$D),0))</f>
        <v/>
      </c>
      <c r="H661" s="6">
        <f>IF($C661="Issue",IFERROR($F661*$G661,0),0)</f>
        <v/>
      </c>
      <c r="I661" s="6" t="n"/>
      <c r="J661" s="5" t="n"/>
      <c r="K661" s="4" t="n"/>
    </row>
    <row r="662" ht="20" customHeight="1">
      <c r="A662" s="3" t="n"/>
      <c r="B662" s="4" t="n"/>
      <c r="C662" s="5" t="n"/>
      <c r="D662" s="5" t="n"/>
      <c r="E662" s="4">
        <f>IF($D662="","",IFERROR(XLOOKUP($D662,Items!$A:$A,Items!$B:$B),"ERR"))</f>
        <v/>
      </c>
      <c r="F662" s="6" t="n"/>
      <c r="G662" s="6">
        <f>IF($D662="","",IFERROR(XLOOKUP($D662,Items!$A:$A,Items!$D:$D),0))</f>
        <v/>
      </c>
      <c r="H662" s="6">
        <f>IF($C662="Issue",IFERROR($F662*$G662,0),0)</f>
        <v/>
      </c>
      <c r="I662" s="6" t="n"/>
      <c r="J662" s="5" t="n"/>
      <c r="K662" s="4" t="n"/>
    </row>
    <row r="663" ht="20" customHeight="1">
      <c r="A663" s="3" t="n"/>
      <c r="B663" s="4" t="n"/>
      <c r="C663" s="5" t="n"/>
      <c r="D663" s="5" t="n"/>
      <c r="E663" s="4">
        <f>IF($D663="","",IFERROR(XLOOKUP($D663,Items!$A:$A,Items!$B:$B),"ERR"))</f>
        <v/>
      </c>
      <c r="F663" s="6" t="n"/>
      <c r="G663" s="6">
        <f>IF($D663="","",IFERROR(XLOOKUP($D663,Items!$A:$A,Items!$D:$D),0))</f>
        <v/>
      </c>
      <c r="H663" s="6">
        <f>IF($C663="Issue",IFERROR($F663*$G663,0),0)</f>
        <v/>
      </c>
      <c r="I663" s="6" t="n"/>
      <c r="J663" s="5" t="n"/>
      <c r="K663" s="4" t="n"/>
    </row>
    <row r="664" ht="20" customHeight="1">
      <c r="A664" s="3" t="n"/>
      <c r="B664" s="4" t="n"/>
      <c r="C664" s="5" t="n"/>
      <c r="D664" s="5" t="n"/>
      <c r="E664" s="4">
        <f>IF($D664="","",IFERROR(XLOOKUP($D664,Items!$A:$A,Items!$B:$B),"ERR"))</f>
        <v/>
      </c>
      <c r="F664" s="6" t="n"/>
      <c r="G664" s="6">
        <f>IF($D664="","",IFERROR(XLOOKUP($D664,Items!$A:$A,Items!$D:$D),0))</f>
        <v/>
      </c>
      <c r="H664" s="6">
        <f>IF($C664="Issue",IFERROR($F664*$G664,0),0)</f>
        <v/>
      </c>
      <c r="I664" s="6" t="n"/>
      <c r="J664" s="5" t="n"/>
      <c r="K664" s="4" t="n"/>
    </row>
    <row r="665" ht="20" customHeight="1">
      <c r="A665" s="3" t="n"/>
      <c r="B665" s="4" t="n"/>
      <c r="C665" s="5" t="n"/>
      <c r="D665" s="5" t="n"/>
      <c r="E665" s="4">
        <f>IF($D665="","",IFERROR(XLOOKUP($D665,Items!$A:$A,Items!$B:$B),"ERR"))</f>
        <v/>
      </c>
      <c r="F665" s="6" t="n"/>
      <c r="G665" s="6">
        <f>IF($D665="","",IFERROR(XLOOKUP($D665,Items!$A:$A,Items!$D:$D),0))</f>
        <v/>
      </c>
      <c r="H665" s="6">
        <f>IF($C665="Issue",IFERROR($F665*$G665,0),0)</f>
        <v/>
      </c>
      <c r="I665" s="6" t="n"/>
      <c r="J665" s="5" t="n"/>
      <c r="K665" s="4" t="n"/>
    </row>
    <row r="666" ht="20" customHeight="1">
      <c r="A666" s="3" t="n"/>
      <c r="B666" s="4" t="n"/>
      <c r="C666" s="5" t="n"/>
      <c r="D666" s="5" t="n"/>
      <c r="E666" s="4">
        <f>IF($D666="","",IFERROR(XLOOKUP($D666,Items!$A:$A,Items!$B:$B),"ERR"))</f>
        <v/>
      </c>
      <c r="F666" s="6" t="n"/>
      <c r="G666" s="6">
        <f>IF($D666="","",IFERROR(XLOOKUP($D666,Items!$A:$A,Items!$D:$D),0))</f>
        <v/>
      </c>
      <c r="H666" s="6">
        <f>IF($C666="Issue",IFERROR($F666*$G666,0),0)</f>
        <v/>
      </c>
      <c r="I666" s="6" t="n"/>
      <c r="J666" s="5" t="n"/>
      <c r="K666" s="4" t="n"/>
    </row>
    <row r="667" ht="20" customHeight="1">
      <c r="A667" s="3" t="n"/>
      <c r="B667" s="4" t="n"/>
      <c r="C667" s="5" t="n"/>
      <c r="D667" s="5" t="n"/>
      <c r="E667" s="4">
        <f>IF($D667="","",IFERROR(XLOOKUP($D667,Items!$A:$A,Items!$B:$B),"ERR"))</f>
        <v/>
      </c>
      <c r="F667" s="6" t="n"/>
      <c r="G667" s="6">
        <f>IF($D667="","",IFERROR(XLOOKUP($D667,Items!$A:$A,Items!$D:$D),0))</f>
        <v/>
      </c>
      <c r="H667" s="6">
        <f>IF($C667="Issue",IFERROR($F667*$G667,0),0)</f>
        <v/>
      </c>
      <c r="I667" s="6" t="n"/>
      <c r="J667" s="5" t="n"/>
      <c r="K667" s="4" t="n"/>
    </row>
    <row r="668" ht="20" customHeight="1">
      <c r="A668" s="3" t="n"/>
      <c r="B668" s="4" t="n"/>
      <c r="C668" s="5" t="n"/>
      <c r="D668" s="5" t="n"/>
      <c r="E668" s="4">
        <f>IF($D668="","",IFERROR(XLOOKUP($D668,Items!$A:$A,Items!$B:$B),"ERR"))</f>
        <v/>
      </c>
      <c r="F668" s="6" t="n"/>
      <c r="G668" s="6">
        <f>IF($D668="","",IFERROR(XLOOKUP($D668,Items!$A:$A,Items!$D:$D),0))</f>
        <v/>
      </c>
      <c r="H668" s="6">
        <f>IF($C668="Issue",IFERROR($F668*$G668,0),0)</f>
        <v/>
      </c>
      <c r="I668" s="6" t="n"/>
      <c r="J668" s="5" t="n"/>
      <c r="K668" s="4" t="n"/>
    </row>
    <row r="669" ht="20" customHeight="1">
      <c r="A669" s="3" t="n"/>
      <c r="B669" s="4" t="n"/>
      <c r="C669" s="5" t="n"/>
      <c r="D669" s="5" t="n"/>
      <c r="E669" s="4">
        <f>IF($D669="","",IFERROR(XLOOKUP($D669,Items!$A:$A,Items!$B:$B),"ERR"))</f>
        <v/>
      </c>
      <c r="F669" s="6" t="n"/>
      <c r="G669" s="6">
        <f>IF($D669="","",IFERROR(XLOOKUP($D669,Items!$A:$A,Items!$D:$D),0))</f>
        <v/>
      </c>
      <c r="H669" s="6">
        <f>IF($C669="Issue",IFERROR($F669*$G669,0),0)</f>
        <v/>
      </c>
      <c r="I669" s="6" t="n"/>
      <c r="J669" s="5" t="n"/>
      <c r="K669" s="4" t="n"/>
    </row>
    <row r="670" ht="20" customHeight="1">
      <c r="A670" s="3" t="n"/>
      <c r="B670" s="4" t="n"/>
      <c r="C670" s="5" t="n"/>
      <c r="D670" s="5" t="n"/>
      <c r="E670" s="4">
        <f>IF($D670="","",IFERROR(XLOOKUP($D670,Items!$A:$A,Items!$B:$B),"ERR"))</f>
        <v/>
      </c>
      <c r="F670" s="6" t="n"/>
      <c r="G670" s="6">
        <f>IF($D670="","",IFERROR(XLOOKUP($D670,Items!$A:$A,Items!$D:$D),0))</f>
        <v/>
      </c>
      <c r="H670" s="6">
        <f>IF($C670="Issue",IFERROR($F670*$G670,0),0)</f>
        <v/>
      </c>
      <c r="I670" s="6" t="n"/>
      <c r="J670" s="5" t="n"/>
      <c r="K670" s="4" t="n"/>
    </row>
    <row r="671" ht="20" customHeight="1">
      <c r="A671" s="3" t="n"/>
      <c r="B671" s="4" t="n"/>
      <c r="C671" s="5" t="n"/>
      <c r="D671" s="5" t="n"/>
      <c r="E671" s="4">
        <f>IF($D671="","",IFERROR(XLOOKUP($D671,Items!$A:$A,Items!$B:$B),"ERR"))</f>
        <v/>
      </c>
      <c r="F671" s="6" t="n"/>
      <c r="G671" s="6">
        <f>IF($D671="","",IFERROR(XLOOKUP($D671,Items!$A:$A,Items!$D:$D),0))</f>
        <v/>
      </c>
      <c r="H671" s="6">
        <f>IF($C671="Issue",IFERROR($F671*$G671,0),0)</f>
        <v/>
      </c>
      <c r="I671" s="6" t="n"/>
      <c r="J671" s="5" t="n"/>
      <c r="K671" s="4" t="n"/>
    </row>
    <row r="672" ht="20" customHeight="1">
      <c r="A672" s="3" t="n"/>
      <c r="B672" s="4" t="n"/>
      <c r="C672" s="5" t="n"/>
      <c r="D672" s="5" t="n"/>
      <c r="E672" s="4">
        <f>IF($D672="","",IFERROR(XLOOKUP($D672,Items!$A:$A,Items!$B:$B),"ERR"))</f>
        <v/>
      </c>
      <c r="F672" s="6" t="n"/>
      <c r="G672" s="6">
        <f>IF($D672="","",IFERROR(XLOOKUP($D672,Items!$A:$A,Items!$D:$D),0))</f>
        <v/>
      </c>
      <c r="H672" s="6">
        <f>IF($C672="Issue",IFERROR($F672*$G672,0),0)</f>
        <v/>
      </c>
      <c r="I672" s="6" t="n"/>
      <c r="J672" s="5" t="n"/>
      <c r="K672" s="4" t="n"/>
    </row>
    <row r="673" ht="20" customHeight="1">
      <c r="A673" s="3" t="n"/>
      <c r="B673" s="4" t="n"/>
      <c r="C673" s="5" t="n"/>
      <c r="D673" s="5" t="n"/>
      <c r="E673" s="4">
        <f>IF($D673="","",IFERROR(XLOOKUP($D673,Items!$A:$A,Items!$B:$B),"ERR"))</f>
        <v/>
      </c>
      <c r="F673" s="6" t="n"/>
      <c r="G673" s="6">
        <f>IF($D673="","",IFERROR(XLOOKUP($D673,Items!$A:$A,Items!$D:$D),0))</f>
        <v/>
      </c>
      <c r="H673" s="6">
        <f>IF($C673="Issue",IFERROR($F673*$G673,0),0)</f>
        <v/>
      </c>
      <c r="I673" s="6" t="n"/>
      <c r="J673" s="5" t="n"/>
      <c r="K673" s="4" t="n"/>
    </row>
    <row r="674" ht="20" customHeight="1">
      <c r="A674" s="3" t="n"/>
      <c r="B674" s="4" t="n"/>
      <c r="C674" s="5" t="n"/>
      <c r="D674" s="5" t="n"/>
      <c r="E674" s="4">
        <f>IF($D674="","",IFERROR(XLOOKUP($D674,Items!$A:$A,Items!$B:$B),"ERR"))</f>
        <v/>
      </c>
      <c r="F674" s="6" t="n"/>
      <c r="G674" s="6">
        <f>IF($D674="","",IFERROR(XLOOKUP($D674,Items!$A:$A,Items!$D:$D),0))</f>
        <v/>
      </c>
      <c r="H674" s="6">
        <f>IF($C674="Issue",IFERROR($F674*$G674,0),0)</f>
        <v/>
      </c>
      <c r="I674" s="6" t="n"/>
      <c r="J674" s="5" t="n"/>
      <c r="K674" s="4" t="n"/>
    </row>
    <row r="675" ht="20" customHeight="1">
      <c r="A675" s="3" t="n"/>
      <c r="B675" s="4" t="n"/>
      <c r="C675" s="5" t="n"/>
      <c r="D675" s="5" t="n"/>
      <c r="E675" s="4">
        <f>IF($D675="","",IFERROR(XLOOKUP($D675,Items!$A:$A,Items!$B:$B),"ERR"))</f>
        <v/>
      </c>
      <c r="F675" s="6" t="n"/>
      <c r="G675" s="6">
        <f>IF($D675="","",IFERROR(XLOOKUP($D675,Items!$A:$A,Items!$D:$D),0))</f>
        <v/>
      </c>
      <c r="H675" s="6">
        <f>IF($C675="Issue",IFERROR($F675*$G675,0),0)</f>
        <v/>
      </c>
      <c r="I675" s="6" t="n"/>
      <c r="J675" s="5" t="n"/>
      <c r="K675" s="4" t="n"/>
    </row>
    <row r="676" ht="20" customHeight="1">
      <c r="A676" s="3" t="n"/>
      <c r="B676" s="4" t="n"/>
      <c r="C676" s="5" t="n"/>
      <c r="D676" s="5" t="n"/>
      <c r="E676" s="4">
        <f>IF($D676="","",IFERROR(XLOOKUP($D676,Items!$A:$A,Items!$B:$B),"ERR"))</f>
        <v/>
      </c>
      <c r="F676" s="6" t="n"/>
      <c r="G676" s="6">
        <f>IF($D676="","",IFERROR(XLOOKUP($D676,Items!$A:$A,Items!$D:$D),0))</f>
        <v/>
      </c>
      <c r="H676" s="6">
        <f>IF($C676="Issue",IFERROR($F676*$G676,0),0)</f>
        <v/>
      </c>
      <c r="I676" s="6" t="n"/>
      <c r="J676" s="5" t="n"/>
      <c r="K676" s="4" t="n"/>
    </row>
    <row r="677" ht="20" customHeight="1">
      <c r="A677" s="3" t="n"/>
      <c r="B677" s="4" t="n"/>
      <c r="C677" s="5" t="n"/>
      <c r="D677" s="5" t="n"/>
      <c r="E677" s="4">
        <f>IF($D677="","",IFERROR(XLOOKUP($D677,Items!$A:$A,Items!$B:$B),"ERR"))</f>
        <v/>
      </c>
      <c r="F677" s="6" t="n"/>
      <c r="G677" s="6">
        <f>IF($D677="","",IFERROR(XLOOKUP($D677,Items!$A:$A,Items!$D:$D),0))</f>
        <v/>
      </c>
      <c r="H677" s="6">
        <f>IF($C677="Issue",IFERROR($F677*$G677,0),0)</f>
        <v/>
      </c>
      <c r="I677" s="6" t="n"/>
      <c r="J677" s="5" t="n"/>
      <c r="K677" s="4" t="n"/>
    </row>
    <row r="678" ht="20" customHeight="1">
      <c r="A678" s="3" t="n"/>
      <c r="B678" s="4" t="n"/>
      <c r="C678" s="5" t="n"/>
      <c r="D678" s="5" t="n"/>
      <c r="E678" s="4">
        <f>IF($D678="","",IFERROR(XLOOKUP($D678,Items!$A:$A,Items!$B:$B),"ERR"))</f>
        <v/>
      </c>
      <c r="F678" s="6" t="n"/>
      <c r="G678" s="6">
        <f>IF($D678="","",IFERROR(XLOOKUP($D678,Items!$A:$A,Items!$D:$D),0))</f>
        <v/>
      </c>
      <c r="H678" s="6">
        <f>IF($C678="Issue",IFERROR($F678*$G678,0),0)</f>
        <v/>
      </c>
      <c r="I678" s="6" t="n"/>
      <c r="J678" s="5" t="n"/>
      <c r="K678" s="4" t="n"/>
    </row>
    <row r="679" ht="20" customHeight="1">
      <c r="A679" s="3" t="n"/>
      <c r="B679" s="4" t="n"/>
      <c r="C679" s="5" t="n"/>
      <c r="D679" s="5" t="n"/>
      <c r="E679" s="4">
        <f>IF($D679="","",IFERROR(XLOOKUP($D679,Items!$A:$A,Items!$B:$B),"ERR"))</f>
        <v/>
      </c>
      <c r="F679" s="6" t="n"/>
      <c r="G679" s="6">
        <f>IF($D679="","",IFERROR(XLOOKUP($D679,Items!$A:$A,Items!$D:$D),0))</f>
        <v/>
      </c>
      <c r="H679" s="6">
        <f>IF($C679="Issue",IFERROR($F679*$G679,0),0)</f>
        <v/>
      </c>
      <c r="I679" s="6" t="n"/>
      <c r="J679" s="5" t="n"/>
      <c r="K679" s="4" t="n"/>
    </row>
    <row r="680" ht="20" customHeight="1">
      <c r="A680" s="3" t="n"/>
      <c r="B680" s="4" t="n"/>
      <c r="C680" s="5" t="n"/>
      <c r="D680" s="5" t="n"/>
      <c r="E680" s="4">
        <f>IF($D680="","",IFERROR(XLOOKUP($D680,Items!$A:$A,Items!$B:$B),"ERR"))</f>
        <v/>
      </c>
      <c r="F680" s="6" t="n"/>
      <c r="G680" s="6">
        <f>IF($D680="","",IFERROR(XLOOKUP($D680,Items!$A:$A,Items!$D:$D),0))</f>
        <v/>
      </c>
      <c r="H680" s="6">
        <f>IF($C680="Issue",IFERROR($F680*$G680,0),0)</f>
        <v/>
      </c>
      <c r="I680" s="6" t="n"/>
      <c r="J680" s="5" t="n"/>
      <c r="K680" s="4" t="n"/>
    </row>
    <row r="681" ht="20" customHeight="1">
      <c r="A681" s="3" t="n"/>
      <c r="B681" s="4" t="n"/>
      <c r="C681" s="5" t="n"/>
      <c r="D681" s="5" t="n"/>
      <c r="E681" s="4">
        <f>IF($D681="","",IFERROR(XLOOKUP($D681,Items!$A:$A,Items!$B:$B),"ERR"))</f>
        <v/>
      </c>
      <c r="F681" s="6" t="n"/>
      <c r="G681" s="6">
        <f>IF($D681="","",IFERROR(XLOOKUP($D681,Items!$A:$A,Items!$D:$D),0))</f>
        <v/>
      </c>
      <c r="H681" s="6">
        <f>IF($C681="Issue",IFERROR($F681*$G681,0),0)</f>
        <v/>
      </c>
      <c r="I681" s="6" t="n"/>
      <c r="J681" s="5" t="n"/>
      <c r="K681" s="4" t="n"/>
    </row>
    <row r="682" ht="20" customHeight="1">
      <c r="A682" s="3" t="n"/>
      <c r="B682" s="4" t="n"/>
      <c r="C682" s="5" t="n"/>
      <c r="D682" s="5" t="n"/>
      <c r="E682" s="4">
        <f>IF($D682="","",IFERROR(XLOOKUP($D682,Items!$A:$A,Items!$B:$B),"ERR"))</f>
        <v/>
      </c>
      <c r="F682" s="6" t="n"/>
      <c r="G682" s="6">
        <f>IF($D682="","",IFERROR(XLOOKUP($D682,Items!$A:$A,Items!$D:$D),0))</f>
        <v/>
      </c>
      <c r="H682" s="6">
        <f>IF($C682="Issue",IFERROR($F682*$G682,0),0)</f>
        <v/>
      </c>
      <c r="I682" s="6" t="n"/>
      <c r="J682" s="5" t="n"/>
      <c r="K682" s="4" t="n"/>
    </row>
    <row r="683" ht="20" customHeight="1">
      <c r="A683" s="3" t="n"/>
      <c r="B683" s="4" t="n"/>
      <c r="C683" s="5" t="n"/>
      <c r="D683" s="5" t="n"/>
      <c r="E683" s="4">
        <f>IF($D683="","",IFERROR(XLOOKUP($D683,Items!$A:$A,Items!$B:$B),"ERR"))</f>
        <v/>
      </c>
      <c r="F683" s="6" t="n"/>
      <c r="G683" s="6">
        <f>IF($D683="","",IFERROR(XLOOKUP($D683,Items!$A:$A,Items!$D:$D),0))</f>
        <v/>
      </c>
      <c r="H683" s="6">
        <f>IF($C683="Issue",IFERROR($F683*$G683,0),0)</f>
        <v/>
      </c>
      <c r="I683" s="6" t="n"/>
      <c r="J683" s="5" t="n"/>
      <c r="K683" s="4" t="n"/>
    </row>
    <row r="684" ht="20" customHeight="1">
      <c r="A684" s="3" t="n"/>
      <c r="B684" s="4" t="n"/>
      <c r="C684" s="5" t="n"/>
      <c r="D684" s="5" t="n"/>
      <c r="E684" s="4">
        <f>IF($D684="","",IFERROR(XLOOKUP($D684,Items!$A:$A,Items!$B:$B),"ERR"))</f>
        <v/>
      </c>
      <c r="F684" s="6" t="n"/>
      <c r="G684" s="6">
        <f>IF($D684="","",IFERROR(XLOOKUP($D684,Items!$A:$A,Items!$D:$D),0))</f>
        <v/>
      </c>
      <c r="H684" s="6">
        <f>IF($C684="Issue",IFERROR($F684*$G684,0),0)</f>
        <v/>
      </c>
      <c r="I684" s="6" t="n"/>
      <c r="J684" s="5" t="n"/>
      <c r="K684" s="4" t="n"/>
    </row>
    <row r="685" ht="20" customHeight="1">
      <c r="A685" s="3" t="n"/>
      <c r="B685" s="4" t="n"/>
      <c r="C685" s="5" t="n"/>
      <c r="D685" s="5" t="n"/>
      <c r="E685" s="4">
        <f>IF($D685="","",IFERROR(XLOOKUP($D685,Items!$A:$A,Items!$B:$B),"ERR"))</f>
        <v/>
      </c>
      <c r="F685" s="6" t="n"/>
      <c r="G685" s="6">
        <f>IF($D685="","",IFERROR(XLOOKUP($D685,Items!$A:$A,Items!$D:$D),0))</f>
        <v/>
      </c>
      <c r="H685" s="6">
        <f>IF($C685="Issue",IFERROR($F685*$G685,0),0)</f>
        <v/>
      </c>
      <c r="I685" s="6" t="n"/>
      <c r="J685" s="5" t="n"/>
      <c r="K685" s="4" t="n"/>
    </row>
    <row r="686" ht="20" customHeight="1">
      <c r="A686" s="3" t="n"/>
      <c r="B686" s="4" t="n"/>
      <c r="C686" s="5" t="n"/>
      <c r="D686" s="5" t="n"/>
      <c r="E686" s="4">
        <f>IF($D686="","",IFERROR(XLOOKUP($D686,Items!$A:$A,Items!$B:$B),"ERR"))</f>
        <v/>
      </c>
      <c r="F686" s="6" t="n"/>
      <c r="G686" s="6">
        <f>IF($D686="","",IFERROR(XLOOKUP($D686,Items!$A:$A,Items!$D:$D),0))</f>
        <v/>
      </c>
      <c r="H686" s="6">
        <f>IF($C686="Issue",IFERROR($F686*$G686,0),0)</f>
        <v/>
      </c>
      <c r="I686" s="6" t="n"/>
      <c r="J686" s="5" t="n"/>
      <c r="K686" s="4" t="n"/>
    </row>
    <row r="687" ht="20" customHeight="1">
      <c r="A687" s="3" t="n"/>
      <c r="B687" s="4" t="n"/>
      <c r="C687" s="5" t="n"/>
      <c r="D687" s="5" t="n"/>
      <c r="E687" s="4">
        <f>IF($D687="","",IFERROR(XLOOKUP($D687,Items!$A:$A,Items!$B:$B),"ERR"))</f>
        <v/>
      </c>
      <c r="F687" s="6" t="n"/>
      <c r="G687" s="6">
        <f>IF($D687="","",IFERROR(XLOOKUP($D687,Items!$A:$A,Items!$D:$D),0))</f>
        <v/>
      </c>
      <c r="H687" s="6">
        <f>IF($C687="Issue",IFERROR($F687*$G687,0),0)</f>
        <v/>
      </c>
      <c r="I687" s="6" t="n"/>
      <c r="J687" s="5" t="n"/>
      <c r="K687" s="4" t="n"/>
    </row>
    <row r="688" ht="20" customHeight="1">
      <c r="A688" s="3" t="n"/>
      <c r="B688" s="4" t="n"/>
      <c r="C688" s="5" t="n"/>
      <c r="D688" s="5" t="n"/>
      <c r="E688" s="4">
        <f>IF($D688="","",IFERROR(XLOOKUP($D688,Items!$A:$A,Items!$B:$B),"ERR"))</f>
        <v/>
      </c>
      <c r="F688" s="6" t="n"/>
      <c r="G688" s="6">
        <f>IF($D688="","",IFERROR(XLOOKUP($D688,Items!$A:$A,Items!$D:$D),0))</f>
        <v/>
      </c>
      <c r="H688" s="6">
        <f>IF($C688="Issue",IFERROR($F688*$G688,0),0)</f>
        <v/>
      </c>
      <c r="I688" s="6" t="n"/>
      <c r="J688" s="5" t="n"/>
      <c r="K688" s="4" t="n"/>
    </row>
    <row r="689" ht="20" customHeight="1">
      <c r="A689" s="3" t="n"/>
      <c r="B689" s="4" t="n"/>
      <c r="C689" s="5" t="n"/>
      <c r="D689" s="5" t="n"/>
      <c r="E689" s="4">
        <f>IF($D689="","",IFERROR(XLOOKUP($D689,Items!$A:$A,Items!$B:$B),"ERR"))</f>
        <v/>
      </c>
      <c r="F689" s="6" t="n"/>
      <c r="G689" s="6">
        <f>IF($D689="","",IFERROR(XLOOKUP($D689,Items!$A:$A,Items!$D:$D),0))</f>
        <v/>
      </c>
      <c r="H689" s="6">
        <f>IF($C689="Issue",IFERROR($F689*$G689,0),0)</f>
        <v/>
      </c>
      <c r="I689" s="6" t="n"/>
      <c r="J689" s="5" t="n"/>
      <c r="K689" s="4" t="n"/>
    </row>
    <row r="690" ht="20" customHeight="1">
      <c r="A690" s="3" t="n"/>
      <c r="B690" s="4" t="n"/>
      <c r="C690" s="5" t="n"/>
      <c r="D690" s="5" t="n"/>
      <c r="E690" s="4">
        <f>IF($D690="","",IFERROR(XLOOKUP($D690,Items!$A:$A,Items!$B:$B),"ERR"))</f>
        <v/>
      </c>
      <c r="F690" s="6" t="n"/>
      <c r="G690" s="6">
        <f>IF($D690="","",IFERROR(XLOOKUP($D690,Items!$A:$A,Items!$D:$D),0))</f>
        <v/>
      </c>
      <c r="H690" s="6">
        <f>IF($C690="Issue",IFERROR($F690*$G690,0),0)</f>
        <v/>
      </c>
      <c r="I690" s="6" t="n"/>
      <c r="J690" s="5" t="n"/>
      <c r="K690" s="4" t="n"/>
    </row>
    <row r="691" ht="20" customHeight="1">
      <c r="A691" s="3" t="n"/>
      <c r="B691" s="4" t="n"/>
      <c r="C691" s="5" t="n"/>
      <c r="D691" s="5" t="n"/>
      <c r="E691" s="4">
        <f>IF($D691="","",IFERROR(XLOOKUP($D691,Items!$A:$A,Items!$B:$B),"ERR"))</f>
        <v/>
      </c>
      <c r="F691" s="6" t="n"/>
      <c r="G691" s="6">
        <f>IF($D691="","",IFERROR(XLOOKUP($D691,Items!$A:$A,Items!$D:$D),0))</f>
        <v/>
      </c>
      <c r="H691" s="6">
        <f>IF($C691="Issue",IFERROR($F691*$G691,0),0)</f>
        <v/>
      </c>
      <c r="I691" s="6" t="n"/>
      <c r="J691" s="5" t="n"/>
      <c r="K691" s="4" t="n"/>
    </row>
    <row r="692" ht="20" customHeight="1">
      <c r="A692" s="3" t="n"/>
      <c r="B692" s="4" t="n"/>
      <c r="C692" s="5" t="n"/>
      <c r="D692" s="5" t="n"/>
      <c r="E692" s="4">
        <f>IF($D692="","",IFERROR(XLOOKUP($D692,Items!$A:$A,Items!$B:$B),"ERR"))</f>
        <v/>
      </c>
      <c r="F692" s="6" t="n"/>
      <c r="G692" s="6">
        <f>IF($D692="","",IFERROR(XLOOKUP($D692,Items!$A:$A,Items!$D:$D),0))</f>
        <v/>
      </c>
      <c r="H692" s="6">
        <f>IF($C692="Issue",IFERROR($F692*$G692,0),0)</f>
        <v/>
      </c>
      <c r="I692" s="6" t="n"/>
      <c r="J692" s="5" t="n"/>
      <c r="K692" s="4" t="n"/>
    </row>
    <row r="693" ht="20" customHeight="1">
      <c r="A693" s="3" t="n"/>
      <c r="B693" s="4" t="n"/>
      <c r="C693" s="5" t="n"/>
      <c r="D693" s="5" t="n"/>
      <c r="E693" s="4">
        <f>IF($D693="","",IFERROR(XLOOKUP($D693,Items!$A:$A,Items!$B:$B),"ERR"))</f>
        <v/>
      </c>
      <c r="F693" s="6" t="n"/>
      <c r="G693" s="6">
        <f>IF($D693="","",IFERROR(XLOOKUP($D693,Items!$A:$A,Items!$D:$D),0))</f>
        <v/>
      </c>
      <c r="H693" s="6">
        <f>IF($C693="Issue",IFERROR($F693*$G693,0),0)</f>
        <v/>
      </c>
      <c r="I693" s="6" t="n"/>
      <c r="J693" s="5" t="n"/>
      <c r="K693" s="4" t="n"/>
    </row>
    <row r="694" ht="20" customHeight="1">
      <c r="A694" s="3" t="n"/>
      <c r="B694" s="4" t="n"/>
      <c r="C694" s="5" t="n"/>
      <c r="D694" s="5" t="n"/>
      <c r="E694" s="4">
        <f>IF($D694="","",IFERROR(XLOOKUP($D694,Items!$A:$A,Items!$B:$B),"ERR"))</f>
        <v/>
      </c>
      <c r="F694" s="6" t="n"/>
      <c r="G694" s="6">
        <f>IF($D694="","",IFERROR(XLOOKUP($D694,Items!$A:$A,Items!$D:$D),0))</f>
        <v/>
      </c>
      <c r="H694" s="6">
        <f>IF($C694="Issue",IFERROR($F694*$G694,0),0)</f>
        <v/>
      </c>
      <c r="I694" s="6" t="n"/>
      <c r="J694" s="5" t="n"/>
      <c r="K694" s="4" t="n"/>
    </row>
    <row r="695" ht="20" customHeight="1">
      <c r="A695" s="3" t="n"/>
      <c r="B695" s="4" t="n"/>
      <c r="C695" s="5" t="n"/>
      <c r="D695" s="5" t="n"/>
      <c r="E695" s="4">
        <f>IF($D695="","",IFERROR(XLOOKUP($D695,Items!$A:$A,Items!$B:$B),"ERR"))</f>
        <v/>
      </c>
      <c r="F695" s="6" t="n"/>
      <c r="G695" s="6">
        <f>IF($D695="","",IFERROR(XLOOKUP($D695,Items!$A:$A,Items!$D:$D),0))</f>
        <v/>
      </c>
      <c r="H695" s="6">
        <f>IF($C695="Issue",IFERROR($F695*$G695,0),0)</f>
        <v/>
      </c>
      <c r="I695" s="6" t="n"/>
      <c r="J695" s="5" t="n"/>
      <c r="K695" s="4" t="n"/>
    </row>
    <row r="696" ht="20" customHeight="1">
      <c r="A696" s="3" t="n"/>
      <c r="B696" s="4" t="n"/>
      <c r="C696" s="5" t="n"/>
      <c r="D696" s="5" t="n"/>
      <c r="E696" s="4">
        <f>IF($D696="","",IFERROR(XLOOKUP($D696,Items!$A:$A,Items!$B:$B),"ERR"))</f>
        <v/>
      </c>
      <c r="F696" s="6" t="n"/>
      <c r="G696" s="6">
        <f>IF($D696="","",IFERROR(XLOOKUP($D696,Items!$A:$A,Items!$D:$D),0))</f>
        <v/>
      </c>
      <c r="H696" s="6">
        <f>IF($C696="Issue",IFERROR($F696*$G696,0),0)</f>
        <v/>
      </c>
      <c r="I696" s="6" t="n"/>
      <c r="J696" s="5" t="n"/>
      <c r="K696" s="4" t="n"/>
    </row>
    <row r="697" ht="20" customHeight="1">
      <c r="A697" s="3" t="n"/>
      <c r="B697" s="4" t="n"/>
      <c r="C697" s="5" t="n"/>
      <c r="D697" s="5" t="n"/>
      <c r="E697" s="4">
        <f>IF($D697="","",IFERROR(XLOOKUP($D697,Items!$A:$A,Items!$B:$B),"ERR"))</f>
        <v/>
      </c>
      <c r="F697" s="6" t="n"/>
      <c r="G697" s="6">
        <f>IF($D697="","",IFERROR(XLOOKUP($D697,Items!$A:$A,Items!$D:$D),0))</f>
        <v/>
      </c>
      <c r="H697" s="6">
        <f>IF($C697="Issue",IFERROR($F697*$G697,0),0)</f>
        <v/>
      </c>
      <c r="I697" s="6" t="n"/>
      <c r="J697" s="5" t="n"/>
      <c r="K697" s="4" t="n"/>
    </row>
    <row r="698" ht="20" customHeight="1">
      <c r="A698" s="3" t="n"/>
      <c r="B698" s="4" t="n"/>
      <c r="C698" s="5" t="n"/>
      <c r="D698" s="5" t="n"/>
      <c r="E698" s="4">
        <f>IF($D698="","",IFERROR(XLOOKUP($D698,Items!$A:$A,Items!$B:$B),"ERR"))</f>
        <v/>
      </c>
      <c r="F698" s="6" t="n"/>
      <c r="G698" s="6">
        <f>IF($D698="","",IFERROR(XLOOKUP($D698,Items!$A:$A,Items!$D:$D),0))</f>
        <v/>
      </c>
      <c r="H698" s="6">
        <f>IF($C698="Issue",IFERROR($F698*$G698,0),0)</f>
        <v/>
      </c>
      <c r="I698" s="6" t="n"/>
      <c r="J698" s="5" t="n"/>
      <c r="K698" s="4" t="n"/>
    </row>
    <row r="699" ht="20" customHeight="1">
      <c r="A699" s="3" t="n"/>
      <c r="B699" s="4" t="n"/>
      <c r="C699" s="5" t="n"/>
      <c r="D699" s="5" t="n"/>
      <c r="E699" s="4">
        <f>IF($D699="","",IFERROR(XLOOKUP($D699,Items!$A:$A,Items!$B:$B),"ERR"))</f>
        <v/>
      </c>
      <c r="F699" s="6" t="n"/>
      <c r="G699" s="6">
        <f>IF($D699="","",IFERROR(XLOOKUP($D699,Items!$A:$A,Items!$D:$D),0))</f>
        <v/>
      </c>
      <c r="H699" s="6">
        <f>IF($C699="Issue",IFERROR($F699*$G699,0),0)</f>
        <v/>
      </c>
      <c r="I699" s="6" t="n"/>
      <c r="J699" s="5" t="n"/>
      <c r="K699" s="4" t="n"/>
    </row>
    <row r="700" ht="20" customHeight="1">
      <c r="A700" s="3" t="n"/>
      <c r="B700" s="4" t="n"/>
      <c r="C700" s="5" t="n"/>
      <c r="D700" s="5" t="n"/>
      <c r="E700" s="4">
        <f>IF($D700="","",IFERROR(XLOOKUP($D700,Items!$A:$A,Items!$B:$B),"ERR"))</f>
        <v/>
      </c>
      <c r="F700" s="6" t="n"/>
      <c r="G700" s="6">
        <f>IF($D700="","",IFERROR(XLOOKUP($D700,Items!$A:$A,Items!$D:$D),0))</f>
        <v/>
      </c>
      <c r="H700" s="6">
        <f>IF($C700="Issue",IFERROR($F700*$G700,0),0)</f>
        <v/>
      </c>
      <c r="I700" s="6" t="n"/>
      <c r="J700" s="5" t="n"/>
      <c r="K700" s="4" t="n"/>
    </row>
    <row r="701" ht="20" customHeight="1">
      <c r="A701" s="3" t="n"/>
      <c r="B701" s="4" t="n"/>
      <c r="C701" s="5" t="n"/>
      <c r="D701" s="5" t="n"/>
      <c r="E701" s="4">
        <f>IF($D701="","",IFERROR(XLOOKUP($D701,Items!$A:$A,Items!$B:$B),"ERR"))</f>
        <v/>
      </c>
      <c r="F701" s="6" t="n"/>
      <c r="G701" s="6">
        <f>IF($D701="","",IFERROR(XLOOKUP($D701,Items!$A:$A,Items!$D:$D),0))</f>
        <v/>
      </c>
      <c r="H701" s="6">
        <f>IF($C701="Issue",IFERROR($F701*$G701,0),0)</f>
        <v/>
      </c>
      <c r="I701" s="6" t="n"/>
      <c r="J701" s="5" t="n"/>
      <c r="K701" s="4" t="n"/>
    </row>
    <row r="702" ht="20" customHeight="1">
      <c r="A702" s="3" t="n"/>
      <c r="B702" s="4" t="n"/>
      <c r="C702" s="5" t="n"/>
      <c r="D702" s="5" t="n"/>
      <c r="E702" s="4">
        <f>IF($D702="","",IFERROR(XLOOKUP($D702,Items!$A:$A,Items!$B:$B),"ERR"))</f>
        <v/>
      </c>
      <c r="F702" s="6" t="n"/>
      <c r="G702" s="6">
        <f>IF($D702="","",IFERROR(XLOOKUP($D702,Items!$A:$A,Items!$D:$D),0))</f>
        <v/>
      </c>
      <c r="H702" s="6">
        <f>IF($C702="Issue",IFERROR($F702*$G702,0),0)</f>
        <v/>
      </c>
      <c r="I702" s="6" t="n"/>
      <c r="J702" s="5" t="n"/>
      <c r="K702" s="4" t="n"/>
    </row>
    <row r="703" ht="20" customHeight="1">
      <c r="A703" s="3" t="n"/>
      <c r="B703" s="4" t="n"/>
      <c r="C703" s="5" t="n"/>
      <c r="D703" s="5" t="n"/>
      <c r="E703" s="4">
        <f>IF($D703="","",IFERROR(XLOOKUP($D703,Items!$A:$A,Items!$B:$B),"ERR"))</f>
        <v/>
      </c>
      <c r="F703" s="6" t="n"/>
      <c r="G703" s="6">
        <f>IF($D703="","",IFERROR(XLOOKUP($D703,Items!$A:$A,Items!$D:$D),0))</f>
        <v/>
      </c>
      <c r="H703" s="6">
        <f>IF($C703="Issue",IFERROR($F703*$G703,0),0)</f>
        <v/>
      </c>
      <c r="I703" s="6" t="n"/>
      <c r="J703" s="5" t="n"/>
      <c r="K703" s="4" t="n"/>
    </row>
    <row r="704" ht="20" customHeight="1">
      <c r="A704" s="3" t="n"/>
      <c r="B704" s="4" t="n"/>
      <c r="C704" s="5" t="n"/>
      <c r="D704" s="5" t="n"/>
      <c r="E704" s="4">
        <f>IF($D704="","",IFERROR(XLOOKUP($D704,Items!$A:$A,Items!$B:$B),"ERR"))</f>
        <v/>
      </c>
      <c r="F704" s="6" t="n"/>
      <c r="G704" s="6">
        <f>IF($D704="","",IFERROR(XLOOKUP($D704,Items!$A:$A,Items!$D:$D),0))</f>
        <v/>
      </c>
      <c r="H704" s="6">
        <f>IF($C704="Issue",IFERROR($F704*$G704,0),0)</f>
        <v/>
      </c>
      <c r="I704" s="6" t="n"/>
      <c r="J704" s="5" t="n"/>
      <c r="K704" s="4" t="n"/>
    </row>
    <row r="705" ht="20" customHeight="1">
      <c r="A705" s="3" t="n"/>
      <c r="B705" s="4" t="n"/>
      <c r="C705" s="5" t="n"/>
      <c r="D705" s="5" t="n"/>
      <c r="E705" s="4">
        <f>IF($D705="","",IFERROR(XLOOKUP($D705,Items!$A:$A,Items!$B:$B),"ERR"))</f>
        <v/>
      </c>
      <c r="F705" s="6" t="n"/>
      <c r="G705" s="6">
        <f>IF($D705="","",IFERROR(XLOOKUP($D705,Items!$A:$A,Items!$D:$D),0))</f>
        <v/>
      </c>
      <c r="H705" s="6">
        <f>IF($C705="Issue",IFERROR($F705*$G705,0),0)</f>
        <v/>
      </c>
      <c r="I705" s="6" t="n"/>
      <c r="J705" s="5" t="n"/>
      <c r="K705" s="4" t="n"/>
    </row>
    <row r="706" ht="20" customHeight="1">
      <c r="A706" s="3" t="n"/>
      <c r="B706" s="4" t="n"/>
      <c r="C706" s="5" t="n"/>
      <c r="D706" s="5" t="n"/>
      <c r="E706" s="4">
        <f>IF($D706="","",IFERROR(XLOOKUP($D706,Items!$A:$A,Items!$B:$B),"ERR"))</f>
        <v/>
      </c>
      <c r="F706" s="6" t="n"/>
      <c r="G706" s="6">
        <f>IF($D706="","",IFERROR(XLOOKUP($D706,Items!$A:$A,Items!$D:$D),0))</f>
        <v/>
      </c>
      <c r="H706" s="6">
        <f>IF($C706="Issue",IFERROR($F706*$G706,0),0)</f>
        <v/>
      </c>
      <c r="I706" s="6" t="n"/>
      <c r="J706" s="5" t="n"/>
      <c r="K706" s="4" t="n"/>
    </row>
    <row r="707" ht="20" customHeight="1">
      <c r="A707" s="3" t="n"/>
      <c r="B707" s="4" t="n"/>
      <c r="C707" s="5" t="n"/>
      <c r="D707" s="5" t="n"/>
      <c r="E707" s="4">
        <f>IF($D707="","",IFERROR(XLOOKUP($D707,Items!$A:$A,Items!$B:$B),"ERR"))</f>
        <v/>
      </c>
      <c r="F707" s="6" t="n"/>
      <c r="G707" s="6">
        <f>IF($D707="","",IFERROR(XLOOKUP($D707,Items!$A:$A,Items!$D:$D),0))</f>
        <v/>
      </c>
      <c r="H707" s="6">
        <f>IF($C707="Issue",IFERROR($F707*$G707,0),0)</f>
        <v/>
      </c>
      <c r="I707" s="6" t="n"/>
      <c r="J707" s="5" t="n"/>
      <c r="K707" s="4" t="n"/>
    </row>
    <row r="708" ht="20" customHeight="1">
      <c r="A708" s="3" t="n"/>
      <c r="B708" s="4" t="n"/>
      <c r="C708" s="5" t="n"/>
      <c r="D708" s="5" t="n"/>
      <c r="E708" s="4">
        <f>IF($D708="","",IFERROR(XLOOKUP($D708,Items!$A:$A,Items!$B:$B),"ERR"))</f>
        <v/>
      </c>
      <c r="F708" s="6" t="n"/>
      <c r="G708" s="6">
        <f>IF($D708="","",IFERROR(XLOOKUP($D708,Items!$A:$A,Items!$D:$D),0))</f>
        <v/>
      </c>
      <c r="H708" s="6">
        <f>IF($C708="Issue",IFERROR($F708*$G708,0),0)</f>
        <v/>
      </c>
      <c r="I708" s="6" t="n"/>
      <c r="J708" s="5" t="n"/>
      <c r="K708" s="4" t="n"/>
    </row>
    <row r="709" ht="20" customHeight="1">
      <c r="A709" s="3" t="n"/>
      <c r="B709" s="4" t="n"/>
      <c r="C709" s="5" t="n"/>
      <c r="D709" s="5" t="n"/>
      <c r="E709" s="4">
        <f>IF($D709="","",IFERROR(XLOOKUP($D709,Items!$A:$A,Items!$B:$B),"ERR"))</f>
        <v/>
      </c>
      <c r="F709" s="6" t="n"/>
      <c r="G709" s="6">
        <f>IF($D709="","",IFERROR(XLOOKUP($D709,Items!$A:$A,Items!$D:$D),0))</f>
        <v/>
      </c>
      <c r="H709" s="6">
        <f>IF($C709="Issue",IFERROR($F709*$G709,0),0)</f>
        <v/>
      </c>
      <c r="I709" s="6" t="n"/>
      <c r="J709" s="5" t="n"/>
      <c r="K709" s="4" t="n"/>
    </row>
    <row r="710" ht="20" customHeight="1">
      <c r="A710" s="3" t="n"/>
      <c r="B710" s="4" t="n"/>
      <c r="C710" s="5" t="n"/>
      <c r="D710" s="5" t="n"/>
      <c r="E710" s="4">
        <f>IF($D710="","",IFERROR(XLOOKUP($D710,Items!$A:$A,Items!$B:$B),"ERR"))</f>
        <v/>
      </c>
      <c r="F710" s="6" t="n"/>
      <c r="G710" s="6">
        <f>IF($D710="","",IFERROR(XLOOKUP($D710,Items!$A:$A,Items!$D:$D),0))</f>
        <v/>
      </c>
      <c r="H710" s="6">
        <f>IF($C710="Issue",IFERROR($F710*$G710,0),0)</f>
        <v/>
      </c>
      <c r="I710" s="6" t="n"/>
      <c r="J710" s="5" t="n"/>
      <c r="K710" s="4" t="n"/>
    </row>
    <row r="711" ht="20" customHeight="1">
      <c r="A711" s="3" t="n"/>
      <c r="B711" s="4" t="n"/>
      <c r="C711" s="5" t="n"/>
      <c r="D711" s="5" t="n"/>
      <c r="E711" s="4">
        <f>IF($D711="","",IFERROR(XLOOKUP($D711,Items!$A:$A,Items!$B:$B),"ERR"))</f>
        <v/>
      </c>
      <c r="F711" s="6" t="n"/>
      <c r="G711" s="6">
        <f>IF($D711="","",IFERROR(XLOOKUP($D711,Items!$A:$A,Items!$D:$D),0))</f>
        <v/>
      </c>
      <c r="H711" s="6">
        <f>IF($C711="Issue",IFERROR($F711*$G711,0),0)</f>
        <v/>
      </c>
      <c r="I711" s="6" t="n"/>
      <c r="J711" s="5" t="n"/>
      <c r="K711" s="4" t="n"/>
    </row>
    <row r="712" ht="20" customHeight="1">
      <c r="A712" s="3" t="n"/>
      <c r="B712" s="4" t="n"/>
      <c r="C712" s="5" t="n"/>
      <c r="D712" s="5" t="n"/>
      <c r="E712" s="4">
        <f>IF($D712="","",IFERROR(XLOOKUP($D712,Items!$A:$A,Items!$B:$B),"ERR"))</f>
        <v/>
      </c>
      <c r="F712" s="6" t="n"/>
      <c r="G712" s="6">
        <f>IF($D712="","",IFERROR(XLOOKUP($D712,Items!$A:$A,Items!$D:$D),0))</f>
        <v/>
      </c>
      <c r="H712" s="6">
        <f>IF($C712="Issue",IFERROR($F712*$G712,0),0)</f>
        <v/>
      </c>
      <c r="I712" s="6" t="n"/>
      <c r="J712" s="5" t="n"/>
      <c r="K712" s="4" t="n"/>
    </row>
    <row r="713" ht="20" customHeight="1">
      <c r="A713" s="3" t="n"/>
      <c r="B713" s="4" t="n"/>
      <c r="C713" s="5" t="n"/>
      <c r="D713" s="5" t="n"/>
      <c r="E713" s="4">
        <f>IF($D713="","",IFERROR(XLOOKUP($D713,Items!$A:$A,Items!$B:$B),"ERR"))</f>
        <v/>
      </c>
      <c r="F713" s="6" t="n"/>
      <c r="G713" s="6">
        <f>IF($D713="","",IFERROR(XLOOKUP($D713,Items!$A:$A,Items!$D:$D),0))</f>
        <v/>
      </c>
      <c r="H713" s="6">
        <f>IF($C713="Issue",IFERROR($F713*$G713,0),0)</f>
        <v/>
      </c>
      <c r="I713" s="6" t="n"/>
      <c r="J713" s="5" t="n"/>
      <c r="K713" s="4" t="n"/>
    </row>
    <row r="714" ht="20" customHeight="1">
      <c r="A714" s="3" t="n"/>
      <c r="B714" s="4" t="n"/>
      <c r="C714" s="5" t="n"/>
      <c r="D714" s="5" t="n"/>
      <c r="E714" s="4">
        <f>IF($D714="","",IFERROR(XLOOKUP($D714,Items!$A:$A,Items!$B:$B),"ERR"))</f>
        <v/>
      </c>
      <c r="F714" s="6" t="n"/>
      <c r="G714" s="6">
        <f>IF($D714="","",IFERROR(XLOOKUP($D714,Items!$A:$A,Items!$D:$D),0))</f>
        <v/>
      </c>
      <c r="H714" s="6">
        <f>IF($C714="Issue",IFERROR($F714*$G714,0),0)</f>
        <v/>
      </c>
      <c r="I714" s="6" t="n"/>
      <c r="J714" s="5" t="n"/>
      <c r="K714" s="4" t="n"/>
    </row>
    <row r="715" ht="20" customHeight="1">
      <c r="A715" s="3" t="n"/>
      <c r="B715" s="4" t="n"/>
      <c r="C715" s="5" t="n"/>
      <c r="D715" s="5" t="n"/>
      <c r="E715" s="4">
        <f>IF($D715="","",IFERROR(XLOOKUP($D715,Items!$A:$A,Items!$B:$B),"ERR"))</f>
        <v/>
      </c>
      <c r="F715" s="6" t="n"/>
      <c r="G715" s="6">
        <f>IF($D715="","",IFERROR(XLOOKUP($D715,Items!$A:$A,Items!$D:$D),0))</f>
        <v/>
      </c>
      <c r="H715" s="6">
        <f>IF($C715="Issue",IFERROR($F715*$G715,0),0)</f>
        <v/>
      </c>
      <c r="I715" s="6" t="n"/>
      <c r="J715" s="5" t="n"/>
      <c r="K715" s="4" t="n"/>
    </row>
    <row r="716" ht="20" customHeight="1">
      <c r="A716" s="3" t="n"/>
      <c r="B716" s="4" t="n"/>
      <c r="C716" s="5" t="n"/>
      <c r="D716" s="5" t="n"/>
      <c r="E716" s="4">
        <f>IF($D716="","",IFERROR(XLOOKUP($D716,Items!$A:$A,Items!$B:$B),"ERR"))</f>
        <v/>
      </c>
      <c r="F716" s="6" t="n"/>
      <c r="G716" s="6">
        <f>IF($D716="","",IFERROR(XLOOKUP($D716,Items!$A:$A,Items!$D:$D),0))</f>
        <v/>
      </c>
      <c r="H716" s="6">
        <f>IF($C716="Issue",IFERROR($F716*$G716,0),0)</f>
        <v/>
      </c>
      <c r="I716" s="6" t="n"/>
      <c r="J716" s="5" t="n"/>
      <c r="K716" s="4" t="n"/>
    </row>
    <row r="717" ht="20" customHeight="1">
      <c r="A717" s="3" t="n"/>
      <c r="B717" s="4" t="n"/>
      <c r="C717" s="5" t="n"/>
      <c r="D717" s="5" t="n"/>
      <c r="E717" s="4">
        <f>IF($D717="","",IFERROR(XLOOKUP($D717,Items!$A:$A,Items!$B:$B),"ERR"))</f>
        <v/>
      </c>
      <c r="F717" s="6" t="n"/>
      <c r="G717" s="6">
        <f>IF($D717="","",IFERROR(XLOOKUP($D717,Items!$A:$A,Items!$D:$D),0))</f>
        <v/>
      </c>
      <c r="H717" s="6">
        <f>IF($C717="Issue",IFERROR($F717*$G717,0),0)</f>
        <v/>
      </c>
      <c r="I717" s="6" t="n"/>
      <c r="J717" s="5" t="n"/>
      <c r="K717" s="4" t="n"/>
    </row>
    <row r="718" ht="20" customHeight="1">
      <c r="A718" s="3" t="n"/>
      <c r="B718" s="4" t="n"/>
      <c r="C718" s="5" t="n"/>
      <c r="D718" s="5" t="n"/>
      <c r="E718" s="4">
        <f>IF($D718="","",IFERROR(XLOOKUP($D718,Items!$A:$A,Items!$B:$B),"ERR"))</f>
        <v/>
      </c>
      <c r="F718" s="6" t="n"/>
      <c r="G718" s="6">
        <f>IF($D718="","",IFERROR(XLOOKUP($D718,Items!$A:$A,Items!$D:$D),0))</f>
        <v/>
      </c>
      <c r="H718" s="6">
        <f>IF($C718="Issue",IFERROR($F718*$G718,0),0)</f>
        <v/>
      </c>
      <c r="I718" s="6" t="n"/>
      <c r="J718" s="5" t="n"/>
      <c r="K718" s="4" t="n"/>
    </row>
    <row r="719" ht="20" customHeight="1">
      <c r="A719" s="3" t="n"/>
      <c r="B719" s="4" t="n"/>
      <c r="C719" s="5" t="n"/>
      <c r="D719" s="5" t="n"/>
      <c r="E719" s="4">
        <f>IF($D719="","",IFERROR(XLOOKUP($D719,Items!$A:$A,Items!$B:$B),"ERR"))</f>
        <v/>
      </c>
      <c r="F719" s="6" t="n"/>
      <c r="G719" s="6">
        <f>IF($D719="","",IFERROR(XLOOKUP($D719,Items!$A:$A,Items!$D:$D),0))</f>
        <v/>
      </c>
      <c r="H719" s="6">
        <f>IF($C719="Issue",IFERROR($F719*$G719,0),0)</f>
        <v/>
      </c>
      <c r="I719" s="6" t="n"/>
      <c r="J719" s="5" t="n"/>
      <c r="K719" s="4" t="n"/>
    </row>
    <row r="720" ht="20" customHeight="1">
      <c r="A720" s="3" t="n"/>
      <c r="B720" s="4" t="n"/>
      <c r="C720" s="5" t="n"/>
      <c r="D720" s="5" t="n"/>
      <c r="E720" s="4">
        <f>IF($D720="","",IFERROR(XLOOKUP($D720,Items!$A:$A,Items!$B:$B),"ERR"))</f>
        <v/>
      </c>
      <c r="F720" s="6" t="n"/>
      <c r="G720" s="6">
        <f>IF($D720="","",IFERROR(XLOOKUP($D720,Items!$A:$A,Items!$D:$D),0))</f>
        <v/>
      </c>
      <c r="H720" s="6">
        <f>IF($C720="Issue",IFERROR($F720*$G720,0),0)</f>
        <v/>
      </c>
      <c r="I720" s="6" t="n"/>
      <c r="J720" s="5" t="n"/>
      <c r="K720" s="4" t="n"/>
    </row>
    <row r="721" ht="20" customHeight="1">
      <c r="A721" s="3" t="n"/>
      <c r="B721" s="4" t="n"/>
      <c r="C721" s="5" t="n"/>
      <c r="D721" s="5" t="n"/>
      <c r="E721" s="4">
        <f>IF($D721="","",IFERROR(XLOOKUP($D721,Items!$A:$A,Items!$B:$B),"ERR"))</f>
        <v/>
      </c>
      <c r="F721" s="6" t="n"/>
      <c r="G721" s="6">
        <f>IF($D721="","",IFERROR(XLOOKUP($D721,Items!$A:$A,Items!$D:$D),0))</f>
        <v/>
      </c>
      <c r="H721" s="6">
        <f>IF($C721="Issue",IFERROR($F721*$G721,0),0)</f>
        <v/>
      </c>
      <c r="I721" s="6" t="n"/>
      <c r="J721" s="5" t="n"/>
      <c r="K721" s="4" t="n"/>
    </row>
    <row r="722" ht="20" customHeight="1">
      <c r="A722" s="3" t="n"/>
      <c r="B722" s="4" t="n"/>
      <c r="C722" s="5" t="n"/>
      <c r="D722" s="5" t="n"/>
      <c r="E722" s="4">
        <f>IF($D722="","",IFERROR(XLOOKUP($D722,Items!$A:$A,Items!$B:$B),"ERR"))</f>
        <v/>
      </c>
      <c r="F722" s="6" t="n"/>
      <c r="G722" s="6">
        <f>IF($D722="","",IFERROR(XLOOKUP($D722,Items!$A:$A,Items!$D:$D),0))</f>
        <v/>
      </c>
      <c r="H722" s="6">
        <f>IF($C722="Issue",IFERROR($F722*$G722,0),0)</f>
        <v/>
      </c>
      <c r="I722" s="6" t="n"/>
      <c r="J722" s="5" t="n"/>
      <c r="K722" s="4" t="n"/>
    </row>
    <row r="723" ht="20" customHeight="1">
      <c r="A723" s="3" t="n"/>
      <c r="B723" s="4" t="n"/>
      <c r="C723" s="5" t="n"/>
      <c r="D723" s="5" t="n"/>
      <c r="E723" s="4">
        <f>IF($D723="","",IFERROR(XLOOKUP($D723,Items!$A:$A,Items!$B:$B),"ERR"))</f>
        <v/>
      </c>
      <c r="F723" s="6" t="n"/>
      <c r="G723" s="6">
        <f>IF($D723="","",IFERROR(XLOOKUP($D723,Items!$A:$A,Items!$D:$D),0))</f>
        <v/>
      </c>
      <c r="H723" s="6">
        <f>IF($C723="Issue",IFERROR($F723*$G723,0),0)</f>
        <v/>
      </c>
      <c r="I723" s="6" t="n"/>
      <c r="J723" s="5" t="n"/>
      <c r="K723" s="4" t="n"/>
    </row>
    <row r="724" ht="20" customHeight="1">
      <c r="A724" s="3" t="n"/>
      <c r="B724" s="4" t="n"/>
      <c r="C724" s="5" t="n"/>
      <c r="D724" s="5" t="n"/>
      <c r="E724" s="4">
        <f>IF($D724="","",IFERROR(XLOOKUP($D724,Items!$A:$A,Items!$B:$B),"ERR"))</f>
        <v/>
      </c>
      <c r="F724" s="6" t="n"/>
      <c r="G724" s="6">
        <f>IF($D724="","",IFERROR(XLOOKUP($D724,Items!$A:$A,Items!$D:$D),0))</f>
        <v/>
      </c>
      <c r="H724" s="6">
        <f>IF($C724="Issue",IFERROR($F724*$G724,0),0)</f>
        <v/>
      </c>
      <c r="I724" s="6" t="n"/>
      <c r="J724" s="5" t="n"/>
      <c r="K724" s="4" t="n"/>
    </row>
    <row r="725" ht="20" customHeight="1">
      <c r="A725" s="3" t="n"/>
      <c r="B725" s="4" t="n"/>
      <c r="C725" s="5" t="n"/>
      <c r="D725" s="5" t="n"/>
      <c r="E725" s="4">
        <f>IF($D725="","",IFERROR(XLOOKUP($D725,Items!$A:$A,Items!$B:$B),"ERR"))</f>
        <v/>
      </c>
      <c r="F725" s="6" t="n"/>
      <c r="G725" s="6">
        <f>IF($D725="","",IFERROR(XLOOKUP($D725,Items!$A:$A,Items!$D:$D),0))</f>
        <v/>
      </c>
      <c r="H725" s="6">
        <f>IF($C725="Issue",IFERROR($F725*$G725,0),0)</f>
        <v/>
      </c>
      <c r="I725" s="6" t="n"/>
      <c r="J725" s="5" t="n"/>
      <c r="K725" s="4" t="n"/>
    </row>
    <row r="726" ht="20" customHeight="1">
      <c r="A726" s="3" t="n"/>
      <c r="B726" s="4" t="n"/>
      <c r="C726" s="5" t="n"/>
      <c r="D726" s="5" t="n"/>
      <c r="E726" s="4">
        <f>IF($D726="","",IFERROR(XLOOKUP($D726,Items!$A:$A,Items!$B:$B),"ERR"))</f>
        <v/>
      </c>
      <c r="F726" s="6" t="n"/>
      <c r="G726" s="6">
        <f>IF($D726="","",IFERROR(XLOOKUP($D726,Items!$A:$A,Items!$D:$D),0))</f>
        <v/>
      </c>
      <c r="H726" s="6">
        <f>IF($C726="Issue",IFERROR($F726*$G726,0),0)</f>
        <v/>
      </c>
      <c r="I726" s="6" t="n"/>
      <c r="J726" s="5" t="n"/>
      <c r="K726" s="4" t="n"/>
    </row>
    <row r="727" ht="20" customHeight="1">
      <c r="A727" s="3" t="n"/>
      <c r="B727" s="4" t="n"/>
      <c r="C727" s="5" t="n"/>
      <c r="D727" s="5" t="n"/>
      <c r="E727" s="4">
        <f>IF($D727="","",IFERROR(XLOOKUP($D727,Items!$A:$A,Items!$B:$B),"ERR"))</f>
        <v/>
      </c>
      <c r="F727" s="6" t="n"/>
      <c r="G727" s="6">
        <f>IF($D727="","",IFERROR(XLOOKUP($D727,Items!$A:$A,Items!$D:$D),0))</f>
        <v/>
      </c>
      <c r="H727" s="6">
        <f>IF($C727="Issue",IFERROR($F727*$G727,0),0)</f>
        <v/>
      </c>
      <c r="I727" s="6" t="n"/>
      <c r="J727" s="5" t="n"/>
      <c r="K727" s="4" t="n"/>
    </row>
    <row r="728" ht="20" customHeight="1">
      <c r="A728" s="3" t="n"/>
      <c r="B728" s="4" t="n"/>
      <c r="C728" s="5" t="n"/>
      <c r="D728" s="5" t="n"/>
      <c r="E728" s="4">
        <f>IF($D728="","",IFERROR(XLOOKUP($D728,Items!$A:$A,Items!$B:$B),"ERR"))</f>
        <v/>
      </c>
      <c r="F728" s="6" t="n"/>
      <c r="G728" s="6">
        <f>IF($D728="","",IFERROR(XLOOKUP($D728,Items!$A:$A,Items!$D:$D),0))</f>
        <v/>
      </c>
      <c r="H728" s="6">
        <f>IF($C728="Issue",IFERROR($F728*$G728,0),0)</f>
        <v/>
      </c>
      <c r="I728" s="6" t="n"/>
      <c r="J728" s="5" t="n"/>
      <c r="K728" s="4" t="n"/>
    </row>
    <row r="729" ht="20" customHeight="1">
      <c r="A729" s="3" t="n"/>
      <c r="B729" s="4" t="n"/>
      <c r="C729" s="5" t="n"/>
      <c r="D729" s="5" t="n"/>
      <c r="E729" s="4">
        <f>IF($D729="","",IFERROR(XLOOKUP($D729,Items!$A:$A,Items!$B:$B),"ERR"))</f>
        <v/>
      </c>
      <c r="F729" s="6" t="n"/>
      <c r="G729" s="6">
        <f>IF($D729="","",IFERROR(XLOOKUP($D729,Items!$A:$A,Items!$D:$D),0))</f>
        <v/>
      </c>
      <c r="H729" s="6">
        <f>IF($C729="Issue",IFERROR($F729*$G729,0),0)</f>
        <v/>
      </c>
      <c r="I729" s="6" t="n"/>
      <c r="J729" s="5" t="n"/>
      <c r="K729" s="4" t="n"/>
    </row>
    <row r="730" ht="20" customHeight="1">
      <c r="A730" s="3" t="n"/>
      <c r="B730" s="4" t="n"/>
      <c r="C730" s="5" t="n"/>
      <c r="D730" s="5" t="n"/>
      <c r="E730" s="4">
        <f>IF($D730="","",IFERROR(XLOOKUP($D730,Items!$A:$A,Items!$B:$B),"ERR"))</f>
        <v/>
      </c>
      <c r="F730" s="6" t="n"/>
      <c r="G730" s="6">
        <f>IF($D730="","",IFERROR(XLOOKUP($D730,Items!$A:$A,Items!$D:$D),0))</f>
        <v/>
      </c>
      <c r="H730" s="6">
        <f>IF($C730="Issue",IFERROR($F730*$G730,0),0)</f>
        <v/>
      </c>
      <c r="I730" s="6" t="n"/>
      <c r="J730" s="5" t="n"/>
      <c r="K730" s="4" t="n"/>
    </row>
    <row r="731" ht="20" customHeight="1">
      <c r="A731" s="3" t="n"/>
      <c r="B731" s="4" t="n"/>
      <c r="C731" s="5" t="n"/>
      <c r="D731" s="5" t="n"/>
      <c r="E731" s="4">
        <f>IF($D731="","",IFERROR(XLOOKUP($D731,Items!$A:$A,Items!$B:$B),"ERR"))</f>
        <v/>
      </c>
      <c r="F731" s="6" t="n"/>
      <c r="G731" s="6">
        <f>IF($D731="","",IFERROR(XLOOKUP($D731,Items!$A:$A,Items!$D:$D),0))</f>
        <v/>
      </c>
      <c r="H731" s="6">
        <f>IF($C731="Issue",IFERROR($F731*$G731,0),0)</f>
        <v/>
      </c>
      <c r="I731" s="6" t="n"/>
      <c r="J731" s="5" t="n"/>
      <c r="K731" s="4" t="n"/>
    </row>
    <row r="732" ht="20" customHeight="1">
      <c r="A732" s="3" t="n"/>
      <c r="B732" s="4" t="n"/>
      <c r="C732" s="5" t="n"/>
      <c r="D732" s="5" t="n"/>
      <c r="E732" s="4">
        <f>IF($D732="","",IFERROR(XLOOKUP($D732,Items!$A:$A,Items!$B:$B),"ERR"))</f>
        <v/>
      </c>
      <c r="F732" s="6" t="n"/>
      <c r="G732" s="6">
        <f>IF($D732="","",IFERROR(XLOOKUP($D732,Items!$A:$A,Items!$D:$D),0))</f>
        <v/>
      </c>
      <c r="H732" s="6">
        <f>IF($C732="Issue",IFERROR($F732*$G732,0),0)</f>
        <v/>
      </c>
      <c r="I732" s="6" t="n"/>
      <c r="J732" s="5" t="n"/>
      <c r="K732" s="4" t="n"/>
    </row>
    <row r="733" ht="20" customHeight="1">
      <c r="A733" s="3" t="n"/>
      <c r="B733" s="4" t="n"/>
      <c r="C733" s="5" t="n"/>
      <c r="D733" s="5" t="n"/>
      <c r="E733" s="4">
        <f>IF($D733="","",IFERROR(XLOOKUP($D733,Items!$A:$A,Items!$B:$B),"ERR"))</f>
        <v/>
      </c>
      <c r="F733" s="6" t="n"/>
      <c r="G733" s="6">
        <f>IF($D733="","",IFERROR(XLOOKUP($D733,Items!$A:$A,Items!$D:$D),0))</f>
        <v/>
      </c>
      <c r="H733" s="6">
        <f>IF($C733="Issue",IFERROR($F733*$G733,0),0)</f>
        <v/>
      </c>
      <c r="I733" s="6" t="n"/>
      <c r="J733" s="5" t="n"/>
      <c r="K733" s="4" t="n"/>
    </row>
    <row r="734" ht="20" customHeight="1">
      <c r="A734" s="3" t="n"/>
      <c r="B734" s="4" t="n"/>
      <c r="C734" s="5" t="n"/>
      <c r="D734" s="5" t="n"/>
      <c r="E734" s="4">
        <f>IF($D734="","",IFERROR(XLOOKUP($D734,Items!$A:$A,Items!$B:$B),"ERR"))</f>
        <v/>
      </c>
      <c r="F734" s="6" t="n"/>
      <c r="G734" s="6">
        <f>IF($D734="","",IFERROR(XLOOKUP($D734,Items!$A:$A,Items!$D:$D),0))</f>
        <v/>
      </c>
      <c r="H734" s="6">
        <f>IF($C734="Issue",IFERROR($F734*$G734,0),0)</f>
        <v/>
      </c>
      <c r="I734" s="6" t="n"/>
      <c r="J734" s="5" t="n"/>
      <c r="K734" s="4" t="n"/>
    </row>
    <row r="735" ht="20" customHeight="1">
      <c r="A735" s="3" t="n"/>
      <c r="B735" s="4" t="n"/>
      <c r="C735" s="5" t="n"/>
      <c r="D735" s="5" t="n"/>
      <c r="E735" s="4">
        <f>IF($D735="","",IFERROR(XLOOKUP($D735,Items!$A:$A,Items!$B:$B),"ERR"))</f>
        <v/>
      </c>
      <c r="F735" s="6" t="n"/>
      <c r="G735" s="6">
        <f>IF($D735="","",IFERROR(XLOOKUP($D735,Items!$A:$A,Items!$D:$D),0))</f>
        <v/>
      </c>
      <c r="H735" s="6">
        <f>IF($C735="Issue",IFERROR($F735*$G735,0),0)</f>
        <v/>
      </c>
      <c r="I735" s="6" t="n"/>
      <c r="J735" s="5" t="n"/>
      <c r="K735" s="4" t="n"/>
    </row>
    <row r="736" ht="20" customHeight="1">
      <c r="A736" s="3" t="n"/>
      <c r="B736" s="4" t="n"/>
      <c r="C736" s="5" t="n"/>
      <c r="D736" s="5" t="n"/>
      <c r="E736" s="4">
        <f>IF($D736="","",IFERROR(XLOOKUP($D736,Items!$A:$A,Items!$B:$B),"ERR"))</f>
        <v/>
      </c>
      <c r="F736" s="6" t="n"/>
      <c r="G736" s="6">
        <f>IF($D736="","",IFERROR(XLOOKUP($D736,Items!$A:$A,Items!$D:$D),0))</f>
        <v/>
      </c>
      <c r="H736" s="6">
        <f>IF($C736="Issue",IFERROR($F736*$G736,0),0)</f>
        <v/>
      </c>
      <c r="I736" s="6" t="n"/>
      <c r="J736" s="5" t="n"/>
      <c r="K736" s="4" t="n"/>
    </row>
    <row r="737" ht="20" customHeight="1">
      <c r="A737" s="3" t="n"/>
      <c r="B737" s="4" t="n"/>
      <c r="C737" s="5" t="n"/>
      <c r="D737" s="5" t="n"/>
      <c r="E737" s="4">
        <f>IF($D737="","",IFERROR(XLOOKUP($D737,Items!$A:$A,Items!$B:$B),"ERR"))</f>
        <v/>
      </c>
      <c r="F737" s="6" t="n"/>
      <c r="G737" s="6">
        <f>IF($D737="","",IFERROR(XLOOKUP($D737,Items!$A:$A,Items!$D:$D),0))</f>
        <v/>
      </c>
      <c r="H737" s="6">
        <f>IF($C737="Issue",IFERROR($F737*$G737,0),0)</f>
        <v/>
      </c>
      <c r="I737" s="6" t="n"/>
      <c r="J737" s="5" t="n"/>
      <c r="K737" s="4" t="n"/>
    </row>
    <row r="738" ht="20" customHeight="1">
      <c r="A738" s="3" t="n"/>
      <c r="B738" s="4" t="n"/>
      <c r="C738" s="5" t="n"/>
      <c r="D738" s="5" t="n"/>
      <c r="E738" s="4">
        <f>IF($D738="","",IFERROR(XLOOKUP($D738,Items!$A:$A,Items!$B:$B),"ERR"))</f>
        <v/>
      </c>
      <c r="F738" s="6" t="n"/>
      <c r="G738" s="6">
        <f>IF($D738="","",IFERROR(XLOOKUP($D738,Items!$A:$A,Items!$D:$D),0))</f>
        <v/>
      </c>
      <c r="H738" s="6">
        <f>IF($C738="Issue",IFERROR($F738*$G738,0),0)</f>
        <v/>
      </c>
      <c r="I738" s="6" t="n"/>
      <c r="J738" s="5" t="n"/>
      <c r="K738" s="4" t="n"/>
    </row>
    <row r="739" ht="20" customHeight="1">
      <c r="A739" s="3" t="n"/>
      <c r="B739" s="4" t="n"/>
      <c r="C739" s="5" t="n"/>
      <c r="D739" s="5" t="n"/>
      <c r="E739" s="4">
        <f>IF($D739="","",IFERROR(XLOOKUP($D739,Items!$A:$A,Items!$B:$B),"ERR"))</f>
        <v/>
      </c>
      <c r="F739" s="6" t="n"/>
      <c r="G739" s="6">
        <f>IF($D739="","",IFERROR(XLOOKUP($D739,Items!$A:$A,Items!$D:$D),0))</f>
        <v/>
      </c>
      <c r="H739" s="6">
        <f>IF($C739="Issue",IFERROR($F739*$G739,0),0)</f>
        <v/>
      </c>
      <c r="I739" s="6" t="n"/>
      <c r="J739" s="5" t="n"/>
      <c r="K739" s="4" t="n"/>
    </row>
    <row r="740" ht="20" customHeight="1">
      <c r="A740" s="3" t="n"/>
      <c r="B740" s="4" t="n"/>
      <c r="C740" s="5" t="n"/>
      <c r="D740" s="5" t="n"/>
      <c r="E740" s="4">
        <f>IF($D740="","",IFERROR(XLOOKUP($D740,Items!$A:$A,Items!$B:$B),"ERR"))</f>
        <v/>
      </c>
      <c r="F740" s="6" t="n"/>
      <c r="G740" s="6">
        <f>IF($D740="","",IFERROR(XLOOKUP($D740,Items!$A:$A,Items!$D:$D),0))</f>
        <v/>
      </c>
      <c r="H740" s="6">
        <f>IF($C740="Issue",IFERROR($F740*$G740,0),0)</f>
        <v/>
      </c>
      <c r="I740" s="6" t="n"/>
      <c r="J740" s="5" t="n"/>
      <c r="K740" s="4" t="n"/>
    </row>
    <row r="741" ht="20" customHeight="1">
      <c r="A741" s="3" t="n"/>
      <c r="B741" s="4" t="n"/>
      <c r="C741" s="5" t="n"/>
      <c r="D741" s="5" t="n"/>
      <c r="E741" s="4">
        <f>IF($D741="","",IFERROR(XLOOKUP($D741,Items!$A:$A,Items!$B:$B),"ERR"))</f>
        <v/>
      </c>
      <c r="F741" s="6" t="n"/>
      <c r="G741" s="6">
        <f>IF($D741="","",IFERROR(XLOOKUP($D741,Items!$A:$A,Items!$D:$D),0))</f>
        <v/>
      </c>
      <c r="H741" s="6">
        <f>IF($C741="Issue",IFERROR($F741*$G741,0),0)</f>
        <v/>
      </c>
      <c r="I741" s="6" t="n"/>
      <c r="J741" s="5" t="n"/>
      <c r="K741" s="4" t="n"/>
    </row>
    <row r="742" ht="20" customHeight="1">
      <c r="A742" s="3" t="n"/>
      <c r="B742" s="4" t="n"/>
      <c r="C742" s="5" t="n"/>
      <c r="D742" s="5" t="n"/>
      <c r="E742" s="4">
        <f>IF($D742="","",IFERROR(XLOOKUP($D742,Items!$A:$A,Items!$B:$B),"ERR"))</f>
        <v/>
      </c>
      <c r="F742" s="6" t="n"/>
      <c r="G742" s="6">
        <f>IF($D742="","",IFERROR(XLOOKUP($D742,Items!$A:$A,Items!$D:$D),0))</f>
        <v/>
      </c>
      <c r="H742" s="6">
        <f>IF($C742="Issue",IFERROR($F742*$G742,0),0)</f>
        <v/>
      </c>
      <c r="I742" s="6" t="n"/>
      <c r="J742" s="5" t="n"/>
      <c r="K742" s="4" t="n"/>
    </row>
    <row r="743" ht="20" customHeight="1">
      <c r="A743" s="3" t="n"/>
      <c r="B743" s="4" t="n"/>
      <c r="C743" s="5" t="n"/>
      <c r="D743" s="5" t="n"/>
      <c r="E743" s="4">
        <f>IF($D743="","",IFERROR(XLOOKUP($D743,Items!$A:$A,Items!$B:$B),"ERR"))</f>
        <v/>
      </c>
      <c r="F743" s="6" t="n"/>
      <c r="G743" s="6">
        <f>IF($D743="","",IFERROR(XLOOKUP($D743,Items!$A:$A,Items!$D:$D),0))</f>
        <v/>
      </c>
      <c r="H743" s="6">
        <f>IF($C743="Issue",IFERROR($F743*$G743,0),0)</f>
        <v/>
      </c>
      <c r="I743" s="6" t="n"/>
      <c r="J743" s="5" t="n"/>
      <c r="K743" s="4" t="n"/>
    </row>
    <row r="744" ht="20" customHeight="1">
      <c r="A744" s="3" t="n"/>
      <c r="B744" s="4" t="n"/>
      <c r="C744" s="5" t="n"/>
      <c r="D744" s="5" t="n"/>
      <c r="E744" s="4">
        <f>IF($D744="","",IFERROR(XLOOKUP($D744,Items!$A:$A,Items!$B:$B),"ERR"))</f>
        <v/>
      </c>
      <c r="F744" s="6" t="n"/>
      <c r="G744" s="6">
        <f>IF($D744="","",IFERROR(XLOOKUP($D744,Items!$A:$A,Items!$D:$D),0))</f>
        <v/>
      </c>
      <c r="H744" s="6">
        <f>IF($C744="Issue",IFERROR($F744*$G744,0),0)</f>
        <v/>
      </c>
      <c r="I744" s="6" t="n"/>
      <c r="J744" s="5" t="n"/>
      <c r="K744" s="4" t="n"/>
    </row>
    <row r="745" ht="20" customHeight="1">
      <c r="A745" s="3" t="n"/>
      <c r="B745" s="4" t="n"/>
      <c r="C745" s="5" t="n"/>
      <c r="D745" s="5" t="n"/>
      <c r="E745" s="4">
        <f>IF($D745="","",IFERROR(XLOOKUP($D745,Items!$A:$A,Items!$B:$B),"ERR"))</f>
        <v/>
      </c>
      <c r="F745" s="6" t="n"/>
      <c r="G745" s="6">
        <f>IF($D745="","",IFERROR(XLOOKUP($D745,Items!$A:$A,Items!$D:$D),0))</f>
        <v/>
      </c>
      <c r="H745" s="6">
        <f>IF($C745="Issue",IFERROR($F745*$G745,0),0)</f>
        <v/>
      </c>
      <c r="I745" s="6" t="n"/>
      <c r="J745" s="5" t="n"/>
      <c r="K745" s="4" t="n"/>
    </row>
    <row r="746" ht="20" customHeight="1">
      <c r="A746" s="3" t="n"/>
      <c r="B746" s="4" t="n"/>
      <c r="C746" s="5" t="n"/>
      <c r="D746" s="5" t="n"/>
      <c r="E746" s="4">
        <f>IF($D746="","",IFERROR(XLOOKUP($D746,Items!$A:$A,Items!$B:$B),"ERR"))</f>
        <v/>
      </c>
      <c r="F746" s="6" t="n"/>
      <c r="G746" s="6">
        <f>IF($D746="","",IFERROR(XLOOKUP($D746,Items!$A:$A,Items!$D:$D),0))</f>
        <v/>
      </c>
      <c r="H746" s="6">
        <f>IF($C746="Issue",IFERROR($F746*$G746,0),0)</f>
        <v/>
      </c>
      <c r="I746" s="6" t="n"/>
      <c r="J746" s="5" t="n"/>
      <c r="K746" s="4" t="n"/>
    </row>
    <row r="747" ht="20" customHeight="1">
      <c r="A747" s="3" t="n"/>
      <c r="B747" s="4" t="n"/>
      <c r="C747" s="5" t="n"/>
      <c r="D747" s="5" t="n"/>
      <c r="E747" s="4">
        <f>IF($D747="","",IFERROR(XLOOKUP($D747,Items!$A:$A,Items!$B:$B),"ERR"))</f>
        <v/>
      </c>
      <c r="F747" s="6" t="n"/>
      <c r="G747" s="6">
        <f>IF($D747="","",IFERROR(XLOOKUP($D747,Items!$A:$A,Items!$D:$D),0))</f>
        <v/>
      </c>
      <c r="H747" s="6">
        <f>IF($C747="Issue",IFERROR($F747*$G747,0),0)</f>
        <v/>
      </c>
      <c r="I747" s="6" t="n"/>
      <c r="J747" s="5" t="n"/>
      <c r="K747" s="4" t="n"/>
    </row>
    <row r="748" ht="20" customHeight="1">
      <c r="A748" s="3" t="n"/>
      <c r="B748" s="4" t="n"/>
      <c r="C748" s="5" t="n"/>
      <c r="D748" s="5" t="n"/>
      <c r="E748" s="4">
        <f>IF($D748="","",IFERROR(XLOOKUP($D748,Items!$A:$A,Items!$B:$B),"ERR"))</f>
        <v/>
      </c>
      <c r="F748" s="6" t="n"/>
      <c r="G748" s="6">
        <f>IF($D748="","",IFERROR(XLOOKUP($D748,Items!$A:$A,Items!$D:$D),0))</f>
        <v/>
      </c>
      <c r="H748" s="6">
        <f>IF($C748="Issue",IFERROR($F748*$G748,0),0)</f>
        <v/>
      </c>
      <c r="I748" s="6" t="n"/>
      <c r="J748" s="5" t="n"/>
      <c r="K748" s="4" t="n"/>
    </row>
    <row r="749" ht="20" customHeight="1">
      <c r="A749" s="3" t="n"/>
      <c r="B749" s="4" t="n"/>
      <c r="C749" s="5" t="n"/>
      <c r="D749" s="5" t="n"/>
      <c r="E749" s="4">
        <f>IF($D749="","",IFERROR(XLOOKUP($D749,Items!$A:$A,Items!$B:$B),"ERR"))</f>
        <v/>
      </c>
      <c r="F749" s="6" t="n"/>
      <c r="G749" s="6">
        <f>IF($D749="","",IFERROR(XLOOKUP($D749,Items!$A:$A,Items!$D:$D),0))</f>
        <v/>
      </c>
      <c r="H749" s="6">
        <f>IF($C749="Issue",IFERROR($F749*$G749,0),0)</f>
        <v/>
      </c>
      <c r="I749" s="6" t="n"/>
      <c r="J749" s="5" t="n"/>
      <c r="K749" s="4" t="n"/>
    </row>
    <row r="750" ht="20" customHeight="1">
      <c r="A750" s="3" t="n"/>
      <c r="B750" s="4" t="n"/>
      <c r="C750" s="5" t="n"/>
      <c r="D750" s="5" t="n"/>
      <c r="E750" s="4">
        <f>IF($D750="","",IFERROR(XLOOKUP($D750,Items!$A:$A,Items!$B:$B),"ERR"))</f>
        <v/>
      </c>
      <c r="F750" s="6" t="n"/>
      <c r="G750" s="6">
        <f>IF($D750="","",IFERROR(XLOOKUP($D750,Items!$A:$A,Items!$D:$D),0))</f>
        <v/>
      </c>
      <c r="H750" s="6">
        <f>IF($C750="Issue",IFERROR($F750*$G750,0),0)</f>
        <v/>
      </c>
      <c r="I750" s="6" t="n"/>
      <c r="J750" s="5" t="n"/>
      <c r="K750" s="4" t="n"/>
    </row>
    <row r="751" ht="20" customHeight="1">
      <c r="A751" s="3" t="n"/>
      <c r="B751" s="4" t="n"/>
      <c r="C751" s="5" t="n"/>
      <c r="D751" s="5" t="n"/>
      <c r="E751" s="4">
        <f>IF($D751="","",IFERROR(XLOOKUP($D751,Items!$A:$A,Items!$B:$B),"ERR"))</f>
        <v/>
      </c>
      <c r="F751" s="6" t="n"/>
      <c r="G751" s="6">
        <f>IF($D751="","",IFERROR(XLOOKUP($D751,Items!$A:$A,Items!$D:$D),0))</f>
        <v/>
      </c>
      <c r="H751" s="6">
        <f>IF($C751="Issue",IFERROR($F751*$G751,0),0)</f>
        <v/>
      </c>
      <c r="I751" s="6" t="n"/>
      <c r="J751" s="5" t="n"/>
      <c r="K751" s="4" t="n"/>
    </row>
    <row r="752" ht="20" customHeight="1">
      <c r="A752" s="3" t="n"/>
      <c r="B752" s="4" t="n"/>
      <c r="C752" s="5" t="n"/>
      <c r="D752" s="5" t="n"/>
      <c r="E752" s="4">
        <f>IF($D752="","",IFERROR(XLOOKUP($D752,Items!$A:$A,Items!$B:$B),"ERR"))</f>
        <v/>
      </c>
      <c r="F752" s="6" t="n"/>
      <c r="G752" s="6">
        <f>IF($D752="","",IFERROR(XLOOKUP($D752,Items!$A:$A,Items!$D:$D),0))</f>
        <v/>
      </c>
      <c r="H752" s="6">
        <f>IF($C752="Issue",IFERROR($F752*$G752,0),0)</f>
        <v/>
      </c>
      <c r="I752" s="6" t="n"/>
      <c r="J752" s="5" t="n"/>
      <c r="K752" s="4" t="n"/>
    </row>
    <row r="753" ht="20" customHeight="1">
      <c r="A753" s="3" t="n"/>
      <c r="B753" s="4" t="n"/>
      <c r="C753" s="5" t="n"/>
      <c r="D753" s="5" t="n"/>
      <c r="E753" s="4">
        <f>IF($D753="","",IFERROR(XLOOKUP($D753,Items!$A:$A,Items!$B:$B),"ERR"))</f>
        <v/>
      </c>
      <c r="F753" s="6" t="n"/>
      <c r="G753" s="6">
        <f>IF($D753="","",IFERROR(XLOOKUP($D753,Items!$A:$A,Items!$D:$D),0))</f>
        <v/>
      </c>
      <c r="H753" s="6">
        <f>IF($C753="Issue",IFERROR($F753*$G753,0),0)</f>
        <v/>
      </c>
      <c r="I753" s="6" t="n"/>
      <c r="J753" s="5" t="n"/>
      <c r="K753" s="4" t="n"/>
    </row>
    <row r="754" ht="20" customHeight="1">
      <c r="A754" s="3" t="n"/>
      <c r="B754" s="4" t="n"/>
      <c r="C754" s="5" t="n"/>
      <c r="D754" s="5" t="n"/>
      <c r="E754" s="4">
        <f>IF($D754="","",IFERROR(XLOOKUP($D754,Items!$A:$A,Items!$B:$B),"ERR"))</f>
        <v/>
      </c>
      <c r="F754" s="6" t="n"/>
      <c r="G754" s="6">
        <f>IF($D754="","",IFERROR(XLOOKUP($D754,Items!$A:$A,Items!$D:$D),0))</f>
        <v/>
      </c>
      <c r="H754" s="6">
        <f>IF($C754="Issue",IFERROR($F754*$G754,0),0)</f>
        <v/>
      </c>
      <c r="I754" s="6" t="n"/>
      <c r="J754" s="5" t="n"/>
      <c r="K754" s="4" t="n"/>
    </row>
    <row r="755" ht="20" customHeight="1">
      <c r="A755" s="3" t="n"/>
      <c r="B755" s="4" t="n"/>
      <c r="C755" s="5" t="n"/>
      <c r="D755" s="5" t="n"/>
      <c r="E755" s="4">
        <f>IF($D755="","",IFERROR(XLOOKUP($D755,Items!$A:$A,Items!$B:$B),"ERR"))</f>
        <v/>
      </c>
      <c r="F755" s="6" t="n"/>
      <c r="G755" s="6">
        <f>IF($D755="","",IFERROR(XLOOKUP($D755,Items!$A:$A,Items!$D:$D),0))</f>
        <v/>
      </c>
      <c r="H755" s="6">
        <f>IF($C755="Issue",IFERROR($F755*$G755,0),0)</f>
        <v/>
      </c>
      <c r="I755" s="6" t="n"/>
      <c r="J755" s="5" t="n"/>
      <c r="K755" s="4" t="n"/>
    </row>
    <row r="756" ht="20" customHeight="1">
      <c r="A756" s="3" t="n"/>
      <c r="B756" s="4" t="n"/>
      <c r="C756" s="5" t="n"/>
      <c r="D756" s="5" t="n"/>
      <c r="E756" s="4">
        <f>IF($D756="","",IFERROR(XLOOKUP($D756,Items!$A:$A,Items!$B:$B),"ERR"))</f>
        <v/>
      </c>
      <c r="F756" s="6" t="n"/>
      <c r="G756" s="6">
        <f>IF($D756="","",IFERROR(XLOOKUP($D756,Items!$A:$A,Items!$D:$D),0))</f>
        <v/>
      </c>
      <c r="H756" s="6">
        <f>IF($C756="Issue",IFERROR($F756*$G756,0),0)</f>
        <v/>
      </c>
      <c r="I756" s="6" t="n"/>
      <c r="J756" s="5" t="n"/>
      <c r="K756" s="4" t="n"/>
    </row>
    <row r="757" ht="20" customHeight="1">
      <c r="A757" s="3" t="n"/>
      <c r="B757" s="4" t="n"/>
      <c r="C757" s="5" t="n"/>
      <c r="D757" s="5" t="n"/>
      <c r="E757" s="4">
        <f>IF($D757="","",IFERROR(XLOOKUP($D757,Items!$A:$A,Items!$B:$B),"ERR"))</f>
        <v/>
      </c>
      <c r="F757" s="6" t="n"/>
      <c r="G757" s="6">
        <f>IF($D757="","",IFERROR(XLOOKUP($D757,Items!$A:$A,Items!$D:$D),0))</f>
        <v/>
      </c>
      <c r="H757" s="6">
        <f>IF($C757="Issue",IFERROR($F757*$G757,0),0)</f>
        <v/>
      </c>
      <c r="I757" s="6" t="n"/>
      <c r="J757" s="5" t="n"/>
      <c r="K757" s="4" t="n"/>
    </row>
    <row r="758" ht="20" customHeight="1">
      <c r="A758" s="3" t="n"/>
      <c r="B758" s="4" t="n"/>
      <c r="C758" s="5" t="n"/>
      <c r="D758" s="5" t="n"/>
      <c r="E758" s="4">
        <f>IF($D758="","",IFERROR(XLOOKUP($D758,Items!$A:$A,Items!$B:$B),"ERR"))</f>
        <v/>
      </c>
      <c r="F758" s="6" t="n"/>
      <c r="G758" s="6">
        <f>IF($D758="","",IFERROR(XLOOKUP($D758,Items!$A:$A,Items!$D:$D),0))</f>
        <v/>
      </c>
      <c r="H758" s="6">
        <f>IF($C758="Issue",IFERROR($F758*$G758,0),0)</f>
        <v/>
      </c>
      <c r="I758" s="6" t="n"/>
      <c r="J758" s="5" t="n"/>
      <c r="K758" s="4" t="n"/>
    </row>
    <row r="759" ht="20" customHeight="1">
      <c r="A759" s="3" t="n"/>
      <c r="B759" s="4" t="n"/>
      <c r="C759" s="5" t="n"/>
      <c r="D759" s="5" t="n"/>
      <c r="E759" s="4">
        <f>IF($D759="","",IFERROR(XLOOKUP($D759,Items!$A:$A,Items!$B:$B),"ERR"))</f>
        <v/>
      </c>
      <c r="F759" s="6" t="n"/>
      <c r="G759" s="6">
        <f>IF($D759="","",IFERROR(XLOOKUP($D759,Items!$A:$A,Items!$D:$D),0))</f>
        <v/>
      </c>
      <c r="H759" s="6">
        <f>IF($C759="Issue",IFERROR($F759*$G759,0),0)</f>
        <v/>
      </c>
      <c r="I759" s="6" t="n"/>
      <c r="J759" s="5" t="n"/>
      <c r="K759" s="4" t="n"/>
    </row>
    <row r="760" ht="20" customHeight="1">
      <c r="A760" s="3" t="n"/>
      <c r="B760" s="4" t="n"/>
      <c r="C760" s="5" t="n"/>
      <c r="D760" s="5" t="n"/>
      <c r="E760" s="4">
        <f>IF($D760="","",IFERROR(XLOOKUP($D760,Items!$A:$A,Items!$B:$B),"ERR"))</f>
        <v/>
      </c>
      <c r="F760" s="6" t="n"/>
      <c r="G760" s="6">
        <f>IF($D760="","",IFERROR(XLOOKUP($D760,Items!$A:$A,Items!$D:$D),0))</f>
        <v/>
      </c>
      <c r="H760" s="6">
        <f>IF($C760="Issue",IFERROR($F760*$G760,0),0)</f>
        <v/>
      </c>
      <c r="I760" s="6" t="n"/>
      <c r="J760" s="5" t="n"/>
      <c r="K760" s="4" t="n"/>
    </row>
    <row r="761" ht="20" customHeight="1">
      <c r="A761" s="3" t="n"/>
      <c r="B761" s="4" t="n"/>
      <c r="C761" s="5" t="n"/>
      <c r="D761" s="5" t="n"/>
      <c r="E761" s="4">
        <f>IF($D761="","",IFERROR(XLOOKUP($D761,Items!$A:$A,Items!$B:$B),"ERR"))</f>
        <v/>
      </c>
      <c r="F761" s="6" t="n"/>
      <c r="G761" s="6">
        <f>IF($D761="","",IFERROR(XLOOKUP($D761,Items!$A:$A,Items!$D:$D),0))</f>
        <v/>
      </c>
      <c r="H761" s="6">
        <f>IF($C761="Issue",IFERROR($F761*$G761,0),0)</f>
        <v/>
      </c>
      <c r="I761" s="6" t="n"/>
      <c r="J761" s="5" t="n"/>
      <c r="K761" s="4" t="n"/>
    </row>
    <row r="762" ht="20" customHeight="1">
      <c r="A762" s="3" t="n"/>
      <c r="B762" s="4" t="n"/>
      <c r="C762" s="5" t="n"/>
      <c r="D762" s="5" t="n"/>
      <c r="E762" s="4">
        <f>IF($D762="","",IFERROR(XLOOKUP($D762,Items!$A:$A,Items!$B:$B),"ERR"))</f>
        <v/>
      </c>
      <c r="F762" s="6" t="n"/>
      <c r="G762" s="6">
        <f>IF($D762="","",IFERROR(XLOOKUP($D762,Items!$A:$A,Items!$D:$D),0))</f>
        <v/>
      </c>
      <c r="H762" s="6">
        <f>IF($C762="Issue",IFERROR($F762*$G762,0),0)</f>
        <v/>
      </c>
      <c r="I762" s="6" t="n"/>
      <c r="J762" s="5" t="n"/>
      <c r="K762" s="4" t="n"/>
    </row>
    <row r="763" ht="20" customHeight="1">
      <c r="A763" s="3" t="n"/>
      <c r="B763" s="4" t="n"/>
      <c r="C763" s="5" t="n"/>
      <c r="D763" s="5" t="n"/>
      <c r="E763" s="4">
        <f>IF($D763="","",IFERROR(XLOOKUP($D763,Items!$A:$A,Items!$B:$B),"ERR"))</f>
        <v/>
      </c>
      <c r="F763" s="6" t="n"/>
      <c r="G763" s="6">
        <f>IF($D763="","",IFERROR(XLOOKUP($D763,Items!$A:$A,Items!$D:$D),0))</f>
        <v/>
      </c>
      <c r="H763" s="6">
        <f>IF($C763="Issue",IFERROR($F763*$G763,0),0)</f>
        <v/>
      </c>
      <c r="I763" s="6" t="n"/>
      <c r="J763" s="5" t="n"/>
      <c r="K763" s="4" t="n"/>
    </row>
    <row r="764" ht="20" customHeight="1">
      <c r="A764" s="3" t="n"/>
      <c r="B764" s="4" t="n"/>
      <c r="C764" s="5" t="n"/>
      <c r="D764" s="5" t="n"/>
      <c r="E764" s="4">
        <f>IF($D764="","",IFERROR(XLOOKUP($D764,Items!$A:$A,Items!$B:$B),"ERR"))</f>
        <v/>
      </c>
      <c r="F764" s="6" t="n"/>
      <c r="G764" s="6">
        <f>IF($D764="","",IFERROR(XLOOKUP($D764,Items!$A:$A,Items!$D:$D),0))</f>
        <v/>
      </c>
      <c r="H764" s="6">
        <f>IF($C764="Issue",IFERROR($F764*$G764,0),0)</f>
        <v/>
      </c>
      <c r="I764" s="6" t="n"/>
      <c r="J764" s="5" t="n"/>
      <c r="K764" s="4" t="n"/>
    </row>
    <row r="765" ht="20" customHeight="1">
      <c r="A765" s="3" t="n"/>
      <c r="B765" s="4" t="n"/>
      <c r="C765" s="5" t="n"/>
      <c r="D765" s="5" t="n"/>
      <c r="E765" s="4">
        <f>IF($D765="","",IFERROR(XLOOKUP($D765,Items!$A:$A,Items!$B:$B),"ERR"))</f>
        <v/>
      </c>
      <c r="F765" s="6" t="n"/>
      <c r="G765" s="6">
        <f>IF($D765="","",IFERROR(XLOOKUP($D765,Items!$A:$A,Items!$D:$D),0))</f>
        <v/>
      </c>
      <c r="H765" s="6">
        <f>IF($C765="Issue",IFERROR($F765*$G765,0),0)</f>
        <v/>
      </c>
      <c r="I765" s="6" t="n"/>
      <c r="J765" s="5" t="n"/>
      <c r="K765" s="4" t="n"/>
    </row>
    <row r="766" ht="20" customHeight="1">
      <c r="A766" s="3" t="n"/>
      <c r="B766" s="4" t="n"/>
      <c r="C766" s="5" t="n"/>
      <c r="D766" s="5" t="n"/>
      <c r="E766" s="4">
        <f>IF($D766="","",IFERROR(XLOOKUP($D766,Items!$A:$A,Items!$B:$B),"ERR"))</f>
        <v/>
      </c>
      <c r="F766" s="6" t="n"/>
      <c r="G766" s="6">
        <f>IF($D766="","",IFERROR(XLOOKUP($D766,Items!$A:$A,Items!$D:$D),0))</f>
        <v/>
      </c>
      <c r="H766" s="6">
        <f>IF($C766="Issue",IFERROR($F766*$G766,0),0)</f>
        <v/>
      </c>
      <c r="I766" s="6" t="n"/>
      <c r="J766" s="5" t="n"/>
      <c r="K766" s="4" t="n"/>
    </row>
    <row r="767" ht="20" customHeight="1">
      <c r="A767" s="3" t="n"/>
      <c r="B767" s="4" t="n"/>
      <c r="C767" s="5" t="n"/>
      <c r="D767" s="5" t="n"/>
      <c r="E767" s="4">
        <f>IF($D767="","",IFERROR(XLOOKUP($D767,Items!$A:$A,Items!$B:$B),"ERR"))</f>
        <v/>
      </c>
      <c r="F767" s="6" t="n"/>
      <c r="G767" s="6">
        <f>IF($D767="","",IFERROR(XLOOKUP($D767,Items!$A:$A,Items!$D:$D),0))</f>
        <v/>
      </c>
      <c r="H767" s="6">
        <f>IF($C767="Issue",IFERROR($F767*$G767,0),0)</f>
        <v/>
      </c>
      <c r="I767" s="6" t="n"/>
      <c r="J767" s="5" t="n"/>
      <c r="K767" s="4" t="n"/>
    </row>
    <row r="768" ht="20" customHeight="1">
      <c r="A768" s="3" t="n"/>
      <c r="B768" s="4" t="n"/>
      <c r="C768" s="5" t="n"/>
      <c r="D768" s="5" t="n"/>
      <c r="E768" s="4">
        <f>IF($D768="","",IFERROR(XLOOKUP($D768,Items!$A:$A,Items!$B:$B),"ERR"))</f>
        <v/>
      </c>
      <c r="F768" s="6" t="n"/>
      <c r="G768" s="6">
        <f>IF($D768="","",IFERROR(XLOOKUP($D768,Items!$A:$A,Items!$D:$D),0))</f>
        <v/>
      </c>
      <c r="H768" s="6">
        <f>IF($C768="Issue",IFERROR($F768*$G768,0),0)</f>
        <v/>
      </c>
      <c r="I768" s="6" t="n"/>
      <c r="J768" s="5" t="n"/>
      <c r="K768" s="4" t="n"/>
    </row>
    <row r="769" ht="20" customHeight="1">
      <c r="A769" s="3" t="n"/>
      <c r="B769" s="4" t="n"/>
      <c r="C769" s="5" t="n"/>
      <c r="D769" s="5" t="n"/>
      <c r="E769" s="4">
        <f>IF($D769="","",IFERROR(XLOOKUP($D769,Items!$A:$A,Items!$B:$B),"ERR"))</f>
        <v/>
      </c>
      <c r="F769" s="6" t="n"/>
      <c r="G769" s="6">
        <f>IF($D769="","",IFERROR(XLOOKUP($D769,Items!$A:$A,Items!$D:$D),0))</f>
        <v/>
      </c>
      <c r="H769" s="6">
        <f>IF($C769="Issue",IFERROR($F769*$G769,0),0)</f>
        <v/>
      </c>
      <c r="I769" s="6" t="n"/>
      <c r="J769" s="5" t="n"/>
      <c r="K769" s="4" t="n"/>
    </row>
    <row r="770" ht="20" customHeight="1">
      <c r="A770" s="3" t="n"/>
      <c r="B770" s="4" t="n"/>
      <c r="C770" s="5" t="n"/>
      <c r="D770" s="5" t="n"/>
      <c r="E770" s="4">
        <f>IF($D770="","",IFERROR(XLOOKUP($D770,Items!$A:$A,Items!$B:$B),"ERR"))</f>
        <v/>
      </c>
      <c r="F770" s="6" t="n"/>
      <c r="G770" s="6">
        <f>IF($D770="","",IFERROR(XLOOKUP($D770,Items!$A:$A,Items!$D:$D),0))</f>
        <v/>
      </c>
      <c r="H770" s="6">
        <f>IF($C770="Issue",IFERROR($F770*$G770,0),0)</f>
        <v/>
      </c>
      <c r="I770" s="6" t="n"/>
      <c r="J770" s="5" t="n"/>
      <c r="K770" s="4" t="n"/>
    </row>
    <row r="771" ht="20" customHeight="1">
      <c r="A771" s="3" t="n"/>
      <c r="B771" s="4" t="n"/>
      <c r="C771" s="5" t="n"/>
      <c r="D771" s="5" t="n"/>
      <c r="E771" s="4">
        <f>IF($D771="","",IFERROR(XLOOKUP($D771,Items!$A:$A,Items!$B:$B),"ERR"))</f>
        <v/>
      </c>
      <c r="F771" s="6" t="n"/>
      <c r="G771" s="6">
        <f>IF($D771="","",IFERROR(XLOOKUP($D771,Items!$A:$A,Items!$D:$D),0))</f>
        <v/>
      </c>
      <c r="H771" s="6">
        <f>IF($C771="Issue",IFERROR($F771*$G771,0),0)</f>
        <v/>
      </c>
      <c r="I771" s="6" t="n"/>
      <c r="J771" s="5" t="n"/>
      <c r="K771" s="4" t="n"/>
    </row>
    <row r="772" ht="20" customHeight="1">
      <c r="A772" s="3" t="n"/>
      <c r="B772" s="4" t="n"/>
      <c r="C772" s="5" t="n"/>
      <c r="D772" s="5" t="n"/>
      <c r="E772" s="4">
        <f>IF($D772="","",IFERROR(XLOOKUP($D772,Items!$A:$A,Items!$B:$B),"ERR"))</f>
        <v/>
      </c>
      <c r="F772" s="6" t="n"/>
      <c r="G772" s="6">
        <f>IF($D772="","",IFERROR(XLOOKUP($D772,Items!$A:$A,Items!$D:$D),0))</f>
        <v/>
      </c>
      <c r="H772" s="6">
        <f>IF($C772="Issue",IFERROR($F772*$G772,0),0)</f>
        <v/>
      </c>
      <c r="I772" s="6" t="n"/>
      <c r="J772" s="5" t="n"/>
      <c r="K772" s="4" t="n"/>
    </row>
    <row r="773" ht="20" customHeight="1">
      <c r="A773" s="3" t="n"/>
      <c r="B773" s="4" t="n"/>
      <c r="C773" s="5" t="n"/>
      <c r="D773" s="5" t="n"/>
      <c r="E773" s="4">
        <f>IF($D773="","",IFERROR(XLOOKUP($D773,Items!$A:$A,Items!$B:$B),"ERR"))</f>
        <v/>
      </c>
      <c r="F773" s="6" t="n"/>
      <c r="G773" s="6">
        <f>IF($D773="","",IFERROR(XLOOKUP($D773,Items!$A:$A,Items!$D:$D),0))</f>
        <v/>
      </c>
      <c r="H773" s="6">
        <f>IF($C773="Issue",IFERROR($F773*$G773,0),0)</f>
        <v/>
      </c>
      <c r="I773" s="6" t="n"/>
      <c r="J773" s="5" t="n"/>
      <c r="K773" s="4" t="n"/>
    </row>
    <row r="774" ht="20" customHeight="1">
      <c r="A774" s="3" t="n"/>
      <c r="B774" s="4" t="n"/>
      <c r="C774" s="5" t="n"/>
      <c r="D774" s="5" t="n"/>
      <c r="E774" s="4">
        <f>IF($D774="","",IFERROR(XLOOKUP($D774,Items!$A:$A,Items!$B:$B),"ERR"))</f>
        <v/>
      </c>
      <c r="F774" s="6" t="n"/>
      <c r="G774" s="6">
        <f>IF($D774="","",IFERROR(XLOOKUP($D774,Items!$A:$A,Items!$D:$D),0))</f>
        <v/>
      </c>
      <c r="H774" s="6">
        <f>IF($C774="Issue",IFERROR($F774*$G774,0),0)</f>
        <v/>
      </c>
      <c r="I774" s="6" t="n"/>
      <c r="J774" s="5" t="n"/>
      <c r="K774" s="4" t="n"/>
    </row>
    <row r="775" ht="20" customHeight="1">
      <c r="A775" s="3" t="n"/>
      <c r="B775" s="4" t="n"/>
      <c r="C775" s="5" t="n"/>
      <c r="D775" s="5" t="n"/>
      <c r="E775" s="4">
        <f>IF($D775="","",IFERROR(XLOOKUP($D775,Items!$A:$A,Items!$B:$B),"ERR"))</f>
        <v/>
      </c>
      <c r="F775" s="6" t="n"/>
      <c r="G775" s="6">
        <f>IF($D775="","",IFERROR(XLOOKUP($D775,Items!$A:$A,Items!$D:$D),0))</f>
        <v/>
      </c>
      <c r="H775" s="6">
        <f>IF($C775="Issue",IFERROR($F775*$G775,0),0)</f>
        <v/>
      </c>
      <c r="I775" s="6" t="n"/>
      <c r="J775" s="5" t="n"/>
      <c r="K775" s="4" t="n"/>
    </row>
    <row r="776" ht="20" customHeight="1">
      <c r="A776" s="3" t="n"/>
      <c r="B776" s="4" t="n"/>
      <c r="C776" s="5" t="n"/>
      <c r="D776" s="5" t="n"/>
      <c r="E776" s="4">
        <f>IF($D776="","",IFERROR(XLOOKUP($D776,Items!$A:$A,Items!$B:$B),"ERR"))</f>
        <v/>
      </c>
      <c r="F776" s="6" t="n"/>
      <c r="G776" s="6">
        <f>IF($D776="","",IFERROR(XLOOKUP($D776,Items!$A:$A,Items!$D:$D),0))</f>
        <v/>
      </c>
      <c r="H776" s="6">
        <f>IF($C776="Issue",IFERROR($F776*$G776,0),0)</f>
        <v/>
      </c>
      <c r="I776" s="6" t="n"/>
      <c r="J776" s="5" t="n"/>
      <c r="K776" s="4" t="n"/>
    </row>
    <row r="777" ht="20" customHeight="1">
      <c r="A777" s="3" t="n"/>
      <c r="B777" s="4" t="n"/>
      <c r="C777" s="5" t="n"/>
      <c r="D777" s="5" t="n"/>
      <c r="E777" s="4">
        <f>IF($D777="","",IFERROR(XLOOKUP($D777,Items!$A:$A,Items!$B:$B),"ERR"))</f>
        <v/>
      </c>
      <c r="F777" s="6" t="n"/>
      <c r="G777" s="6">
        <f>IF($D777="","",IFERROR(XLOOKUP($D777,Items!$A:$A,Items!$D:$D),0))</f>
        <v/>
      </c>
      <c r="H777" s="6">
        <f>IF($C777="Issue",IFERROR($F777*$G777,0),0)</f>
        <v/>
      </c>
      <c r="I777" s="6" t="n"/>
      <c r="J777" s="5" t="n"/>
      <c r="K777" s="4" t="n"/>
    </row>
    <row r="778" ht="20" customHeight="1">
      <c r="A778" s="3" t="n"/>
      <c r="B778" s="4" t="n"/>
      <c r="C778" s="5" t="n"/>
      <c r="D778" s="5" t="n"/>
      <c r="E778" s="4">
        <f>IF($D778="","",IFERROR(XLOOKUP($D778,Items!$A:$A,Items!$B:$B),"ERR"))</f>
        <v/>
      </c>
      <c r="F778" s="6" t="n"/>
      <c r="G778" s="6">
        <f>IF($D778="","",IFERROR(XLOOKUP($D778,Items!$A:$A,Items!$D:$D),0))</f>
        <v/>
      </c>
      <c r="H778" s="6">
        <f>IF($C778="Issue",IFERROR($F778*$G778,0),0)</f>
        <v/>
      </c>
      <c r="I778" s="6" t="n"/>
      <c r="J778" s="5" t="n"/>
      <c r="K778" s="4" t="n"/>
    </row>
    <row r="779" ht="20" customHeight="1">
      <c r="A779" s="3" t="n"/>
      <c r="B779" s="4" t="n"/>
      <c r="C779" s="5" t="n"/>
      <c r="D779" s="5" t="n"/>
      <c r="E779" s="4">
        <f>IF($D779="","",IFERROR(XLOOKUP($D779,Items!$A:$A,Items!$B:$B),"ERR"))</f>
        <v/>
      </c>
      <c r="F779" s="6" t="n"/>
      <c r="G779" s="6">
        <f>IF($D779="","",IFERROR(XLOOKUP($D779,Items!$A:$A,Items!$D:$D),0))</f>
        <v/>
      </c>
      <c r="H779" s="6">
        <f>IF($C779="Issue",IFERROR($F779*$G779,0),0)</f>
        <v/>
      </c>
      <c r="I779" s="6" t="n"/>
      <c r="J779" s="5" t="n"/>
      <c r="K779" s="4" t="n"/>
    </row>
    <row r="780" ht="20" customHeight="1">
      <c r="A780" s="3" t="n"/>
      <c r="B780" s="4" t="n"/>
      <c r="C780" s="5" t="n"/>
      <c r="D780" s="5" t="n"/>
      <c r="E780" s="4">
        <f>IF($D780="","",IFERROR(XLOOKUP($D780,Items!$A:$A,Items!$B:$B),"ERR"))</f>
        <v/>
      </c>
      <c r="F780" s="6" t="n"/>
      <c r="G780" s="6">
        <f>IF($D780="","",IFERROR(XLOOKUP($D780,Items!$A:$A,Items!$D:$D),0))</f>
        <v/>
      </c>
      <c r="H780" s="6">
        <f>IF($C780="Issue",IFERROR($F780*$G780,0),0)</f>
        <v/>
      </c>
      <c r="I780" s="6" t="n"/>
      <c r="J780" s="5" t="n"/>
      <c r="K780" s="4" t="n"/>
    </row>
    <row r="781" ht="20" customHeight="1">
      <c r="A781" s="3" t="n"/>
      <c r="B781" s="4" t="n"/>
      <c r="C781" s="5" t="n"/>
      <c r="D781" s="5" t="n"/>
      <c r="E781" s="4">
        <f>IF($D781="","",IFERROR(XLOOKUP($D781,Items!$A:$A,Items!$B:$B),"ERR"))</f>
        <v/>
      </c>
      <c r="F781" s="6" t="n"/>
      <c r="G781" s="6">
        <f>IF($D781="","",IFERROR(XLOOKUP($D781,Items!$A:$A,Items!$D:$D),0))</f>
        <v/>
      </c>
      <c r="H781" s="6">
        <f>IF($C781="Issue",IFERROR($F781*$G781,0),0)</f>
        <v/>
      </c>
      <c r="I781" s="6" t="n"/>
      <c r="J781" s="5" t="n"/>
      <c r="K781" s="4" t="n"/>
    </row>
    <row r="782" ht="20" customHeight="1">
      <c r="A782" s="3" t="n"/>
      <c r="B782" s="4" t="n"/>
      <c r="C782" s="5" t="n"/>
      <c r="D782" s="5" t="n"/>
      <c r="E782" s="4">
        <f>IF($D782="","",IFERROR(XLOOKUP($D782,Items!$A:$A,Items!$B:$B),"ERR"))</f>
        <v/>
      </c>
      <c r="F782" s="6" t="n"/>
      <c r="G782" s="6">
        <f>IF($D782="","",IFERROR(XLOOKUP($D782,Items!$A:$A,Items!$D:$D),0))</f>
        <v/>
      </c>
      <c r="H782" s="6">
        <f>IF($C782="Issue",IFERROR($F782*$G782,0),0)</f>
        <v/>
      </c>
      <c r="I782" s="6" t="n"/>
      <c r="J782" s="5" t="n"/>
      <c r="K782" s="4" t="n"/>
    </row>
    <row r="783" ht="20" customHeight="1">
      <c r="A783" s="3" t="n"/>
      <c r="B783" s="4" t="n"/>
      <c r="C783" s="5" t="n"/>
      <c r="D783" s="5" t="n"/>
      <c r="E783" s="4">
        <f>IF($D783="","",IFERROR(XLOOKUP($D783,Items!$A:$A,Items!$B:$B),"ERR"))</f>
        <v/>
      </c>
      <c r="F783" s="6" t="n"/>
      <c r="G783" s="6">
        <f>IF($D783="","",IFERROR(XLOOKUP($D783,Items!$A:$A,Items!$D:$D),0))</f>
        <v/>
      </c>
      <c r="H783" s="6">
        <f>IF($C783="Issue",IFERROR($F783*$G783,0),0)</f>
        <v/>
      </c>
      <c r="I783" s="6" t="n"/>
      <c r="J783" s="5" t="n"/>
      <c r="K783" s="4" t="n"/>
    </row>
    <row r="784" ht="20" customHeight="1">
      <c r="A784" s="3" t="n"/>
      <c r="B784" s="4" t="n"/>
      <c r="C784" s="5" t="n"/>
      <c r="D784" s="5" t="n"/>
      <c r="E784" s="4">
        <f>IF($D784="","",IFERROR(XLOOKUP($D784,Items!$A:$A,Items!$B:$B),"ERR"))</f>
        <v/>
      </c>
      <c r="F784" s="6" t="n"/>
      <c r="G784" s="6">
        <f>IF($D784="","",IFERROR(XLOOKUP($D784,Items!$A:$A,Items!$D:$D),0))</f>
        <v/>
      </c>
      <c r="H784" s="6">
        <f>IF($C784="Issue",IFERROR($F784*$G784,0),0)</f>
        <v/>
      </c>
      <c r="I784" s="6" t="n"/>
      <c r="J784" s="5" t="n"/>
      <c r="K784" s="4" t="n"/>
    </row>
    <row r="785" ht="20" customHeight="1">
      <c r="A785" s="3" t="n"/>
      <c r="B785" s="4" t="n"/>
      <c r="C785" s="5" t="n"/>
      <c r="D785" s="5" t="n"/>
      <c r="E785" s="4">
        <f>IF($D785="","",IFERROR(XLOOKUP($D785,Items!$A:$A,Items!$B:$B),"ERR"))</f>
        <v/>
      </c>
      <c r="F785" s="6" t="n"/>
      <c r="G785" s="6">
        <f>IF($D785="","",IFERROR(XLOOKUP($D785,Items!$A:$A,Items!$D:$D),0))</f>
        <v/>
      </c>
      <c r="H785" s="6">
        <f>IF($C785="Issue",IFERROR($F785*$G785,0),0)</f>
        <v/>
      </c>
      <c r="I785" s="6" t="n"/>
      <c r="J785" s="5" t="n"/>
      <c r="K785" s="4" t="n"/>
    </row>
    <row r="786" ht="20" customHeight="1">
      <c r="A786" s="3" t="n"/>
      <c r="B786" s="4" t="n"/>
      <c r="C786" s="5" t="n"/>
      <c r="D786" s="5" t="n"/>
      <c r="E786" s="4">
        <f>IF($D786="","",IFERROR(XLOOKUP($D786,Items!$A:$A,Items!$B:$B),"ERR"))</f>
        <v/>
      </c>
      <c r="F786" s="6" t="n"/>
      <c r="G786" s="6">
        <f>IF($D786="","",IFERROR(XLOOKUP($D786,Items!$A:$A,Items!$D:$D),0))</f>
        <v/>
      </c>
      <c r="H786" s="6">
        <f>IF($C786="Issue",IFERROR($F786*$G786,0),0)</f>
        <v/>
      </c>
      <c r="I786" s="6" t="n"/>
      <c r="J786" s="5" t="n"/>
      <c r="K786" s="4" t="n"/>
    </row>
    <row r="787" ht="20" customHeight="1">
      <c r="A787" s="3" t="n"/>
      <c r="B787" s="4" t="n"/>
      <c r="C787" s="5" t="n"/>
      <c r="D787" s="5" t="n"/>
      <c r="E787" s="4">
        <f>IF($D787="","",IFERROR(XLOOKUP($D787,Items!$A:$A,Items!$B:$B),"ERR"))</f>
        <v/>
      </c>
      <c r="F787" s="6" t="n"/>
      <c r="G787" s="6">
        <f>IF($D787="","",IFERROR(XLOOKUP($D787,Items!$A:$A,Items!$D:$D),0))</f>
        <v/>
      </c>
      <c r="H787" s="6">
        <f>IF($C787="Issue",IFERROR($F787*$G787,0),0)</f>
        <v/>
      </c>
      <c r="I787" s="6" t="n"/>
      <c r="J787" s="5" t="n"/>
      <c r="K787" s="4" t="n"/>
    </row>
    <row r="788" ht="20" customHeight="1">
      <c r="A788" s="3" t="n"/>
      <c r="B788" s="4" t="n"/>
      <c r="C788" s="5" t="n"/>
      <c r="D788" s="5" t="n"/>
      <c r="E788" s="4">
        <f>IF($D788="","",IFERROR(XLOOKUP($D788,Items!$A:$A,Items!$B:$B),"ERR"))</f>
        <v/>
      </c>
      <c r="F788" s="6" t="n"/>
      <c r="G788" s="6">
        <f>IF($D788="","",IFERROR(XLOOKUP($D788,Items!$A:$A,Items!$D:$D),0))</f>
        <v/>
      </c>
      <c r="H788" s="6">
        <f>IF($C788="Issue",IFERROR($F788*$G788,0),0)</f>
        <v/>
      </c>
      <c r="I788" s="6" t="n"/>
      <c r="J788" s="5" t="n"/>
      <c r="K788" s="4" t="n"/>
    </row>
    <row r="789" ht="20" customHeight="1">
      <c r="A789" s="3" t="n"/>
      <c r="B789" s="4" t="n"/>
      <c r="C789" s="5" t="n"/>
      <c r="D789" s="5" t="n"/>
      <c r="E789" s="4">
        <f>IF($D789="","",IFERROR(XLOOKUP($D789,Items!$A:$A,Items!$B:$B),"ERR"))</f>
        <v/>
      </c>
      <c r="F789" s="6" t="n"/>
      <c r="G789" s="6">
        <f>IF($D789="","",IFERROR(XLOOKUP($D789,Items!$A:$A,Items!$D:$D),0))</f>
        <v/>
      </c>
      <c r="H789" s="6">
        <f>IF($C789="Issue",IFERROR($F789*$G789,0),0)</f>
        <v/>
      </c>
      <c r="I789" s="6" t="n"/>
      <c r="J789" s="5" t="n"/>
      <c r="K789" s="4" t="n"/>
    </row>
    <row r="790" ht="20" customHeight="1">
      <c r="A790" s="3" t="n"/>
      <c r="B790" s="4" t="n"/>
      <c r="C790" s="5" t="n"/>
      <c r="D790" s="5" t="n"/>
      <c r="E790" s="4">
        <f>IF($D790="","",IFERROR(XLOOKUP($D790,Items!$A:$A,Items!$B:$B),"ERR"))</f>
        <v/>
      </c>
      <c r="F790" s="6" t="n"/>
      <c r="G790" s="6">
        <f>IF($D790="","",IFERROR(XLOOKUP($D790,Items!$A:$A,Items!$D:$D),0))</f>
        <v/>
      </c>
      <c r="H790" s="6">
        <f>IF($C790="Issue",IFERROR($F790*$G790,0),0)</f>
        <v/>
      </c>
      <c r="I790" s="6" t="n"/>
      <c r="J790" s="5" t="n"/>
      <c r="K790" s="4" t="n"/>
    </row>
    <row r="791" ht="20" customHeight="1">
      <c r="A791" s="3" t="n"/>
      <c r="B791" s="4" t="n"/>
      <c r="C791" s="5" t="n"/>
      <c r="D791" s="5" t="n"/>
      <c r="E791" s="4">
        <f>IF($D791="","",IFERROR(XLOOKUP($D791,Items!$A:$A,Items!$B:$B),"ERR"))</f>
        <v/>
      </c>
      <c r="F791" s="6" t="n"/>
      <c r="G791" s="6">
        <f>IF($D791="","",IFERROR(XLOOKUP($D791,Items!$A:$A,Items!$D:$D),0))</f>
        <v/>
      </c>
      <c r="H791" s="6">
        <f>IF($C791="Issue",IFERROR($F791*$G791,0),0)</f>
        <v/>
      </c>
      <c r="I791" s="6" t="n"/>
      <c r="J791" s="5" t="n"/>
      <c r="K791" s="4" t="n"/>
    </row>
    <row r="792" ht="20" customHeight="1">
      <c r="A792" s="3" t="n"/>
      <c r="B792" s="4" t="n"/>
      <c r="C792" s="5" t="n"/>
      <c r="D792" s="5" t="n"/>
      <c r="E792" s="4">
        <f>IF($D792="","",IFERROR(XLOOKUP($D792,Items!$A:$A,Items!$B:$B),"ERR"))</f>
        <v/>
      </c>
      <c r="F792" s="6" t="n"/>
      <c r="G792" s="6">
        <f>IF($D792="","",IFERROR(XLOOKUP($D792,Items!$A:$A,Items!$D:$D),0))</f>
        <v/>
      </c>
      <c r="H792" s="6">
        <f>IF($C792="Issue",IFERROR($F792*$G792,0),0)</f>
        <v/>
      </c>
      <c r="I792" s="6" t="n"/>
      <c r="J792" s="5" t="n"/>
      <c r="K792" s="4" t="n"/>
    </row>
    <row r="793" ht="20" customHeight="1">
      <c r="A793" s="3" t="n"/>
      <c r="B793" s="4" t="n"/>
      <c r="C793" s="5" t="n"/>
      <c r="D793" s="5" t="n"/>
      <c r="E793" s="4">
        <f>IF($D793="","",IFERROR(XLOOKUP($D793,Items!$A:$A,Items!$B:$B),"ERR"))</f>
        <v/>
      </c>
      <c r="F793" s="6" t="n"/>
      <c r="G793" s="6">
        <f>IF($D793="","",IFERROR(XLOOKUP($D793,Items!$A:$A,Items!$D:$D),0))</f>
        <v/>
      </c>
      <c r="H793" s="6">
        <f>IF($C793="Issue",IFERROR($F793*$G793,0),0)</f>
        <v/>
      </c>
      <c r="I793" s="6" t="n"/>
      <c r="J793" s="5" t="n"/>
      <c r="K793" s="4" t="n"/>
    </row>
    <row r="794" ht="20" customHeight="1">
      <c r="A794" s="3" t="n"/>
      <c r="B794" s="4" t="n"/>
      <c r="C794" s="5" t="n"/>
      <c r="D794" s="5" t="n"/>
      <c r="E794" s="4">
        <f>IF($D794="","",IFERROR(XLOOKUP($D794,Items!$A:$A,Items!$B:$B),"ERR"))</f>
        <v/>
      </c>
      <c r="F794" s="6" t="n"/>
      <c r="G794" s="6">
        <f>IF($D794="","",IFERROR(XLOOKUP($D794,Items!$A:$A,Items!$D:$D),0))</f>
        <v/>
      </c>
      <c r="H794" s="6">
        <f>IF($C794="Issue",IFERROR($F794*$G794,0),0)</f>
        <v/>
      </c>
      <c r="I794" s="6" t="n"/>
      <c r="J794" s="5" t="n"/>
      <c r="K794" s="4" t="n"/>
    </row>
    <row r="795" ht="20" customHeight="1">
      <c r="A795" s="3" t="n"/>
      <c r="B795" s="4" t="n"/>
      <c r="C795" s="5" t="n"/>
      <c r="D795" s="5" t="n"/>
      <c r="E795" s="4">
        <f>IF($D795="","",IFERROR(XLOOKUP($D795,Items!$A:$A,Items!$B:$B),"ERR"))</f>
        <v/>
      </c>
      <c r="F795" s="6" t="n"/>
      <c r="G795" s="6">
        <f>IF($D795="","",IFERROR(XLOOKUP($D795,Items!$A:$A,Items!$D:$D),0))</f>
        <v/>
      </c>
      <c r="H795" s="6">
        <f>IF($C795="Issue",IFERROR($F795*$G795,0),0)</f>
        <v/>
      </c>
      <c r="I795" s="6" t="n"/>
      <c r="J795" s="5" t="n"/>
      <c r="K795" s="4" t="n"/>
    </row>
    <row r="796" ht="20" customHeight="1">
      <c r="A796" s="3" t="n"/>
      <c r="B796" s="4" t="n"/>
      <c r="C796" s="5" t="n"/>
      <c r="D796" s="5" t="n"/>
      <c r="E796" s="4">
        <f>IF($D796="","",IFERROR(XLOOKUP($D796,Items!$A:$A,Items!$B:$B),"ERR"))</f>
        <v/>
      </c>
      <c r="F796" s="6" t="n"/>
      <c r="G796" s="6">
        <f>IF($D796="","",IFERROR(XLOOKUP($D796,Items!$A:$A,Items!$D:$D),0))</f>
        <v/>
      </c>
      <c r="H796" s="6">
        <f>IF($C796="Issue",IFERROR($F796*$G796,0),0)</f>
        <v/>
      </c>
      <c r="I796" s="6" t="n"/>
      <c r="J796" s="5" t="n"/>
      <c r="K796" s="4" t="n"/>
    </row>
    <row r="797" ht="20" customHeight="1">
      <c r="A797" s="3" t="n"/>
      <c r="B797" s="4" t="n"/>
      <c r="C797" s="5" t="n"/>
      <c r="D797" s="5" t="n"/>
      <c r="E797" s="4">
        <f>IF($D797="","",IFERROR(XLOOKUP($D797,Items!$A:$A,Items!$B:$B),"ERR"))</f>
        <v/>
      </c>
      <c r="F797" s="6" t="n"/>
      <c r="G797" s="6">
        <f>IF($D797="","",IFERROR(XLOOKUP($D797,Items!$A:$A,Items!$D:$D),0))</f>
        <v/>
      </c>
      <c r="H797" s="6">
        <f>IF($C797="Issue",IFERROR($F797*$G797,0),0)</f>
        <v/>
      </c>
      <c r="I797" s="6" t="n"/>
      <c r="J797" s="5" t="n"/>
      <c r="K797" s="4" t="n"/>
    </row>
    <row r="798" ht="20" customHeight="1">
      <c r="A798" s="3" t="n"/>
      <c r="B798" s="4" t="n"/>
      <c r="C798" s="5" t="n"/>
      <c r="D798" s="5" t="n"/>
      <c r="E798" s="4">
        <f>IF($D798="","",IFERROR(XLOOKUP($D798,Items!$A:$A,Items!$B:$B),"ERR"))</f>
        <v/>
      </c>
      <c r="F798" s="6" t="n"/>
      <c r="G798" s="6">
        <f>IF($D798="","",IFERROR(XLOOKUP($D798,Items!$A:$A,Items!$D:$D),0))</f>
        <v/>
      </c>
      <c r="H798" s="6">
        <f>IF($C798="Issue",IFERROR($F798*$G798,0),0)</f>
        <v/>
      </c>
      <c r="I798" s="6" t="n"/>
      <c r="J798" s="5" t="n"/>
      <c r="K798" s="4" t="n"/>
    </row>
    <row r="799" ht="20" customHeight="1">
      <c r="A799" s="3" t="n"/>
      <c r="B799" s="4" t="n"/>
      <c r="C799" s="5" t="n"/>
      <c r="D799" s="5" t="n"/>
      <c r="E799" s="4">
        <f>IF($D799="","",IFERROR(XLOOKUP($D799,Items!$A:$A,Items!$B:$B),"ERR"))</f>
        <v/>
      </c>
      <c r="F799" s="6" t="n"/>
      <c r="G799" s="6">
        <f>IF($D799="","",IFERROR(XLOOKUP($D799,Items!$A:$A,Items!$D:$D),0))</f>
        <v/>
      </c>
      <c r="H799" s="6">
        <f>IF($C799="Issue",IFERROR($F799*$G799,0),0)</f>
        <v/>
      </c>
      <c r="I799" s="6" t="n"/>
      <c r="J799" s="5" t="n"/>
      <c r="K799" s="4" t="n"/>
    </row>
    <row r="800" ht="20" customHeight="1">
      <c r="A800" s="3" t="n"/>
      <c r="B800" s="4" t="n"/>
      <c r="C800" s="5" t="n"/>
      <c r="D800" s="5" t="n"/>
      <c r="E800" s="4">
        <f>IF($D800="","",IFERROR(XLOOKUP($D800,Items!$A:$A,Items!$B:$B),"ERR"))</f>
        <v/>
      </c>
      <c r="F800" s="6" t="n"/>
      <c r="G800" s="6">
        <f>IF($D800="","",IFERROR(XLOOKUP($D800,Items!$A:$A,Items!$D:$D),0))</f>
        <v/>
      </c>
      <c r="H800" s="6">
        <f>IF($C800="Issue",IFERROR($F800*$G800,0),0)</f>
        <v/>
      </c>
      <c r="I800" s="6" t="n"/>
      <c r="J800" s="5" t="n"/>
      <c r="K800" s="4" t="n"/>
    </row>
    <row r="801" ht="20" customHeight="1">
      <c r="A801" s="3" t="n"/>
      <c r="B801" s="4" t="n"/>
      <c r="C801" s="5" t="n"/>
      <c r="D801" s="5" t="n"/>
      <c r="E801" s="4">
        <f>IF($D801="","",IFERROR(XLOOKUP($D801,Items!$A:$A,Items!$B:$B),"ERR"))</f>
        <v/>
      </c>
      <c r="F801" s="6" t="n"/>
      <c r="G801" s="6">
        <f>IF($D801="","",IFERROR(XLOOKUP($D801,Items!$A:$A,Items!$D:$D),0))</f>
        <v/>
      </c>
      <c r="H801" s="6">
        <f>IF($C801="Issue",IFERROR($F801*$G801,0),0)</f>
        <v/>
      </c>
      <c r="I801" s="6" t="n"/>
      <c r="J801" s="5" t="n"/>
      <c r="K801" s="4" t="n"/>
    </row>
    <row r="802" ht="20" customHeight="1">
      <c r="A802" s="3" t="n"/>
      <c r="B802" s="4" t="n"/>
      <c r="C802" s="5" t="n"/>
      <c r="D802" s="5" t="n"/>
      <c r="E802" s="4">
        <f>IF($D802="","",IFERROR(XLOOKUP($D802,Items!$A:$A,Items!$B:$B),"ERR"))</f>
        <v/>
      </c>
      <c r="F802" s="6" t="n"/>
      <c r="G802" s="6">
        <f>IF($D802="","",IFERROR(XLOOKUP($D802,Items!$A:$A,Items!$D:$D),0))</f>
        <v/>
      </c>
      <c r="H802" s="6">
        <f>IF($C802="Issue",IFERROR($F802*$G802,0),0)</f>
        <v/>
      </c>
      <c r="I802" s="6" t="n"/>
      <c r="J802" s="5" t="n"/>
      <c r="K802" s="4" t="n"/>
    </row>
    <row r="803" ht="20" customHeight="1">
      <c r="A803" s="3" t="n"/>
      <c r="B803" s="4" t="n"/>
      <c r="C803" s="5" t="n"/>
      <c r="D803" s="5" t="n"/>
      <c r="E803" s="4">
        <f>IF($D803="","",IFERROR(XLOOKUP($D803,Items!$A:$A,Items!$B:$B),"ERR"))</f>
        <v/>
      </c>
      <c r="F803" s="6" t="n"/>
      <c r="G803" s="6">
        <f>IF($D803="","",IFERROR(XLOOKUP($D803,Items!$A:$A,Items!$D:$D),0))</f>
        <v/>
      </c>
      <c r="H803" s="6">
        <f>IF($C803="Issue",IFERROR($F803*$G803,0),0)</f>
        <v/>
      </c>
      <c r="I803" s="6" t="n"/>
      <c r="J803" s="5" t="n"/>
      <c r="K803" s="4" t="n"/>
    </row>
    <row r="804" ht="20" customHeight="1">
      <c r="A804" s="3" t="n"/>
      <c r="B804" s="4" t="n"/>
      <c r="C804" s="5" t="n"/>
      <c r="D804" s="5" t="n"/>
      <c r="E804" s="4">
        <f>IF($D804="","",IFERROR(XLOOKUP($D804,Items!$A:$A,Items!$B:$B),"ERR"))</f>
        <v/>
      </c>
      <c r="F804" s="6" t="n"/>
      <c r="G804" s="6">
        <f>IF($D804="","",IFERROR(XLOOKUP($D804,Items!$A:$A,Items!$D:$D),0))</f>
        <v/>
      </c>
      <c r="H804" s="6">
        <f>IF($C804="Issue",IFERROR($F804*$G804,0),0)</f>
        <v/>
      </c>
      <c r="I804" s="6" t="n"/>
      <c r="J804" s="5" t="n"/>
      <c r="K804" s="4" t="n"/>
    </row>
    <row r="805" ht="20" customHeight="1">
      <c r="A805" s="3" t="n"/>
      <c r="B805" s="4" t="n"/>
      <c r="C805" s="5" t="n"/>
      <c r="D805" s="5" t="n"/>
      <c r="E805" s="4">
        <f>IF($D805="","",IFERROR(XLOOKUP($D805,Items!$A:$A,Items!$B:$B),"ERR"))</f>
        <v/>
      </c>
      <c r="F805" s="6" t="n"/>
      <c r="G805" s="6">
        <f>IF($D805="","",IFERROR(XLOOKUP($D805,Items!$A:$A,Items!$D:$D),0))</f>
        <v/>
      </c>
      <c r="H805" s="6">
        <f>IF($C805="Issue",IFERROR($F805*$G805,0),0)</f>
        <v/>
      </c>
      <c r="I805" s="6" t="n"/>
      <c r="J805" s="5" t="n"/>
      <c r="K805" s="4" t="n"/>
    </row>
    <row r="806" ht="20" customHeight="1">
      <c r="A806" s="3" t="n"/>
      <c r="B806" s="4" t="n"/>
      <c r="C806" s="5" t="n"/>
      <c r="D806" s="5" t="n"/>
      <c r="E806" s="4">
        <f>IF($D806="","",IFERROR(XLOOKUP($D806,Items!$A:$A,Items!$B:$B),"ERR"))</f>
        <v/>
      </c>
      <c r="F806" s="6" t="n"/>
      <c r="G806" s="6">
        <f>IF($D806="","",IFERROR(XLOOKUP($D806,Items!$A:$A,Items!$D:$D),0))</f>
        <v/>
      </c>
      <c r="H806" s="6">
        <f>IF($C806="Issue",IFERROR($F806*$G806,0),0)</f>
        <v/>
      </c>
      <c r="I806" s="6" t="n"/>
      <c r="J806" s="5" t="n"/>
      <c r="K806" s="4" t="n"/>
    </row>
    <row r="807" ht="20" customHeight="1">
      <c r="A807" s="3" t="n"/>
      <c r="B807" s="4" t="n"/>
      <c r="C807" s="5" t="n"/>
      <c r="D807" s="5" t="n"/>
      <c r="E807" s="4">
        <f>IF($D807="","",IFERROR(XLOOKUP($D807,Items!$A:$A,Items!$B:$B),"ERR"))</f>
        <v/>
      </c>
      <c r="F807" s="6" t="n"/>
      <c r="G807" s="6">
        <f>IF($D807="","",IFERROR(XLOOKUP($D807,Items!$A:$A,Items!$D:$D),0))</f>
        <v/>
      </c>
      <c r="H807" s="6">
        <f>IF($C807="Issue",IFERROR($F807*$G807,0),0)</f>
        <v/>
      </c>
      <c r="I807" s="6" t="n"/>
      <c r="J807" s="5" t="n"/>
      <c r="K807" s="4" t="n"/>
    </row>
    <row r="808" ht="20" customHeight="1">
      <c r="A808" s="3" t="n"/>
      <c r="B808" s="4" t="n"/>
      <c r="C808" s="5" t="n"/>
      <c r="D808" s="5" t="n"/>
      <c r="E808" s="4">
        <f>IF($D808="","",IFERROR(XLOOKUP($D808,Items!$A:$A,Items!$B:$B),"ERR"))</f>
        <v/>
      </c>
      <c r="F808" s="6" t="n"/>
      <c r="G808" s="6">
        <f>IF($D808="","",IFERROR(XLOOKUP($D808,Items!$A:$A,Items!$D:$D),0))</f>
        <v/>
      </c>
      <c r="H808" s="6">
        <f>IF($C808="Issue",IFERROR($F808*$G808,0),0)</f>
        <v/>
      </c>
      <c r="I808" s="6" t="n"/>
      <c r="J808" s="5" t="n"/>
      <c r="K808" s="4" t="n"/>
    </row>
    <row r="809" ht="20" customHeight="1">
      <c r="A809" s="3" t="n"/>
      <c r="B809" s="4" t="n"/>
      <c r="C809" s="5" t="n"/>
      <c r="D809" s="5" t="n"/>
      <c r="E809" s="4">
        <f>IF($D809="","",IFERROR(XLOOKUP($D809,Items!$A:$A,Items!$B:$B),"ERR"))</f>
        <v/>
      </c>
      <c r="F809" s="6" t="n"/>
      <c r="G809" s="6">
        <f>IF($D809="","",IFERROR(XLOOKUP($D809,Items!$A:$A,Items!$D:$D),0))</f>
        <v/>
      </c>
      <c r="H809" s="6">
        <f>IF($C809="Issue",IFERROR($F809*$G809,0),0)</f>
        <v/>
      </c>
      <c r="I809" s="6" t="n"/>
      <c r="J809" s="5" t="n"/>
      <c r="K809" s="4" t="n"/>
    </row>
    <row r="810" ht="20" customHeight="1">
      <c r="A810" s="3" t="n"/>
      <c r="B810" s="4" t="n"/>
      <c r="C810" s="5" t="n"/>
      <c r="D810" s="5" t="n"/>
      <c r="E810" s="4">
        <f>IF($D810="","",IFERROR(XLOOKUP($D810,Items!$A:$A,Items!$B:$B),"ERR"))</f>
        <v/>
      </c>
      <c r="F810" s="6" t="n"/>
      <c r="G810" s="6">
        <f>IF($D810="","",IFERROR(XLOOKUP($D810,Items!$A:$A,Items!$D:$D),0))</f>
        <v/>
      </c>
      <c r="H810" s="6">
        <f>IF($C810="Issue",IFERROR($F810*$G810,0),0)</f>
        <v/>
      </c>
      <c r="I810" s="6" t="n"/>
      <c r="J810" s="5" t="n"/>
      <c r="K810" s="4" t="n"/>
    </row>
    <row r="811" ht="20" customHeight="1">
      <c r="A811" s="3" t="n"/>
      <c r="B811" s="4" t="n"/>
      <c r="C811" s="5" t="n"/>
      <c r="D811" s="5" t="n"/>
      <c r="E811" s="4">
        <f>IF($D811="","",IFERROR(XLOOKUP($D811,Items!$A:$A,Items!$B:$B),"ERR"))</f>
        <v/>
      </c>
      <c r="F811" s="6" t="n"/>
      <c r="G811" s="6">
        <f>IF($D811="","",IFERROR(XLOOKUP($D811,Items!$A:$A,Items!$D:$D),0))</f>
        <v/>
      </c>
      <c r="H811" s="6">
        <f>IF($C811="Issue",IFERROR($F811*$G811,0),0)</f>
        <v/>
      </c>
      <c r="I811" s="6" t="n"/>
      <c r="J811" s="5" t="n"/>
      <c r="K811" s="4" t="n"/>
    </row>
    <row r="812" ht="20" customHeight="1">
      <c r="A812" s="3" t="n"/>
      <c r="B812" s="4" t="n"/>
      <c r="C812" s="5" t="n"/>
      <c r="D812" s="5" t="n"/>
      <c r="E812" s="4">
        <f>IF($D812="","",IFERROR(XLOOKUP($D812,Items!$A:$A,Items!$B:$B),"ERR"))</f>
        <v/>
      </c>
      <c r="F812" s="6" t="n"/>
      <c r="G812" s="6">
        <f>IF($D812="","",IFERROR(XLOOKUP($D812,Items!$A:$A,Items!$D:$D),0))</f>
        <v/>
      </c>
      <c r="H812" s="6">
        <f>IF($C812="Issue",IFERROR($F812*$G812,0),0)</f>
        <v/>
      </c>
      <c r="I812" s="6" t="n"/>
      <c r="J812" s="5" t="n"/>
      <c r="K812" s="4" t="n"/>
    </row>
    <row r="813" ht="20" customHeight="1">
      <c r="A813" s="3" t="n"/>
      <c r="B813" s="4" t="n"/>
      <c r="C813" s="5" t="n"/>
      <c r="D813" s="5" t="n"/>
      <c r="E813" s="4">
        <f>IF($D813="","",IFERROR(XLOOKUP($D813,Items!$A:$A,Items!$B:$B),"ERR"))</f>
        <v/>
      </c>
      <c r="F813" s="6" t="n"/>
      <c r="G813" s="6">
        <f>IF($D813="","",IFERROR(XLOOKUP($D813,Items!$A:$A,Items!$D:$D),0))</f>
        <v/>
      </c>
      <c r="H813" s="6">
        <f>IF($C813="Issue",IFERROR($F813*$G813,0),0)</f>
        <v/>
      </c>
      <c r="I813" s="6" t="n"/>
      <c r="J813" s="5" t="n"/>
      <c r="K813" s="4" t="n"/>
    </row>
    <row r="814" ht="20" customHeight="1">
      <c r="A814" s="3" t="n"/>
      <c r="B814" s="4" t="n"/>
      <c r="C814" s="5" t="n"/>
      <c r="D814" s="5" t="n"/>
      <c r="E814" s="4">
        <f>IF($D814="","",IFERROR(XLOOKUP($D814,Items!$A:$A,Items!$B:$B),"ERR"))</f>
        <v/>
      </c>
      <c r="F814" s="6" t="n"/>
      <c r="G814" s="6">
        <f>IF($D814="","",IFERROR(XLOOKUP($D814,Items!$A:$A,Items!$D:$D),0))</f>
        <v/>
      </c>
      <c r="H814" s="6">
        <f>IF($C814="Issue",IFERROR($F814*$G814,0),0)</f>
        <v/>
      </c>
      <c r="I814" s="6" t="n"/>
      <c r="J814" s="5" t="n"/>
      <c r="K814" s="4" t="n"/>
    </row>
    <row r="815" ht="20" customHeight="1">
      <c r="A815" s="3" t="n"/>
      <c r="B815" s="4" t="n"/>
      <c r="C815" s="5" t="n"/>
      <c r="D815" s="5" t="n"/>
      <c r="E815" s="4">
        <f>IF($D815="","",IFERROR(XLOOKUP($D815,Items!$A:$A,Items!$B:$B),"ERR"))</f>
        <v/>
      </c>
      <c r="F815" s="6" t="n"/>
      <c r="G815" s="6">
        <f>IF($D815="","",IFERROR(XLOOKUP($D815,Items!$A:$A,Items!$D:$D),0))</f>
        <v/>
      </c>
      <c r="H815" s="6">
        <f>IF($C815="Issue",IFERROR($F815*$G815,0),0)</f>
        <v/>
      </c>
      <c r="I815" s="6" t="n"/>
      <c r="J815" s="5" t="n"/>
      <c r="K815" s="4" t="n"/>
    </row>
    <row r="816" ht="20" customHeight="1">
      <c r="A816" s="3" t="n"/>
      <c r="B816" s="4" t="n"/>
      <c r="C816" s="5" t="n"/>
      <c r="D816" s="5" t="n"/>
      <c r="E816" s="4">
        <f>IF($D816="","",IFERROR(XLOOKUP($D816,Items!$A:$A,Items!$B:$B),"ERR"))</f>
        <v/>
      </c>
      <c r="F816" s="6" t="n"/>
      <c r="G816" s="6">
        <f>IF($D816="","",IFERROR(XLOOKUP($D816,Items!$A:$A,Items!$D:$D),0))</f>
        <v/>
      </c>
      <c r="H816" s="6">
        <f>IF($C816="Issue",IFERROR($F816*$G816,0),0)</f>
        <v/>
      </c>
      <c r="I816" s="6" t="n"/>
      <c r="J816" s="5" t="n"/>
      <c r="K816" s="4" t="n"/>
    </row>
    <row r="817" ht="20" customHeight="1">
      <c r="A817" s="3" t="n"/>
      <c r="B817" s="4" t="n"/>
      <c r="C817" s="5" t="n"/>
      <c r="D817" s="5" t="n"/>
      <c r="E817" s="4">
        <f>IF($D817="","",IFERROR(XLOOKUP($D817,Items!$A:$A,Items!$B:$B),"ERR"))</f>
        <v/>
      </c>
      <c r="F817" s="6" t="n"/>
      <c r="G817" s="6">
        <f>IF($D817="","",IFERROR(XLOOKUP($D817,Items!$A:$A,Items!$D:$D),0))</f>
        <v/>
      </c>
      <c r="H817" s="6">
        <f>IF($C817="Issue",IFERROR($F817*$G817,0),0)</f>
        <v/>
      </c>
      <c r="I817" s="6" t="n"/>
      <c r="J817" s="5" t="n"/>
      <c r="K817" s="4" t="n"/>
    </row>
    <row r="818" ht="20" customHeight="1">
      <c r="A818" s="3" t="n"/>
      <c r="B818" s="4" t="n"/>
      <c r="C818" s="5" t="n"/>
      <c r="D818" s="5" t="n"/>
      <c r="E818" s="4">
        <f>IF($D818="","",IFERROR(XLOOKUP($D818,Items!$A:$A,Items!$B:$B),"ERR"))</f>
        <v/>
      </c>
      <c r="F818" s="6" t="n"/>
      <c r="G818" s="6">
        <f>IF($D818="","",IFERROR(XLOOKUP($D818,Items!$A:$A,Items!$D:$D),0))</f>
        <v/>
      </c>
      <c r="H818" s="6">
        <f>IF($C818="Issue",IFERROR($F818*$G818,0),0)</f>
        <v/>
      </c>
      <c r="I818" s="6" t="n"/>
      <c r="J818" s="5" t="n"/>
      <c r="K818" s="4" t="n"/>
    </row>
    <row r="819" ht="20" customHeight="1">
      <c r="A819" s="3" t="n"/>
      <c r="B819" s="4" t="n"/>
      <c r="C819" s="5" t="n"/>
      <c r="D819" s="5" t="n"/>
      <c r="E819" s="4">
        <f>IF($D819="","",IFERROR(XLOOKUP($D819,Items!$A:$A,Items!$B:$B),"ERR"))</f>
        <v/>
      </c>
      <c r="F819" s="6" t="n"/>
      <c r="G819" s="6">
        <f>IF($D819="","",IFERROR(XLOOKUP($D819,Items!$A:$A,Items!$D:$D),0))</f>
        <v/>
      </c>
      <c r="H819" s="6">
        <f>IF($C819="Issue",IFERROR($F819*$G819,0),0)</f>
        <v/>
      </c>
      <c r="I819" s="6" t="n"/>
      <c r="J819" s="5" t="n"/>
      <c r="K819" s="4" t="n"/>
    </row>
    <row r="820" ht="20" customHeight="1">
      <c r="A820" s="3" t="n"/>
      <c r="B820" s="4" t="n"/>
      <c r="C820" s="5" t="n"/>
      <c r="D820" s="5" t="n"/>
      <c r="E820" s="4">
        <f>IF($D820="","",IFERROR(XLOOKUP($D820,Items!$A:$A,Items!$B:$B),"ERR"))</f>
        <v/>
      </c>
      <c r="F820" s="6" t="n"/>
      <c r="G820" s="6">
        <f>IF($D820="","",IFERROR(XLOOKUP($D820,Items!$A:$A,Items!$D:$D),0))</f>
        <v/>
      </c>
      <c r="H820" s="6">
        <f>IF($C820="Issue",IFERROR($F820*$G820,0),0)</f>
        <v/>
      </c>
      <c r="I820" s="6" t="n"/>
      <c r="J820" s="5" t="n"/>
      <c r="K820" s="4" t="n"/>
    </row>
    <row r="821" ht="20" customHeight="1">
      <c r="A821" s="3" t="n"/>
      <c r="B821" s="4" t="n"/>
      <c r="C821" s="5" t="n"/>
      <c r="D821" s="5" t="n"/>
      <c r="E821" s="4">
        <f>IF($D821="","",IFERROR(XLOOKUP($D821,Items!$A:$A,Items!$B:$B),"ERR"))</f>
        <v/>
      </c>
      <c r="F821" s="6" t="n"/>
      <c r="G821" s="6">
        <f>IF($D821="","",IFERROR(XLOOKUP($D821,Items!$A:$A,Items!$D:$D),0))</f>
        <v/>
      </c>
      <c r="H821" s="6">
        <f>IF($C821="Issue",IFERROR($F821*$G821,0),0)</f>
        <v/>
      </c>
      <c r="I821" s="6" t="n"/>
      <c r="J821" s="5" t="n"/>
      <c r="K821" s="4" t="n"/>
    </row>
    <row r="822" ht="20" customHeight="1">
      <c r="A822" s="3" t="n"/>
      <c r="B822" s="4" t="n"/>
      <c r="C822" s="5" t="n"/>
      <c r="D822" s="5" t="n"/>
      <c r="E822" s="4">
        <f>IF($D822="","",IFERROR(XLOOKUP($D822,Items!$A:$A,Items!$B:$B),"ERR"))</f>
        <v/>
      </c>
      <c r="F822" s="6" t="n"/>
      <c r="G822" s="6">
        <f>IF($D822="","",IFERROR(XLOOKUP($D822,Items!$A:$A,Items!$D:$D),0))</f>
        <v/>
      </c>
      <c r="H822" s="6">
        <f>IF($C822="Issue",IFERROR($F822*$G822,0),0)</f>
        <v/>
      </c>
      <c r="I822" s="6" t="n"/>
      <c r="J822" s="5" t="n"/>
      <c r="K822" s="4" t="n"/>
    </row>
    <row r="823" ht="20" customHeight="1">
      <c r="A823" s="3" t="n"/>
      <c r="B823" s="4" t="n"/>
      <c r="C823" s="5" t="n"/>
      <c r="D823" s="5" t="n"/>
      <c r="E823" s="4">
        <f>IF($D823="","",IFERROR(XLOOKUP($D823,Items!$A:$A,Items!$B:$B),"ERR"))</f>
        <v/>
      </c>
      <c r="F823" s="6" t="n"/>
      <c r="G823" s="6">
        <f>IF($D823="","",IFERROR(XLOOKUP($D823,Items!$A:$A,Items!$D:$D),0))</f>
        <v/>
      </c>
      <c r="H823" s="6">
        <f>IF($C823="Issue",IFERROR($F823*$G823,0),0)</f>
        <v/>
      </c>
      <c r="I823" s="6" t="n"/>
      <c r="J823" s="5" t="n"/>
      <c r="K823" s="4" t="n"/>
    </row>
    <row r="824" ht="20" customHeight="1">
      <c r="A824" s="3" t="n"/>
      <c r="B824" s="4" t="n"/>
      <c r="C824" s="5" t="n"/>
      <c r="D824" s="5" t="n"/>
      <c r="E824" s="4">
        <f>IF($D824="","",IFERROR(XLOOKUP($D824,Items!$A:$A,Items!$B:$B),"ERR"))</f>
        <v/>
      </c>
      <c r="F824" s="6" t="n"/>
      <c r="G824" s="6">
        <f>IF($D824="","",IFERROR(XLOOKUP($D824,Items!$A:$A,Items!$D:$D),0))</f>
        <v/>
      </c>
      <c r="H824" s="6">
        <f>IF($C824="Issue",IFERROR($F824*$G824,0),0)</f>
        <v/>
      </c>
      <c r="I824" s="6" t="n"/>
      <c r="J824" s="5" t="n"/>
      <c r="K824" s="4" t="n"/>
    </row>
    <row r="825" ht="20" customHeight="1">
      <c r="A825" s="3" t="n"/>
      <c r="B825" s="4" t="n"/>
      <c r="C825" s="5" t="n"/>
      <c r="D825" s="5" t="n"/>
      <c r="E825" s="4">
        <f>IF($D825="","",IFERROR(XLOOKUP($D825,Items!$A:$A,Items!$B:$B),"ERR"))</f>
        <v/>
      </c>
      <c r="F825" s="6" t="n"/>
      <c r="G825" s="6">
        <f>IF($D825="","",IFERROR(XLOOKUP($D825,Items!$A:$A,Items!$D:$D),0))</f>
        <v/>
      </c>
      <c r="H825" s="6">
        <f>IF($C825="Issue",IFERROR($F825*$G825,0),0)</f>
        <v/>
      </c>
      <c r="I825" s="6" t="n"/>
      <c r="J825" s="5" t="n"/>
      <c r="K825" s="4" t="n"/>
    </row>
    <row r="826" ht="20" customHeight="1">
      <c r="A826" s="3" t="n"/>
      <c r="B826" s="4" t="n"/>
      <c r="C826" s="5" t="n"/>
      <c r="D826" s="5" t="n"/>
      <c r="E826" s="4">
        <f>IF($D826="","",IFERROR(XLOOKUP($D826,Items!$A:$A,Items!$B:$B),"ERR"))</f>
        <v/>
      </c>
      <c r="F826" s="6" t="n"/>
      <c r="G826" s="6">
        <f>IF($D826="","",IFERROR(XLOOKUP($D826,Items!$A:$A,Items!$D:$D),0))</f>
        <v/>
      </c>
      <c r="H826" s="6">
        <f>IF($C826="Issue",IFERROR($F826*$G826,0),0)</f>
        <v/>
      </c>
      <c r="I826" s="6" t="n"/>
      <c r="J826" s="5" t="n"/>
      <c r="K826" s="4" t="n"/>
    </row>
    <row r="827" ht="20" customHeight="1">
      <c r="A827" s="3" t="n"/>
      <c r="B827" s="4" t="n"/>
      <c r="C827" s="5" t="n"/>
      <c r="D827" s="5" t="n"/>
      <c r="E827" s="4">
        <f>IF($D827="","",IFERROR(XLOOKUP($D827,Items!$A:$A,Items!$B:$B),"ERR"))</f>
        <v/>
      </c>
      <c r="F827" s="6" t="n"/>
      <c r="G827" s="6">
        <f>IF($D827="","",IFERROR(XLOOKUP($D827,Items!$A:$A,Items!$D:$D),0))</f>
        <v/>
      </c>
      <c r="H827" s="6">
        <f>IF($C827="Issue",IFERROR($F827*$G827,0),0)</f>
        <v/>
      </c>
      <c r="I827" s="6" t="n"/>
      <c r="J827" s="5" t="n"/>
      <c r="K827" s="4" t="n"/>
    </row>
    <row r="828" ht="20" customHeight="1">
      <c r="A828" s="3" t="n"/>
      <c r="B828" s="4" t="n"/>
      <c r="C828" s="5" t="n"/>
      <c r="D828" s="5" t="n"/>
      <c r="E828" s="4">
        <f>IF($D828="","",IFERROR(XLOOKUP($D828,Items!$A:$A,Items!$B:$B),"ERR"))</f>
        <v/>
      </c>
      <c r="F828" s="6" t="n"/>
      <c r="G828" s="6">
        <f>IF($D828="","",IFERROR(XLOOKUP($D828,Items!$A:$A,Items!$D:$D),0))</f>
        <v/>
      </c>
      <c r="H828" s="6">
        <f>IF($C828="Issue",IFERROR($F828*$G828,0),0)</f>
        <v/>
      </c>
      <c r="I828" s="6" t="n"/>
      <c r="J828" s="5" t="n"/>
      <c r="K828" s="4" t="n"/>
    </row>
    <row r="829" ht="20" customHeight="1">
      <c r="A829" s="3" t="n"/>
      <c r="B829" s="4" t="n"/>
      <c r="C829" s="5" t="n"/>
      <c r="D829" s="5" t="n"/>
      <c r="E829" s="4">
        <f>IF($D829="","",IFERROR(XLOOKUP($D829,Items!$A:$A,Items!$B:$B),"ERR"))</f>
        <v/>
      </c>
      <c r="F829" s="6" t="n"/>
      <c r="G829" s="6">
        <f>IF($D829="","",IFERROR(XLOOKUP($D829,Items!$A:$A,Items!$D:$D),0))</f>
        <v/>
      </c>
      <c r="H829" s="6">
        <f>IF($C829="Issue",IFERROR($F829*$G829,0),0)</f>
        <v/>
      </c>
      <c r="I829" s="6" t="n"/>
      <c r="J829" s="5" t="n"/>
      <c r="K829" s="4" t="n"/>
    </row>
    <row r="830" ht="20" customHeight="1">
      <c r="A830" s="3" t="n"/>
      <c r="B830" s="4" t="n"/>
      <c r="C830" s="5" t="n"/>
      <c r="D830" s="5" t="n"/>
      <c r="E830" s="4">
        <f>IF($D830="","",IFERROR(XLOOKUP($D830,Items!$A:$A,Items!$B:$B),"ERR"))</f>
        <v/>
      </c>
      <c r="F830" s="6" t="n"/>
      <c r="G830" s="6">
        <f>IF($D830="","",IFERROR(XLOOKUP($D830,Items!$A:$A,Items!$D:$D),0))</f>
        <v/>
      </c>
      <c r="H830" s="6">
        <f>IF($C830="Issue",IFERROR($F830*$G830,0),0)</f>
        <v/>
      </c>
      <c r="I830" s="6" t="n"/>
      <c r="J830" s="5" t="n"/>
      <c r="K830" s="4" t="n"/>
    </row>
    <row r="831" ht="20" customHeight="1">
      <c r="A831" s="3" t="n"/>
      <c r="B831" s="4" t="n"/>
      <c r="C831" s="5" t="n"/>
      <c r="D831" s="5" t="n"/>
      <c r="E831" s="4">
        <f>IF($D831="","",IFERROR(XLOOKUP($D831,Items!$A:$A,Items!$B:$B),"ERR"))</f>
        <v/>
      </c>
      <c r="F831" s="6" t="n"/>
      <c r="G831" s="6">
        <f>IF($D831="","",IFERROR(XLOOKUP($D831,Items!$A:$A,Items!$D:$D),0))</f>
        <v/>
      </c>
      <c r="H831" s="6">
        <f>IF($C831="Issue",IFERROR($F831*$G831,0),0)</f>
        <v/>
      </c>
      <c r="I831" s="6" t="n"/>
      <c r="J831" s="5" t="n"/>
      <c r="K831" s="4" t="n"/>
    </row>
    <row r="832" ht="20" customHeight="1">
      <c r="A832" s="3" t="n"/>
      <c r="B832" s="4" t="n"/>
      <c r="C832" s="5" t="n"/>
      <c r="D832" s="5" t="n"/>
      <c r="E832" s="4">
        <f>IF($D832="","",IFERROR(XLOOKUP($D832,Items!$A:$A,Items!$B:$B),"ERR"))</f>
        <v/>
      </c>
      <c r="F832" s="6" t="n"/>
      <c r="G832" s="6">
        <f>IF($D832="","",IFERROR(XLOOKUP($D832,Items!$A:$A,Items!$D:$D),0))</f>
        <v/>
      </c>
      <c r="H832" s="6">
        <f>IF($C832="Issue",IFERROR($F832*$G832,0),0)</f>
        <v/>
      </c>
      <c r="I832" s="6" t="n"/>
      <c r="J832" s="5" t="n"/>
      <c r="K832" s="4" t="n"/>
    </row>
    <row r="833" ht="20" customHeight="1">
      <c r="A833" s="3" t="n"/>
      <c r="B833" s="4" t="n"/>
      <c r="C833" s="5" t="n"/>
      <c r="D833" s="5" t="n"/>
      <c r="E833" s="4">
        <f>IF($D833="","",IFERROR(XLOOKUP($D833,Items!$A:$A,Items!$B:$B),"ERR"))</f>
        <v/>
      </c>
      <c r="F833" s="6" t="n"/>
      <c r="G833" s="6">
        <f>IF($D833="","",IFERROR(XLOOKUP($D833,Items!$A:$A,Items!$D:$D),0))</f>
        <v/>
      </c>
      <c r="H833" s="6">
        <f>IF($C833="Issue",IFERROR($F833*$G833,0),0)</f>
        <v/>
      </c>
      <c r="I833" s="6" t="n"/>
      <c r="J833" s="5" t="n"/>
      <c r="K833" s="4" t="n"/>
    </row>
    <row r="834" ht="20" customHeight="1">
      <c r="A834" s="3" t="n"/>
      <c r="B834" s="4" t="n"/>
      <c r="C834" s="5" t="n"/>
      <c r="D834" s="5" t="n"/>
      <c r="E834" s="4">
        <f>IF($D834="","",IFERROR(XLOOKUP($D834,Items!$A:$A,Items!$B:$B),"ERR"))</f>
        <v/>
      </c>
      <c r="F834" s="6" t="n"/>
      <c r="G834" s="6">
        <f>IF($D834="","",IFERROR(XLOOKUP($D834,Items!$A:$A,Items!$D:$D),0))</f>
        <v/>
      </c>
      <c r="H834" s="6">
        <f>IF($C834="Issue",IFERROR($F834*$G834,0),0)</f>
        <v/>
      </c>
      <c r="I834" s="6" t="n"/>
      <c r="J834" s="5" t="n"/>
      <c r="K834" s="4" t="n"/>
    </row>
    <row r="835" ht="20" customHeight="1">
      <c r="A835" s="3" t="n"/>
      <c r="B835" s="4" t="n"/>
      <c r="C835" s="5" t="n"/>
      <c r="D835" s="5" t="n"/>
      <c r="E835" s="4">
        <f>IF($D835="","",IFERROR(XLOOKUP($D835,Items!$A:$A,Items!$B:$B),"ERR"))</f>
        <v/>
      </c>
      <c r="F835" s="6" t="n"/>
      <c r="G835" s="6">
        <f>IF($D835="","",IFERROR(XLOOKUP($D835,Items!$A:$A,Items!$D:$D),0))</f>
        <v/>
      </c>
      <c r="H835" s="6">
        <f>IF($C835="Issue",IFERROR($F835*$G835,0),0)</f>
        <v/>
      </c>
      <c r="I835" s="6" t="n"/>
      <c r="J835" s="5" t="n"/>
      <c r="K835" s="4" t="n"/>
    </row>
    <row r="836" ht="20" customHeight="1">
      <c r="A836" s="3" t="n"/>
      <c r="B836" s="4" t="n"/>
      <c r="C836" s="5" t="n"/>
      <c r="D836" s="5" t="n"/>
      <c r="E836" s="4">
        <f>IF($D836="","",IFERROR(XLOOKUP($D836,Items!$A:$A,Items!$B:$B),"ERR"))</f>
        <v/>
      </c>
      <c r="F836" s="6" t="n"/>
      <c r="G836" s="6">
        <f>IF($D836="","",IFERROR(XLOOKUP($D836,Items!$A:$A,Items!$D:$D),0))</f>
        <v/>
      </c>
      <c r="H836" s="6">
        <f>IF($C836="Issue",IFERROR($F836*$G836,0),0)</f>
        <v/>
      </c>
      <c r="I836" s="6" t="n"/>
      <c r="J836" s="5" t="n"/>
      <c r="K836" s="4" t="n"/>
    </row>
    <row r="837" ht="20" customHeight="1">
      <c r="A837" s="3" t="n"/>
      <c r="B837" s="4" t="n"/>
      <c r="C837" s="5" t="n"/>
      <c r="D837" s="5" t="n"/>
      <c r="E837" s="4">
        <f>IF($D837="","",IFERROR(XLOOKUP($D837,Items!$A:$A,Items!$B:$B),"ERR"))</f>
        <v/>
      </c>
      <c r="F837" s="6" t="n"/>
      <c r="G837" s="6">
        <f>IF($D837="","",IFERROR(XLOOKUP($D837,Items!$A:$A,Items!$D:$D),0))</f>
        <v/>
      </c>
      <c r="H837" s="6">
        <f>IF($C837="Issue",IFERROR($F837*$G837,0),0)</f>
        <v/>
      </c>
      <c r="I837" s="6" t="n"/>
      <c r="J837" s="5" t="n"/>
      <c r="K837" s="4" t="n"/>
    </row>
    <row r="838" ht="20" customHeight="1">
      <c r="A838" s="3" t="n"/>
      <c r="B838" s="4" t="n"/>
      <c r="C838" s="5" t="n"/>
      <c r="D838" s="5" t="n"/>
      <c r="E838" s="4">
        <f>IF($D838="","",IFERROR(XLOOKUP($D838,Items!$A:$A,Items!$B:$B),"ERR"))</f>
        <v/>
      </c>
      <c r="F838" s="6" t="n"/>
      <c r="G838" s="6">
        <f>IF($D838="","",IFERROR(XLOOKUP($D838,Items!$A:$A,Items!$D:$D),0))</f>
        <v/>
      </c>
      <c r="H838" s="6">
        <f>IF($C838="Issue",IFERROR($F838*$G838,0),0)</f>
        <v/>
      </c>
      <c r="I838" s="6" t="n"/>
      <c r="J838" s="5" t="n"/>
      <c r="K838" s="4" t="n"/>
    </row>
    <row r="839" ht="20" customHeight="1">
      <c r="A839" s="3" t="n"/>
      <c r="B839" s="4" t="n"/>
      <c r="C839" s="5" t="n"/>
      <c r="D839" s="5" t="n"/>
      <c r="E839" s="4">
        <f>IF($D839="","",IFERROR(XLOOKUP($D839,Items!$A:$A,Items!$B:$B),"ERR"))</f>
        <v/>
      </c>
      <c r="F839" s="6" t="n"/>
      <c r="G839" s="6">
        <f>IF($D839="","",IFERROR(XLOOKUP($D839,Items!$A:$A,Items!$D:$D),0))</f>
        <v/>
      </c>
      <c r="H839" s="6">
        <f>IF($C839="Issue",IFERROR($F839*$G839,0),0)</f>
        <v/>
      </c>
      <c r="I839" s="6" t="n"/>
      <c r="J839" s="5" t="n"/>
      <c r="K839" s="4" t="n"/>
    </row>
    <row r="840" ht="20" customHeight="1">
      <c r="A840" s="3" t="n"/>
      <c r="B840" s="4" t="n"/>
      <c r="C840" s="5" t="n"/>
      <c r="D840" s="5" t="n"/>
      <c r="E840" s="4">
        <f>IF($D840="","",IFERROR(XLOOKUP($D840,Items!$A:$A,Items!$B:$B),"ERR"))</f>
        <v/>
      </c>
      <c r="F840" s="6" t="n"/>
      <c r="G840" s="6">
        <f>IF($D840="","",IFERROR(XLOOKUP($D840,Items!$A:$A,Items!$D:$D),0))</f>
        <v/>
      </c>
      <c r="H840" s="6">
        <f>IF($C840="Issue",IFERROR($F840*$G840,0),0)</f>
        <v/>
      </c>
      <c r="I840" s="6" t="n"/>
      <c r="J840" s="5" t="n"/>
      <c r="K840" s="4" t="n"/>
    </row>
    <row r="841" ht="20" customHeight="1">
      <c r="A841" s="3" t="n"/>
      <c r="B841" s="4" t="n"/>
      <c r="C841" s="5" t="n"/>
      <c r="D841" s="5" t="n"/>
      <c r="E841" s="4">
        <f>IF($D841="","",IFERROR(XLOOKUP($D841,Items!$A:$A,Items!$B:$B),"ERR"))</f>
        <v/>
      </c>
      <c r="F841" s="6" t="n"/>
      <c r="G841" s="6">
        <f>IF($D841="","",IFERROR(XLOOKUP($D841,Items!$A:$A,Items!$D:$D),0))</f>
        <v/>
      </c>
      <c r="H841" s="6">
        <f>IF($C841="Issue",IFERROR($F841*$G841,0),0)</f>
        <v/>
      </c>
      <c r="I841" s="6" t="n"/>
      <c r="J841" s="5" t="n"/>
      <c r="K841" s="4" t="n"/>
    </row>
    <row r="842" ht="20" customHeight="1">
      <c r="A842" s="3" t="n"/>
      <c r="B842" s="4" t="n"/>
      <c r="C842" s="5" t="n"/>
      <c r="D842" s="5" t="n"/>
      <c r="E842" s="4">
        <f>IF($D842="","",IFERROR(XLOOKUP($D842,Items!$A:$A,Items!$B:$B),"ERR"))</f>
        <v/>
      </c>
      <c r="F842" s="6" t="n"/>
      <c r="G842" s="6">
        <f>IF($D842="","",IFERROR(XLOOKUP($D842,Items!$A:$A,Items!$D:$D),0))</f>
        <v/>
      </c>
      <c r="H842" s="6">
        <f>IF($C842="Issue",IFERROR($F842*$G842,0),0)</f>
        <v/>
      </c>
      <c r="I842" s="6" t="n"/>
      <c r="J842" s="5" t="n"/>
      <c r="K842" s="4" t="n"/>
    </row>
    <row r="843" ht="20" customHeight="1">
      <c r="A843" s="3" t="n"/>
      <c r="B843" s="4" t="n"/>
      <c r="C843" s="5" t="n"/>
      <c r="D843" s="5" t="n"/>
      <c r="E843" s="4">
        <f>IF($D843="","",IFERROR(XLOOKUP($D843,Items!$A:$A,Items!$B:$B),"ERR"))</f>
        <v/>
      </c>
      <c r="F843" s="6" t="n"/>
      <c r="G843" s="6">
        <f>IF($D843="","",IFERROR(XLOOKUP($D843,Items!$A:$A,Items!$D:$D),0))</f>
        <v/>
      </c>
      <c r="H843" s="6">
        <f>IF($C843="Issue",IFERROR($F843*$G843,0),0)</f>
        <v/>
      </c>
      <c r="I843" s="6" t="n"/>
      <c r="J843" s="5" t="n"/>
      <c r="K843" s="4" t="n"/>
    </row>
    <row r="844" ht="20" customHeight="1">
      <c r="A844" s="3" t="n"/>
      <c r="B844" s="4" t="n"/>
      <c r="C844" s="5" t="n"/>
      <c r="D844" s="5" t="n"/>
      <c r="E844" s="4">
        <f>IF($D844="","",IFERROR(XLOOKUP($D844,Items!$A:$A,Items!$B:$B),"ERR"))</f>
        <v/>
      </c>
      <c r="F844" s="6" t="n"/>
      <c r="G844" s="6">
        <f>IF($D844="","",IFERROR(XLOOKUP($D844,Items!$A:$A,Items!$D:$D),0))</f>
        <v/>
      </c>
      <c r="H844" s="6">
        <f>IF($C844="Issue",IFERROR($F844*$G844,0),0)</f>
        <v/>
      </c>
      <c r="I844" s="6" t="n"/>
      <c r="J844" s="5" t="n"/>
      <c r="K844" s="4" t="n"/>
    </row>
    <row r="845" ht="20" customHeight="1">
      <c r="A845" s="3" t="n"/>
      <c r="B845" s="4" t="n"/>
      <c r="C845" s="5" t="n"/>
      <c r="D845" s="5" t="n"/>
      <c r="E845" s="4">
        <f>IF($D845="","",IFERROR(XLOOKUP($D845,Items!$A:$A,Items!$B:$B),"ERR"))</f>
        <v/>
      </c>
      <c r="F845" s="6" t="n"/>
      <c r="G845" s="6">
        <f>IF($D845="","",IFERROR(XLOOKUP($D845,Items!$A:$A,Items!$D:$D),0))</f>
        <v/>
      </c>
      <c r="H845" s="6">
        <f>IF($C845="Issue",IFERROR($F845*$G845,0),0)</f>
        <v/>
      </c>
      <c r="I845" s="6" t="n"/>
      <c r="J845" s="5" t="n"/>
      <c r="K845" s="4" t="n"/>
    </row>
    <row r="846" ht="20" customHeight="1">
      <c r="A846" s="3" t="n"/>
      <c r="B846" s="4" t="n"/>
      <c r="C846" s="5" t="n"/>
      <c r="D846" s="5" t="n"/>
      <c r="E846" s="4">
        <f>IF($D846="","",IFERROR(XLOOKUP($D846,Items!$A:$A,Items!$B:$B),"ERR"))</f>
        <v/>
      </c>
      <c r="F846" s="6" t="n"/>
      <c r="G846" s="6">
        <f>IF($D846="","",IFERROR(XLOOKUP($D846,Items!$A:$A,Items!$D:$D),0))</f>
        <v/>
      </c>
      <c r="H846" s="6">
        <f>IF($C846="Issue",IFERROR($F846*$G846,0),0)</f>
        <v/>
      </c>
      <c r="I846" s="6" t="n"/>
      <c r="J846" s="5" t="n"/>
      <c r="K846" s="4" t="n"/>
    </row>
    <row r="847" ht="20" customHeight="1">
      <c r="A847" s="3" t="n"/>
      <c r="B847" s="4" t="n"/>
      <c r="C847" s="5" t="n"/>
      <c r="D847" s="5" t="n"/>
      <c r="E847" s="4">
        <f>IF($D847="","",IFERROR(XLOOKUP($D847,Items!$A:$A,Items!$B:$B),"ERR"))</f>
        <v/>
      </c>
      <c r="F847" s="6" t="n"/>
      <c r="G847" s="6">
        <f>IF($D847="","",IFERROR(XLOOKUP($D847,Items!$A:$A,Items!$D:$D),0))</f>
        <v/>
      </c>
      <c r="H847" s="6">
        <f>IF($C847="Issue",IFERROR($F847*$G847,0),0)</f>
        <v/>
      </c>
      <c r="I847" s="6" t="n"/>
      <c r="J847" s="5" t="n"/>
      <c r="K847" s="4" t="n"/>
    </row>
    <row r="848" ht="20" customHeight="1">
      <c r="A848" s="3" t="n"/>
      <c r="B848" s="4" t="n"/>
      <c r="C848" s="5" t="n"/>
      <c r="D848" s="5" t="n"/>
      <c r="E848" s="4">
        <f>IF($D848="","",IFERROR(XLOOKUP($D848,Items!$A:$A,Items!$B:$B),"ERR"))</f>
        <v/>
      </c>
      <c r="F848" s="6" t="n"/>
      <c r="G848" s="6">
        <f>IF($D848="","",IFERROR(XLOOKUP($D848,Items!$A:$A,Items!$D:$D),0))</f>
        <v/>
      </c>
      <c r="H848" s="6">
        <f>IF($C848="Issue",IFERROR($F848*$G848,0),0)</f>
        <v/>
      </c>
      <c r="I848" s="6" t="n"/>
      <c r="J848" s="5" t="n"/>
      <c r="K848" s="4" t="n"/>
    </row>
    <row r="849" ht="20" customHeight="1">
      <c r="A849" s="3" t="n"/>
      <c r="B849" s="4" t="n"/>
      <c r="C849" s="5" t="n"/>
      <c r="D849" s="5" t="n"/>
      <c r="E849" s="4">
        <f>IF($D849="","",IFERROR(XLOOKUP($D849,Items!$A:$A,Items!$B:$B),"ERR"))</f>
        <v/>
      </c>
      <c r="F849" s="6" t="n"/>
      <c r="G849" s="6">
        <f>IF($D849="","",IFERROR(XLOOKUP($D849,Items!$A:$A,Items!$D:$D),0))</f>
        <v/>
      </c>
      <c r="H849" s="6">
        <f>IF($C849="Issue",IFERROR($F849*$G849,0),0)</f>
        <v/>
      </c>
      <c r="I849" s="6" t="n"/>
      <c r="J849" s="5" t="n"/>
      <c r="K849" s="4" t="n"/>
    </row>
    <row r="850" ht="20" customHeight="1">
      <c r="A850" s="3" t="n"/>
      <c r="B850" s="4" t="n"/>
      <c r="C850" s="5" t="n"/>
      <c r="D850" s="5" t="n"/>
      <c r="E850" s="4">
        <f>IF($D850="","",IFERROR(XLOOKUP($D850,Items!$A:$A,Items!$B:$B),"ERR"))</f>
        <v/>
      </c>
      <c r="F850" s="6" t="n"/>
      <c r="G850" s="6">
        <f>IF($D850="","",IFERROR(XLOOKUP($D850,Items!$A:$A,Items!$D:$D),0))</f>
        <v/>
      </c>
      <c r="H850" s="6">
        <f>IF($C850="Issue",IFERROR($F850*$G850,0),0)</f>
        <v/>
      </c>
      <c r="I850" s="6" t="n"/>
      <c r="J850" s="5" t="n"/>
      <c r="K850" s="4" t="n"/>
    </row>
    <row r="851" ht="20" customHeight="1">
      <c r="A851" s="3" t="n"/>
      <c r="B851" s="4" t="n"/>
      <c r="C851" s="5" t="n"/>
      <c r="D851" s="5" t="n"/>
      <c r="E851" s="4">
        <f>IF($D851="","",IFERROR(XLOOKUP($D851,Items!$A:$A,Items!$B:$B),"ERR"))</f>
        <v/>
      </c>
      <c r="F851" s="6" t="n"/>
      <c r="G851" s="6">
        <f>IF($D851="","",IFERROR(XLOOKUP($D851,Items!$A:$A,Items!$D:$D),0))</f>
        <v/>
      </c>
      <c r="H851" s="6">
        <f>IF($C851="Issue",IFERROR($F851*$G851,0),0)</f>
        <v/>
      </c>
      <c r="I851" s="6" t="n"/>
      <c r="J851" s="5" t="n"/>
      <c r="K851" s="4" t="n"/>
    </row>
    <row r="852" ht="20" customHeight="1">
      <c r="A852" s="3" t="n"/>
      <c r="B852" s="4" t="n"/>
      <c r="C852" s="5" t="n"/>
      <c r="D852" s="5" t="n"/>
      <c r="E852" s="4">
        <f>IF($D852="","",IFERROR(XLOOKUP($D852,Items!$A:$A,Items!$B:$B),"ERR"))</f>
        <v/>
      </c>
      <c r="F852" s="6" t="n"/>
      <c r="G852" s="6">
        <f>IF($D852="","",IFERROR(XLOOKUP($D852,Items!$A:$A,Items!$D:$D),0))</f>
        <v/>
      </c>
      <c r="H852" s="6">
        <f>IF($C852="Issue",IFERROR($F852*$G852,0),0)</f>
        <v/>
      </c>
      <c r="I852" s="6" t="n"/>
      <c r="J852" s="5" t="n"/>
      <c r="K852" s="4" t="n"/>
    </row>
    <row r="853" ht="20" customHeight="1">
      <c r="A853" s="3" t="n"/>
      <c r="B853" s="4" t="n"/>
      <c r="C853" s="5" t="n"/>
      <c r="D853" s="5" t="n"/>
      <c r="E853" s="4">
        <f>IF($D853="","",IFERROR(XLOOKUP($D853,Items!$A:$A,Items!$B:$B),"ERR"))</f>
        <v/>
      </c>
      <c r="F853" s="6" t="n"/>
      <c r="G853" s="6">
        <f>IF($D853="","",IFERROR(XLOOKUP($D853,Items!$A:$A,Items!$D:$D),0))</f>
        <v/>
      </c>
      <c r="H853" s="6">
        <f>IF($C853="Issue",IFERROR($F853*$G853,0),0)</f>
        <v/>
      </c>
      <c r="I853" s="6" t="n"/>
      <c r="J853" s="5" t="n"/>
      <c r="K853" s="4" t="n"/>
    </row>
    <row r="854" ht="20" customHeight="1">
      <c r="A854" s="3" t="n"/>
      <c r="B854" s="4" t="n"/>
      <c r="C854" s="5" t="n"/>
      <c r="D854" s="5" t="n"/>
      <c r="E854" s="4">
        <f>IF($D854="","",IFERROR(XLOOKUP($D854,Items!$A:$A,Items!$B:$B),"ERR"))</f>
        <v/>
      </c>
      <c r="F854" s="6" t="n"/>
      <c r="G854" s="6">
        <f>IF($D854="","",IFERROR(XLOOKUP($D854,Items!$A:$A,Items!$D:$D),0))</f>
        <v/>
      </c>
      <c r="H854" s="6">
        <f>IF($C854="Issue",IFERROR($F854*$G854,0),0)</f>
        <v/>
      </c>
      <c r="I854" s="6" t="n"/>
      <c r="J854" s="5" t="n"/>
      <c r="K854" s="4" t="n"/>
    </row>
    <row r="855" ht="20" customHeight="1">
      <c r="A855" s="3" t="n"/>
      <c r="B855" s="4" t="n"/>
      <c r="C855" s="5" t="n"/>
      <c r="D855" s="5" t="n"/>
      <c r="E855" s="4">
        <f>IF($D855="","",IFERROR(XLOOKUP($D855,Items!$A:$A,Items!$B:$B),"ERR"))</f>
        <v/>
      </c>
      <c r="F855" s="6" t="n"/>
      <c r="G855" s="6">
        <f>IF($D855="","",IFERROR(XLOOKUP($D855,Items!$A:$A,Items!$D:$D),0))</f>
        <v/>
      </c>
      <c r="H855" s="6">
        <f>IF($C855="Issue",IFERROR($F855*$G855,0),0)</f>
        <v/>
      </c>
      <c r="I855" s="6" t="n"/>
      <c r="J855" s="5" t="n"/>
      <c r="K855" s="4" t="n"/>
    </row>
    <row r="856" ht="20" customHeight="1">
      <c r="A856" s="3" t="n"/>
      <c r="B856" s="4" t="n"/>
      <c r="C856" s="5" t="n"/>
      <c r="D856" s="5" t="n"/>
      <c r="E856" s="4">
        <f>IF($D856="","",IFERROR(XLOOKUP($D856,Items!$A:$A,Items!$B:$B),"ERR"))</f>
        <v/>
      </c>
      <c r="F856" s="6" t="n"/>
      <c r="G856" s="6">
        <f>IF($D856="","",IFERROR(XLOOKUP($D856,Items!$A:$A,Items!$D:$D),0))</f>
        <v/>
      </c>
      <c r="H856" s="6">
        <f>IF($C856="Issue",IFERROR($F856*$G856,0),0)</f>
        <v/>
      </c>
      <c r="I856" s="6" t="n"/>
      <c r="J856" s="5" t="n"/>
      <c r="K856" s="4" t="n"/>
    </row>
    <row r="857" ht="20" customHeight="1">
      <c r="A857" s="3" t="n"/>
      <c r="B857" s="4" t="n"/>
      <c r="C857" s="5" t="n"/>
      <c r="D857" s="5" t="n"/>
      <c r="E857" s="4">
        <f>IF($D857="","",IFERROR(XLOOKUP($D857,Items!$A:$A,Items!$B:$B),"ERR"))</f>
        <v/>
      </c>
      <c r="F857" s="6" t="n"/>
      <c r="G857" s="6">
        <f>IF($D857="","",IFERROR(XLOOKUP($D857,Items!$A:$A,Items!$D:$D),0))</f>
        <v/>
      </c>
      <c r="H857" s="6">
        <f>IF($C857="Issue",IFERROR($F857*$G857,0),0)</f>
        <v/>
      </c>
      <c r="I857" s="6" t="n"/>
      <c r="J857" s="5" t="n"/>
      <c r="K857" s="4" t="n"/>
    </row>
    <row r="858" ht="20" customHeight="1">
      <c r="A858" s="3" t="n"/>
      <c r="B858" s="4" t="n"/>
      <c r="C858" s="5" t="n"/>
      <c r="D858" s="5" t="n"/>
      <c r="E858" s="4">
        <f>IF($D858="","",IFERROR(XLOOKUP($D858,Items!$A:$A,Items!$B:$B),"ERR"))</f>
        <v/>
      </c>
      <c r="F858" s="6" t="n"/>
      <c r="G858" s="6">
        <f>IF($D858="","",IFERROR(XLOOKUP($D858,Items!$A:$A,Items!$D:$D),0))</f>
        <v/>
      </c>
      <c r="H858" s="6">
        <f>IF($C858="Issue",IFERROR($F858*$G858,0),0)</f>
        <v/>
      </c>
      <c r="I858" s="6" t="n"/>
      <c r="J858" s="5" t="n"/>
      <c r="K858" s="4" t="n"/>
    </row>
    <row r="859" ht="20" customHeight="1">
      <c r="A859" s="3" t="n"/>
      <c r="B859" s="4" t="n"/>
      <c r="C859" s="5" t="n"/>
      <c r="D859" s="5" t="n"/>
      <c r="E859" s="4">
        <f>IF($D859="","",IFERROR(XLOOKUP($D859,Items!$A:$A,Items!$B:$B),"ERR"))</f>
        <v/>
      </c>
      <c r="F859" s="6" t="n"/>
      <c r="G859" s="6">
        <f>IF($D859="","",IFERROR(XLOOKUP($D859,Items!$A:$A,Items!$D:$D),0))</f>
        <v/>
      </c>
      <c r="H859" s="6">
        <f>IF($C859="Issue",IFERROR($F859*$G859,0),0)</f>
        <v/>
      </c>
      <c r="I859" s="6" t="n"/>
      <c r="J859" s="5" t="n"/>
      <c r="K859" s="4" t="n"/>
    </row>
    <row r="860" ht="20" customHeight="1">
      <c r="A860" s="3" t="n"/>
      <c r="B860" s="4" t="n"/>
      <c r="C860" s="5" t="n"/>
      <c r="D860" s="5" t="n"/>
      <c r="E860" s="4">
        <f>IF($D860="","",IFERROR(XLOOKUP($D860,Items!$A:$A,Items!$B:$B),"ERR"))</f>
        <v/>
      </c>
      <c r="F860" s="6" t="n"/>
      <c r="G860" s="6">
        <f>IF($D860="","",IFERROR(XLOOKUP($D860,Items!$A:$A,Items!$D:$D),0))</f>
        <v/>
      </c>
      <c r="H860" s="6">
        <f>IF($C860="Issue",IFERROR($F860*$G860,0),0)</f>
        <v/>
      </c>
      <c r="I860" s="6" t="n"/>
      <c r="J860" s="5" t="n"/>
      <c r="K860" s="4" t="n"/>
    </row>
    <row r="861" ht="20" customHeight="1">
      <c r="A861" s="3" t="n"/>
      <c r="B861" s="4" t="n"/>
      <c r="C861" s="5" t="n"/>
      <c r="D861" s="5" t="n"/>
      <c r="E861" s="4">
        <f>IF($D861="","",IFERROR(XLOOKUP($D861,Items!$A:$A,Items!$B:$B),"ERR"))</f>
        <v/>
      </c>
      <c r="F861" s="6" t="n"/>
      <c r="G861" s="6">
        <f>IF($D861="","",IFERROR(XLOOKUP($D861,Items!$A:$A,Items!$D:$D),0))</f>
        <v/>
      </c>
      <c r="H861" s="6">
        <f>IF($C861="Issue",IFERROR($F861*$G861,0),0)</f>
        <v/>
      </c>
      <c r="I861" s="6" t="n"/>
      <c r="J861" s="5" t="n"/>
      <c r="K861" s="4" t="n"/>
    </row>
    <row r="862" ht="20" customHeight="1">
      <c r="A862" s="3" t="n"/>
      <c r="B862" s="4" t="n"/>
      <c r="C862" s="5" t="n"/>
      <c r="D862" s="5" t="n"/>
      <c r="E862" s="4">
        <f>IF($D862="","",IFERROR(XLOOKUP($D862,Items!$A:$A,Items!$B:$B),"ERR"))</f>
        <v/>
      </c>
      <c r="F862" s="6" t="n"/>
      <c r="G862" s="6">
        <f>IF($D862="","",IFERROR(XLOOKUP($D862,Items!$A:$A,Items!$D:$D),0))</f>
        <v/>
      </c>
      <c r="H862" s="6">
        <f>IF($C862="Issue",IFERROR($F862*$G862,0),0)</f>
        <v/>
      </c>
      <c r="I862" s="6" t="n"/>
      <c r="J862" s="5" t="n"/>
      <c r="K862" s="4" t="n"/>
    </row>
    <row r="863" ht="20" customHeight="1">
      <c r="A863" s="3" t="n"/>
      <c r="B863" s="4" t="n"/>
      <c r="C863" s="5" t="n"/>
      <c r="D863" s="5" t="n"/>
      <c r="E863" s="4">
        <f>IF($D863="","",IFERROR(XLOOKUP($D863,Items!$A:$A,Items!$B:$B),"ERR"))</f>
        <v/>
      </c>
      <c r="F863" s="6" t="n"/>
      <c r="G863" s="6">
        <f>IF($D863="","",IFERROR(XLOOKUP($D863,Items!$A:$A,Items!$D:$D),0))</f>
        <v/>
      </c>
      <c r="H863" s="6">
        <f>IF($C863="Issue",IFERROR($F863*$G863,0),0)</f>
        <v/>
      </c>
      <c r="I863" s="6" t="n"/>
      <c r="J863" s="5" t="n"/>
      <c r="K863" s="4" t="n"/>
    </row>
    <row r="864" ht="20" customHeight="1">
      <c r="A864" s="3" t="n"/>
      <c r="B864" s="4" t="n"/>
      <c r="C864" s="5" t="n"/>
      <c r="D864" s="5" t="n"/>
      <c r="E864" s="4">
        <f>IF($D864="","",IFERROR(XLOOKUP($D864,Items!$A:$A,Items!$B:$B),"ERR"))</f>
        <v/>
      </c>
      <c r="F864" s="6" t="n"/>
      <c r="G864" s="6">
        <f>IF($D864="","",IFERROR(XLOOKUP($D864,Items!$A:$A,Items!$D:$D),0))</f>
        <v/>
      </c>
      <c r="H864" s="6">
        <f>IF($C864="Issue",IFERROR($F864*$G864,0),0)</f>
        <v/>
      </c>
      <c r="I864" s="6" t="n"/>
      <c r="J864" s="5" t="n"/>
      <c r="K864" s="4" t="n"/>
    </row>
    <row r="865" ht="20" customHeight="1">
      <c r="A865" s="3" t="n"/>
      <c r="B865" s="4" t="n"/>
      <c r="C865" s="5" t="n"/>
      <c r="D865" s="5" t="n"/>
      <c r="E865" s="4">
        <f>IF($D865="","",IFERROR(XLOOKUP($D865,Items!$A:$A,Items!$B:$B),"ERR"))</f>
        <v/>
      </c>
      <c r="F865" s="6" t="n"/>
      <c r="G865" s="6">
        <f>IF($D865="","",IFERROR(XLOOKUP($D865,Items!$A:$A,Items!$D:$D),0))</f>
        <v/>
      </c>
      <c r="H865" s="6">
        <f>IF($C865="Issue",IFERROR($F865*$G865,0),0)</f>
        <v/>
      </c>
      <c r="I865" s="6" t="n"/>
      <c r="J865" s="5" t="n"/>
      <c r="K865" s="4" t="n"/>
    </row>
    <row r="866" ht="20" customHeight="1">
      <c r="A866" s="3" t="n"/>
      <c r="B866" s="4" t="n"/>
      <c r="C866" s="5" t="n"/>
      <c r="D866" s="5" t="n"/>
      <c r="E866" s="4">
        <f>IF($D866="","",IFERROR(XLOOKUP($D866,Items!$A:$A,Items!$B:$B),"ERR"))</f>
        <v/>
      </c>
      <c r="F866" s="6" t="n"/>
      <c r="G866" s="6">
        <f>IF($D866="","",IFERROR(XLOOKUP($D866,Items!$A:$A,Items!$D:$D),0))</f>
        <v/>
      </c>
      <c r="H866" s="6">
        <f>IF($C866="Issue",IFERROR($F866*$G866,0),0)</f>
        <v/>
      </c>
      <c r="I866" s="6" t="n"/>
      <c r="J866" s="5" t="n"/>
      <c r="K866" s="4" t="n"/>
    </row>
    <row r="867" ht="20" customHeight="1">
      <c r="A867" s="3" t="n"/>
      <c r="B867" s="4" t="n"/>
      <c r="C867" s="5" t="n"/>
      <c r="D867" s="5" t="n"/>
      <c r="E867" s="4">
        <f>IF($D867="","",IFERROR(XLOOKUP($D867,Items!$A:$A,Items!$B:$B),"ERR"))</f>
        <v/>
      </c>
      <c r="F867" s="6" t="n"/>
      <c r="G867" s="6">
        <f>IF($D867="","",IFERROR(XLOOKUP($D867,Items!$A:$A,Items!$D:$D),0))</f>
        <v/>
      </c>
      <c r="H867" s="6">
        <f>IF($C867="Issue",IFERROR($F867*$G867,0),0)</f>
        <v/>
      </c>
      <c r="I867" s="6" t="n"/>
      <c r="J867" s="5" t="n"/>
      <c r="K867" s="4" t="n"/>
    </row>
    <row r="868" ht="20" customHeight="1">
      <c r="A868" s="3" t="n"/>
      <c r="B868" s="4" t="n"/>
      <c r="C868" s="5" t="n"/>
      <c r="D868" s="5" t="n"/>
      <c r="E868" s="4">
        <f>IF($D868="","",IFERROR(XLOOKUP($D868,Items!$A:$A,Items!$B:$B),"ERR"))</f>
        <v/>
      </c>
      <c r="F868" s="6" t="n"/>
      <c r="G868" s="6">
        <f>IF($D868="","",IFERROR(XLOOKUP($D868,Items!$A:$A,Items!$D:$D),0))</f>
        <v/>
      </c>
      <c r="H868" s="6">
        <f>IF($C868="Issue",IFERROR($F868*$G868,0),0)</f>
        <v/>
      </c>
      <c r="I868" s="6" t="n"/>
      <c r="J868" s="5" t="n"/>
      <c r="K868" s="4" t="n"/>
    </row>
    <row r="869" ht="20" customHeight="1">
      <c r="A869" s="3" t="n"/>
      <c r="B869" s="4" t="n"/>
      <c r="C869" s="5" t="n"/>
      <c r="D869" s="5" t="n"/>
      <c r="E869" s="4">
        <f>IF($D869="","",IFERROR(XLOOKUP($D869,Items!$A:$A,Items!$B:$B),"ERR"))</f>
        <v/>
      </c>
      <c r="F869" s="6" t="n"/>
      <c r="G869" s="6">
        <f>IF($D869="","",IFERROR(XLOOKUP($D869,Items!$A:$A,Items!$D:$D),0))</f>
        <v/>
      </c>
      <c r="H869" s="6">
        <f>IF($C869="Issue",IFERROR($F869*$G869,0),0)</f>
        <v/>
      </c>
      <c r="I869" s="6" t="n"/>
      <c r="J869" s="5" t="n"/>
      <c r="K869" s="4" t="n"/>
    </row>
    <row r="870" ht="20" customHeight="1">
      <c r="A870" s="3" t="n"/>
      <c r="B870" s="4" t="n"/>
      <c r="C870" s="5" t="n"/>
      <c r="D870" s="5" t="n"/>
      <c r="E870" s="4">
        <f>IF($D870="","",IFERROR(XLOOKUP($D870,Items!$A:$A,Items!$B:$B),"ERR"))</f>
        <v/>
      </c>
      <c r="F870" s="6" t="n"/>
      <c r="G870" s="6">
        <f>IF($D870="","",IFERROR(XLOOKUP($D870,Items!$A:$A,Items!$D:$D),0))</f>
        <v/>
      </c>
      <c r="H870" s="6">
        <f>IF($C870="Issue",IFERROR($F870*$G870,0),0)</f>
        <v/>
      </c>
      <c r="I870" s="6" t="n"/>
      <c r="J870" s="5" t="n"/>
      <c r="K870" s="4" t="n"/>
    </row>
    <row r="871" ht="20" customHeight="1">
      <c r="A871" s="3" t="n"/>
      <c r="B871" s="4" t="n"/>
      <c r="C871" s="5" t="n"/>
      <c r="D871" s="5" t="n"/>
      <c r="E871" s="4">
        <f>IF($D871="","",IFERROR(XLOOKUP($D871,Items!$A:$A,Items!$B:$B),"ERR"))</f>
        <v/>
      </c>
      <c r="F871" s="6" t="n"/>
      <c r="G871" s="6">
        <f>IF($D871="","",IFERROR(XLOOKUP($D871,Items!$A:$A,Items!$D:$D),0))</f>
        <v/>
      </c>
      <c r="H871" s="6">
        <f>IF($C871="Issue",IFERROR($F871*$G871,0),0)</f>
        <v/>
      </c>
      <c r="I871" s="6" t="n"/>
      <c r="J871" s="5" t="n"/>
      <c r="K871" s="4" t="n"/>
    </row>
    <row r="872" ht="20" customHeight="1">
      <c r="A872" s="3" t="n"/>
      <c r="B872" s="4" t="n"/>
      <c r="C872" s="5" t="n"/>
      <c r="D872" s="5" t="n"/>
      <c r="E872" s="4">
        <f>IF($D872="","",IFERROR(XLOOKUP($D872,Items!$A:$A,Items!$B:$B),"ERR"))</f>
        <v/>
      </c>
      <c r="F872" s="6" t="n"/>
      <c r="G872" s="6">
        <f>IF($D872="","",IFERROR(XLOOKUP($D872,Items!$A:$A,Items!$D:$D),0))</f>
        <v/>
      </c>
      <c r="H872" s="6">
        <f>IF($C872="Issue",IFERROR($F872*$G872,0),0)</f>
        <v/>
      </c>
      <c r="I872" s="6" t="n"/>
      <c r="J872" s="5" t="n"/>
      <c r="K872" s="4" t="n"/>
    </row>
    <row r="873" ht="20" customHeight="1">
      <c r="A873" s="3" t="n"/>
      <c r="B873" s="4" t="n"/>
      <c r="C873" s="5" t="n"/>
      <c r="D873" s="5" t="n"/>
      <c r="E873" s="4">
        <f>IF($D873="","",IFERROR(XLOOKUP($D873,Items!$A:$A,Items!$B:$B),"ERR"))</f>
        <v/>
      </c>
      <c r="F873" s="6" t="n"/>
      <c r="G873" s="6">
        <f>IF($D873="","",IFERROR(XLOOKUP($D873,Items!$A:$A,Items!$D:$D),0))</f>
        <v/>
      </c>
      <c r="H873" s="6">
        <f>IF($C873="Issue",IFERROR($F873*$G873,0),0)</f>
        <v/>
      </c>
      <c r="I873" s="6" t="n"/>
      <c r="J873" s="5" t="n"/>
      <c r="K873" s="4" t="n"/>
    </row>
    <row r="874" ht="20" customHeight="1">
      <c r="A874" s="3" t="n"/>
      <c r="B874" s="4" t="n"/>
      <c r="C874" s="5" t="n"/>
      <c r="D874" s="5" t="n"/>
      <c r="E874" s="4">
        <f>IF($D874="","",IFERROR(XLOOKUP($D874,Items!$A:$A,Items!$B:$B),"ERR"))</f>
        <v/>
      </c>
      <c r="F874" s="6" t="n"/>
      <c r="G874" s="6">
        <f>IF($D874="","",IFERROR(XLOOKUP($D874,Items!$A:$A,Items!$D:$D),0))</f>
        <v/>
      </c>
      <c r="H874" s="6">
        <f>IF($C874="Issue",IFERROR($F874*$G874,0),0)</f>
        <v/>
      </c>
      <c r="I874" s="6" t="n"/>
      <c r="J874" s="5" t="n"/>
      <c r="K874" s="4" t="n"/>
    </row>
    <row r="875" ht="20" customHeight="1">
      <c r="A875" s="3" t="n"/>
      <c r="B875" s="4" t="n"/>
      <c r="C875" s="5" t="n"/>
      <c r="D875" s="5" t="n"/>
      <c r="E875" s="4">
        <f>IF($D875="","",IFERROR(XLOOKUP($D875,Items!$A:$A,Items!$B:$B),"ERR"))</f>
        <v/>
      </c>
      <c r="F875" s="6" t="n"/>
      <c r="G875" s="6">
        <f>IF($D875="","",IFERROR(XLOOKUP($D875,Items!$A:$A,Items!$D:$D),0))</f>
        <v/>
      </c>
      <c r="H875" s="6">
        <f>IF($C875="Issue",IFERROR($F875*$G875,0),0)</f>
        <v/>
      </c>
      <c r="I875" s="6" t="n"/>
      <c r="J875" s="5" t="n"/>
      <c r="K875" s="4" t="n"/>
    </row>
    <row r="876" ht="20" customHeight="1">
      <c r="A876" s="3" t="n"/>
      <c r="B876" s="4" t="n"/>
      <c r="C876" s="5" t="n"/>
      <c r="D876" s="5" t="n"/>
      <c r="E876" s="4">
        <f>IF($D876="","",IFERROR(XLOOKUP($D876,Items!$A:$A,Items!$B:$B),"ERR"))</f>
        <v/>
      </c>
      <c r="F876" s="6" t="n"/>
      <c r="G876" s="6">
        <f>IF($D876="","",IFERROR(XLOOKUP($D876,Items!$A:$A,Items!$D:$D),0))</f>
        <v/>
      </c>
      <c r="H876" s="6">
        <f>IF($C876="Issue",IFERROR($F876*$G876,0),0)</f>
        <v/>
      </c>
      <c r="I876" s="6" t="n"/>
      <c r="J876" s="5" t="n"/>
      <c r="K876" s="4" t="n"/>
    </row>
    <row r="877" ht="20" customHeight="1">
      <c r="A877" s="3" t="n"/>
      <c r="B877" s="4" t="n"/>
      <c r="C877" s="5" t="n"/>
      <c r="D877" s="5" t="n"/>
      <c r="E877" s="4">
        <f>IF($D877="","",IFERROR(XLOOKUP($D877,Items!$A:$A,Items!$B:$B),"ERR"))</f>
        <v/>
      </c>
      <c r="F877" s="6" t="n"/>
      <c r="G877" s="6">
        <f>IF($D877="","",IFERROR(XLOOKUP($D877,Items!$A:$A,Items!$D:$D),0))</f>
        <v/>
      </c>
      <c r="H877" s="6">
        <f>IF($C877="Issue",IFERROR($F877*$G877,0),0)</f>
        <v/>
      </c>
      <c r="I877" s="6" t="n"/>
      <c r="J877" s="5" t="n"/>
      <c r="K877" s="4" t="n"/>
    </row>
    <row r="878" ht="20" customHeight="1">
      <c r="A878" s="3" t="n"/>
      <c r="B878" s="4" t="n"/>
      <c r="C878" s="5" t="n"/>
      <c r="D878" s="5" t="n"/>
      <c r="E878" s="4">
        <f>IF($D878="","",IFERROR(XLOOKUP($D878,Items!$A:$A,Items!$B:$B),"ERR"))</f>
        <v/>
      </c>
      <c r="F878" s="6" t="n"/>
      <c r="G878" s="6">
        <f>IF($D878="","",IFERROR(XLOOKUP($D878,Items!$A:$A,Items!$D:$D),0))</f>
        <v/>
      </c>
      <c r="H878" s="6">
        <f>IF($C878="Issue",IFERROR($F878*$G878,0),0)</f>
        <v/>
      </c>
      <c r="I878" s="6" t="n"/>
      <c r="J878" s="5" t="n"/>
      <c r="K878" s="4" t="n"/>
    </row>
    <row r="879" ht="20" customHeight="1">
      <c r="A879" s="3" t="n"/>
      <c r="B879" s="4" t="n"/>
      <c r="C879" s="5" t="n"/>
      <c r="D879" s="5" t="n"/>
      <c r="E879" s="4">
        <f>IF($D879="","",IFERROR(XLOOKUP($D879,Items!$A:$A,Items!$B:$B),"ERR"))</f>
        <v/>
      </c>
      <c r="F879" s="6" t="n"/>
      <c r="G879" s="6">
        <f>IF($D879="","",IFERROR(XLOOKUP($D879,Items!$A:$A,Items!$D:$D),0))</f>
        <v/>
      </c>
      <c r="H879" s="6">
        <f>IF($C879="Issue",IFERROR($F879*$G879,0),0)</f>
        <v/>
      </c>
      <c r="I879" s="6" t="n"/>
      <c r="J879" s="5" t="n"/>
      <c r="K879" s="4" t="n"/>
    </row>
    <row r="880" ht="20" customHeight="1">
      <c r="A880" s="3" t="n"/>
      <c r="B880" s="4" t="n"/>
      <c r="C880" s="5" t="n"/>
      <c r="D880" s="5" t="n"/>
      <c r="E880" s="4">
        <f>IF($D880="","",IFERROR(XLOOKUP($D880,Items!$A:$A,Items!$B:$B),"ERR"))</f>
        <v/>
      </c>
      <c r="F880" s="6" t="n"/>
      <c r="G880" s="6">
        <f>IF($D880="","",IFERROR(XLOOKUP($D880,Items!$A:$A,Items!$D:$D),0))</f>
        <v/>
      </c>
      <c r="H880" s="6">
        <f>IF($C880="Issue",IFERROR($F880*$G880,0),0)</f>
        <v/>
      </c>
      <c r="I880" s="6" t="n"/>
      <c r="J880" s="5" t="n"/>
      <c r="K880" s="4" t="n"/>
    </row>
    <row r="881" ht="20" customHeight="1">
      <c r="A881" s="3" t="n"/>
      <c r="B881" s="4" t="n"/>
      <c r="C881" s="5" t="n"/>
      <c r="D881" s="5" t="n"/>
      <c r="E881" s="4">
        <f>IF($D881="","",IFERROR(XLOOKUP($D881,Items!$A:$A,Items!$B:$B),"ERR"))</f>
        <v/>
      </c>
      <c r="F881" s="6" t="n"/>
      <c r="G881" s="6">
        <f>IF($D881="","",IFERROR(XLOOKUP($D881,Items!$A:$A,Items!$D:$D),0))</f>
        <v/>
      </c>
      <c r="H881" s="6">
        <f>IF($C881="Issue",IFERROR($F881*$G881,0),0)</f>
        <v/>
      </c>
      <c r="I881" s="6" t="n"/>
      <c r="J881" s="5" t="n"/>
      <c r="K881" s="4" t="n"/>
    </row>
    <row r="882" ht="20" customHeight="1">
      <c r="A882" s="3" t="n"/>
      <c r="B882" s="4" t="n"/>
      <c r="C882" s="5" t="n"/>
      <c r="D882" s="5" t="n"/>
      <c r="E882" s="4">
        <f>IF($D882="","",IFERROR(XLOOKUP($D882,Items!$A:$A,Items!$B:$B),"ERR"))</f>
        <v/>
      </c>
      <c r="F882" s="6" t="n"/>
      <c r="G882" s="6">
        <f>IF($D882="","",IFERROR(XLOOKUP($D882,Items!$A:$A,Items!$D:$D),0))</f>
        <v/>
      </c>
      <c r="H882" s="6">
        <f>IF($C882="Issue",IFERROR($F882*$G882,0),0)</f>
        <v/>
      </c>
      <c r="I882" s="6" t="n"/>
      <c r="J882" s="5" t="n"/>
      <c r="K882" s="4" t="n"/>
    </row>
    <row r="883" ht="20" customHeight="1">
      <c r="A883" s="3" t="n"/>
      <c r="B883" s="4" t="n"/>
      <c r="C883" s="5" t="n"/>
      <c r="D883" s="5" t="n"/>
      <c r="E883" s="4">
        <f>IF($D883="","",IFERROR(XLOOKUP($D883,Items!$A:$A,Items!$B:$B),"ERR"))</f>
        <v/>
      </c>
      <c r="F883" s="6" t="n"/>
      <c r="G883" s="6">
        <f>IF($D883="","",IFERROR(XLOOKUP($D883,Items!$A:$A,Items!$D:$D),0))</f>
        <v/>
      </c>
      <c r="H883" s="6">
        <f>IF($C883="Issue",IFERROR($F883*$G883,0),0)</f>
        <v/>
      </c>
      <c r="I883" s="6" t="n"/>
      <c r="J883" s="5" t="n"/>
      <c r="K883" s="4" t="n"/>
    </row>
    <row r="884" ht="20" customHeight="1">
      <c r="A884" s="3" t="n"/>
      <c r="B884" s="4" t="n"/>
      <c r="C884" s="5" t="n"/>
      <c r="D884" s="5" t="n"/>
      <c r="E884" s="4">
        <f>IF($D884="","",IFERROR(XLOOKUP($D884,Items!$A:$A,Items!$B:$B),"ERR"))</f>
        <v/>
      </c>
      <c r="F884" s="6" t="n"/>
      <c r="G884" s="6">
        <f>IF($D884="","",IFERROR(XLOOKUP($D884,Items!$A:$A,Items!$D:$D),0))</f>
        <v/>
      </c>
      <c r="H884" s="6">
        <f>IF($C884="Issue",IFERROR($F884*$G884,0),0)</f>
        <v/>
      </c>
      <c r="I884" s="6" t="n"/>
      <c r="J884" s="5" t="n"/>
      <c r="K884" s="4" t="n"/>
    </row>
    <row r="885" ht="20" customHeight="1">
      <c r="A885" s="3" t="n"/>
      <c r="B885" s="4" t="n"/>
      <c r="C885" s="5" t="n"/>
      <c r="D885" s="5" t="n"/>
      <c r="E885" s="4">
        <f>IF($D885="","",IFERROR(XLOOKUP($D885,Items!$A:$A,Items!$B:$B),"ERR"))</f>
        <v/>
      </c>
      <c r="F885" s="6" t="n"/>
      <c r="G885" s="6">
        <f>IF($D885="","",IFERROR(XLOOKUP($D885,Items!$A:$A,Items!$D:$D),0))</f>
        <v/>
      </c>
      <c r="H885" s="6">
        <f>IF($C885="Issue",IFERROR($F885*$G885,0),0)</f>
        <v/>
      </c>
      <c r="I885" s="6" t="n"/>
      <c r="J885" s="5" t="n"/>
      <c r="K885" s="4" t="n"/>
    </row>
    <row r="886" ht="20" customHeight="1">
      <c r="A886" s="3" t="n"/>
      <c r="B886" s="4" t="n"/>
      <c r="C886" s="5" t="n"/>
      <c r="D886" s="5" t="n"/>
      <c r="E886" s="4">
        <f>IF($D886="","",IFERROR(XLOOKUP($D886,Items!$A:$A,Items!$B:$B),"ERR"))</f>
        <v/>
      </c>
      <c r="F886" s="6" t="n"/>
      <c r="G886" s="6">
        <f>IF($D886="","",IFERROR(XLOOKUP($D886,Items!$A:$A,Items!$D:$D),0))</f>
        <v/>
      </c>
      <c r="H886" s="6">
        <f>IF($C886="Issue",IFERROR($F886*$G886,0),0)</f>
        <v/>
      </c>
      <c r="I886" s="6" t="n"/>
      <c r="J886" s="5" t="n"/>
      <c r="K886" s="4" t="n"/>
    </row>
    <row r="887" ht="20" customHeight="1">
      <c r="A887" s="3" t="n"/>
      <c r="B887" s="4" t="n"/>
      <c r="C887" s="5" t="n"/>
      <c r="D887" s="5" t="n"/>
      <c r="E887" s="4">
        <f>IF($D887="","",IFERROR(XLOOKUP($D887,Items!$A:$A,Items!$B:$B),"ERR"))</f>
        <v/>
      </c>
      <c r="F887" s="6" t="n"/>
      <c r="G887" s="6">
        <f>IF($D887="","",IFERROR(XLOOKUP($D887,Items!$A:$A,Items!$D:$D),0))</f>
        <v/>
      </c>
      <c r="H887" s="6">
        <f>IF($C887="Issue",IFERROR($F887*$G887,0),0)</f>
        <v/>
      </c>
      <c r="I887" s="6" t="n"/>
      <c r="J887" s="5" t="n"/>
      <c r="K887" s="4" t="n"/>
    </row>
    <row r="888" ht="20" customHeight="1">
      <c r="A888" s="3" t="n"/>
      <c r="B888" s="4" t="n"/>
      <c r="C888" s="5" t="n"/>
      <c r="D888" s="5" t="n"/>
      <c r="E888" s="4">
        <f>IF($D888="","",IFERROR(XLOOKUP($D888,Items!$A:$A,Items!$B:$B),"ERR"))</f>
        <v/>
      </c>
      <c r="F888" s="6" t="n"/>
      <c r="G888" s="6">
        <f>IF($D888="","",IFERROR(XLOOKUP($D888,Items!$A:$A,Items!$D:$D),0))</f>
        <v/>
      </c>
      <c r="H888" s="6">
        <f>IF($C888="Issue",IFERROR($F888*$G888,0),0)</f>
        <v/>
      </c>
      <c r="I888" s="6" t="n"/>
      <c r="J888" s="5" t="n"/>
      <c r="K888" s="4" t="n"/>
    </row>
    <row r="889" ht="20" customHeight="1">
      <c r="A889" s="3" t="n"/>
      <c r="B889" s="4" t="n"/>
      <c r="C889" s="5" t="n"/>
      <c r="D889" s="5" t="n"/>
      <c r="E889" s="4">
        <f>IF($D889="","",IFERROR(XLOOKUP($D889,Items!$A:$A,Items!$B:$B),"ERR"))</f>
        <v/>
      </c>
      <c r="F889" s="6" t="n"/>
      <c r="G889" s="6">
        <f>IF($D889="","",IFERROR(XLOOKUP($D889,Items!$A:$A,Items!$D:$D),0))</f>
        <v/>
      </c>
      <c r="H889" s="6">
        <f>IF($C889="Issue",IFERROR($F889*$G889,0),0)</f>
        <v/>
      </c>
      <c r="I889" s="6" t="n"/>
      <c r="J889" s="5" t="n"/>
      <c r="K889" s="4" t="n"/>
    </row>
    <row r="890" ht="20" customHeight="1">
      <c r="A890" s="3" t="n"/>
      <c r="B890" s="4" t="n"/>
      <c r="C890" s="5" t="n"/>
      <c r="D890" s="5" t="n"/>
      <c r="E890" s="4">
        <f>IF($D890="","",IFERROR(XLOOKUP($D890,Items!$A:$A,Items!$B:$B),"ERR"))</f>
        <v/>
      </c>
      <c r="F890" s="6" t="n"/>
      <c r="G890" s="6">
        <f>IF($D890="","",IFERROR(XLOOKUP($D890,Items!$A:$A,Items!$D:$D),0))</f>
        <v/>
      </c>
      <c r="H890" s="6">
        <f>IF($C890="Issue",IFERROR($F890*$G890,0),0)</f>
        <v/>
      </c>
      <c r="I890" s="6" t="n"/>
      <c r="J890" s="5" t="n"/>
      <c r="K890" s="4" t="n"/>
    </row>
    <row r="891" ht="20" customHeight="1">
      <c r="A891" s="3" t="n"/>
      <c r="B891" s="4" t="n"/>
      <c r="C891" s="5" t="n"/>
      <c r="D891" s="5" t="n"/>
      <c r="E891" s="4">
        <f>IF($D891="","",IFERROR(XLOOKUP($D891,Items!$A:$A,Items!$B:$B),"ERR"))</f>
        <v/>
      </c>
      <c r="F891" s="6" t="n"/>
      <c r="G891" s="6">
        <f>IF($D891="","",IFERROR(XLOOKUP($D891,Items!$A:$A,Items!$D:$D),0))</f>
        <v/>
      </c>
      <c r="H891" s="6">
        <f>IF($C891="Issue",IFERROR($F891*$G891,0),0)</f>
        <v/>
      </c>
      <c r="I891" s="6" t="n"/>
      <c r="J891" s="5" t="n"/>
      <c r="K891" s="4" t="n"/>
    </row>
    <row r="892" ht="20" customHeight="1">
      <c r="A892" s="3" t="n"/>
      <c r="B892" s="4" t="n"/>
      <c r="C892" s="5" t="n"/>
      <c r="D892" s="5" t="n"/>
      <c r="E892" s="4">
        <f>IF($D892="","",IFERROR(XLOOKUP($D892,Items!$A:$A,Items!$B:$B),"ERR"))</f>
        <v/>
      </c>
      <c r="F892" s="6" t="n"/>
      <c r="G892" s="6">
        <f>IF($D892="","",IFERROR(XLOOKUP($D892,Items!$A:$A,Items!$D:$D),0))</f>
        <v/>
      </c>
      <c r="H892" s="6">
        <f>IF($C892="Issue",IFERROR($F892*$G892,0),0)</f>
        <v/>
      </c>
      <c r="I892" s="6" t="n"/>
      <c r="J892" s="5" t="n"/>
      <c r="K892" s="4" t="n"/>
    </row>
    <row r="893" ht="20" customHeight="1">
      <c r="A893" s="3" t="n"/>
      <c r="B893" s="4" t="n"/>
      <c r="C893" s="5" t="n"/>
      <c r="D893" s="5" t="n"/>
      <c r="E893" s="4">
        <f>IF($D893="","",IFERROR(XLOOKUP($D893,Items!$A:$A,Items!$B:$B),"ERR"))</f>
        <v/>
      </c>
      <c r="F893" s="6" t="n"/>
      <c r="G893" s="6">
        <f>IF($D893="","",IFERROR(XLOOKUP($D893,Items!$A:$A,Items!$D:$D),0))</f>
        <v/>
      </c>
      <c r="H893" s="6">
        <f>IF($C893="Issue",IFERROR($F893*$G893,0),0)</f>
        <v/>
      </c>
      <c r="I893" s="6" t="n"/>
      <c r="J893" s="5" t="n"/>
      <c r="K893" s="4" t="n"/>
    </row>
    <row r="894" ht="20" customHeight="1">
      <c r="A894" s="3" t="n"/>
      <c r="B894" s="4" t="n"/>
      <c r="C894" s="5" t="n"/>
      <c r="D894" s="5" t="n"/>
      <c r="E894" s="4">
        <f>IF($D894="","",IFERROR(XLOOKUP($D894,Items!$A:$A,Items!$B:$B),"ERR"))</f>
        <v/>
      </c>
      <c r="F894" s="6" t="n"/>
      <c r="G894" s="6">
        <f>IF($D894="","",IFERROR(XLOOKUP($D894,Items!$A:$A,Items!$D:$D),0))</f>
        <v/>
      </c>
      <c r="H894" s="6">
        <f>IF($C894="Issue",IFERROR($F894*$G894,0),0)</f>
        <v/>
      </c>
      <c r="I894" s="6" t="n"/>
      <c r="J894" s="5" t="n"/>
      <c r="K894" s="4" t="n"/>
    </row>
    <row r="895" ht="20" customHeight="1">
      <c r="A895" s="3" t="n"/>
      <c r="B895" s="4" t="n"/>
      <c r="C895" s="5" t="n"/>
      <c r="D895" s="5" t="n"/>
      <c r="E895" s="4">
        <f>IF($D895="","",IFERROR(XLOOKUP($D895,Items!$A:$A,Items!$B:$B),"ERR"))</f>
        <v/>
      </c>
      <c r="F895" s="6" t="n"/>
      <c r="G895" s="6">
        <f>IF($D895="","",IFERROR(XLOOKUP($D895,Items!$A:$A,Items!$D:$D),0))</f>
        <v/>
      </c>
      <c r="H895" s="6">
        <f>IF($C895="Issue",IFERROR($F895*$G895,0),0)</f>
        <v/>
      </c>
      <c r="I895" s="6" t="n"/>
      <c r="J895" s="5" t="n"/>
      <c r="K895" s="4" t="n"/>
    </row>
    <row r="896" ht="20" customHeight="1">
      <c r="A896" s="3" t="n"/>
      <c r="B896" s="4" t="n"/>
      <c r="C896" s="5" t="n"/>
      <c r="D896" s="5" t="n"/>
      <c r="E896" s="4">
        <f>IF($D896="","",IFERROR(XLOOKUP($D896,Items!$A:$A,Items!$B:$B),"ERR"))</f>
        <v/>
      </c>
      <c r="F896" s="6" t="n"/>
      <c r="G896" s="6">
        <f>IF($D896="","",IFERROR(XLOOKUP($D896,Items!$A:$A,Items!$D:$D),0))</f>
        <v/>
      </c>
      <c r="H896" s="6">
        <f>IF($C896="Issue",IFERROR($F896*$G896,0),0)</f>
        <v/>
      </c>
      <c r="I896" s="6" t="n"/>
      <c r="J896" s="5" t="n"/>
      <c r="K896" s="4" t="n"/>
    </row>
    <row r="897" ht="20" customHeight="1">
      <c r="A897" s="3" t="n"/>
      <c r="B897" s="4" t="n"/>
      <c r="C897" s="5" t="n"/>
      <c r="D897" s="5" t="n"/>
      <c r="E897" s="4">
        <f>IF($D897="","",IFERROR(XLOOKUP($D897,Items!$A:$A,Items!$B:$B),"ERR"))</f>
        <v/>
      </c>
      <c r="F897" s="6" t="n"/>
      <c r="G897" s="6">
        <f>IF($D897="","",IFERROR(XLOOKUP($D897,Items!$A:$A,Items!$D:$D),0))</f>
        <v/>
      </c>
      <c r="H897" s="6">
        <f>IF($C897="Issue",IFERROR($F897*$G897,0),0)</f>
        <v/>
      </c>
      <c r="I897" s="6" t="n"/>
      <c r="J897" s="5" t="n"/>
      <c r="K897" s="4" t="n"/>
    </row>
    <row r="898" ht="20" customHeight="1">
      <c r="A898" s="3" t="n"/>
      <c r="B898" s="4" t="n"/>
      <c r="C898" s="5" t="n"/>
      <c r="D898" s="5" t="n"/>
      <c r="E898" s="4">
        <f>IF($D898="","",IFERROR(XLOOKUP($D898,Items!$A:$A,Items!$B:$B),"ERR"))</f>
        <v/>
      </c>
      <c r="F898" s="6" t="n"/>
      <c r="G898" s="6">
        <f>IF($D898="","",IFERROR(XLOOKUP($D898,Items!$A:$A,Items!$D:$D),0))</f>
        <v/>
      </c>
      <c r="H898" s="6">
        <f>IF($C898="Issue",IFERROR($F898*$G898,0),0)</f>
        <v/>
      </c>
      <c r="I898" s="6" t="n"/>
      <c r="J898" s="5" t="n"/>
      <c r="K898" s="4" t="n"/>
    </row>
    <row r="899" ht="20" customHeight="1">
      <c r="A899" s="3" t="n"/>
      <c r="B899" s="4" t="n"/>
      <c r="C899" s="5" t="n"/>
      <c r="D899" s="5" t="n"/>
      <c r="E899" s="4">
        <f>IF($D899="","",IFERROR(XLOOKUP($D899,Items!$A:$A,Items!$B:$B),"ERR"))</f>
        <v/>
      </c>
      <c r="F899" s="6" t="n"/>
      <c r="G899" s="6">
        <f>IF($D899="","",IFERROR(XLOOKUP($D899,Items!$A:$A,Items!$D:$D),0))</f>
        <v/>
      </c>
      <c r="H899" s="6">
        <f>IF($C899="Issue",IFERROR($F899*$G899,0),0)</f>
        <v/>
      </c>
      <c r="I899" s="6" t="n"/>
      <c r="J899" s="5" t="n"/>
      <c r="K899" s="4" t="n"/>
    </row>
    <row r="900" ht="20" customHeight="1">
      <c r="A900" s="3" t="n"/>
      <c r="B900" s="4" t="n"/>
      <c r="C900" s="5" t="n"/>
      <c r="D900" s="5" t="n"/>
      <c r="E900" s="4">
        <f>IF($D900="","",IFERROR(XLOOKUP($D900,Items!$A:$A,Items!$B:$B),"ERR"))</f>
        <v/>
      </c>
      <c r="F900" s="6" t="n"/>
      <c r="G900" s="6">
        <f>IF($D900="","",IFERROR(XLOOKUP($D900,Items!$A:$A,Items!$D:$D),0))</f>
        <v/>
      </c>
      <c r="H900" s="6">
        <f>IF($C900="Issue",IFERROR($F900*$G900,0),0)</f>
        <v/>
      </c>
      <c r="I900" s="6" t="n"/>
      <c r="J900" s="5" t="n"/>
      <c r="K900" s="4" t="n"/>
    </row>
    <row r="901" ht="20" customHeight="1">
      <c r="A901" s="3" t="n"/>
      <c r="B901" s="4" t="n"/>
      <c r="C901" s="5" t="n"/>
      <c r="D901" s="5" t="n"/>
      <c r="E901" s="4">
        <f>IF($D901="","",IFERROR(XLOOKUP($D901,Items!$A:$A,Items!$B:$B),"ERR"))</f>
        <v/>
      </c>
      <c r="F901" s="6" t="n"/>
      <c r="G901" s="6">
        <f>IF($D901="","",IFERROR(XLOOKUP($D901,Items!$A:$A,Items!$D:$D),0))</f>
        <v/>
      </c>
      <c r="H901" s="6">
        <f>IF($C901="Issue",IFERROR($F901*$G901,0),0)</f>
        <v/>
      </c>
      <c r="I901" s="6" t="n"/>
      <c r="J901" s="5" t="n"/>
      <c r="K901" s="4" t="n"/>
    </row>
    <row r="902" ht="20" customHeight="1">
      <c r="A902" s="3" t="n"/>
      <c r="B902" s="4" t="n"/>
      <c r="C902" s="5" t="n"/>
      <c r="D902" s="5" t="n"/>
      <c r="E902" s="4">
        <f>IF($D902="","",IFERROR(XLOOKUP($D902,Items!$A:$A,Items!$B:$B),"ERR"))</f>
        <v/>
      </c>
      <c r="F902" s="6" t="n"/>
      <c r="G902" s="6">
        <f>IF($D902="","",IFERROR(XLOOKUP($D902,Items!$A:$A,Items!$D:$D),0))</f>
        <v/>
      </c>
      <c r="H902" s="6">
        <f>IF($C902="Issue",IFERROR($F902*$G902,0),0)</f>
        <v/>
      </c>
      <c r="I902" s="6" t="n"/>
      <c r="J902" s="5" t="n"/>
      <c r="K902" s="4" t="n"/>
    </row>
    <row r="903" ht="20" customHeight="1">
      <c r="A903" s="3" t="n"/>
      <c r="B903" s="4" t="n"/>
      <c r="C903" s="5" t="n"/>
      <c r="D903" s="5" t="n"/>
      <c r="E903" s="4">
        <f>IF($D903="","",IFERROR(XLOOKUP($D903,Items!$A:$A,Items!$B:$B),"ERR"))</f>
        <v/>
      </c>
      <c r="F903" s="6" t="n"/>
      <c r="G903" s="6">
        <f>IF($D903="","",IFERROR(XLOOKUP($D903,Items!$A:$A,Items!$D:$D),0))</f>
        <v/>
      </c>
      <c r="H903" s="6">
        <f>IF($C903="Issue",IFERROR($F903*$G903,0),0)</f>
        <v/>
      </c>
      <c r="I903" s="6" t="n"/>
      <c r="J903" s="5" t="n"/>
      <c r="K903" s="4" t="n"/>
    </row>
    <row r="904" ht="20" customHeight="1">
      <c r="A904" s="3" t="n"/>
      <c r="B904" s="4" t="n"/>
      <c r="C904" s="5" t="n"/>
      <c r="D904" s="5" t="n"/>
      <c r="E904" s="4">
        <f>IF($D904="","",IFERROR(XLOOKUP($D904,Items!$A:$A,Items!$B:$B),"ERR"))</f>
        <v/>
      </c>
      <c r="F904" s="6" t="n"/>
      <c r="G904" s="6">
        <f>IF($D904="","",IFERROR(XLOOKUP($D904,Items!$A:$A,Items!$D:$D),0))</f>
        <v/>
      </c>
      <c r="H904" s="6">
        <f>IF($C904="Issue",IFERROR($F904*$G904,0),0)</f>
        <v/>
      </c>
      <c r="I904" s="6" t="n"/>
      <c r="J904" s="5" t="n"/>
      <c r="K904" s="4" t="n"/>
    </row>
    <row r="905" ht="20" customHeight="1">
      <c r="A905" s="3" t="n"/>
      <c r="B905" s="4" t="n"/>
      <c r="C905" s="5" t="n"/>
      <c r="D905" s="5" t="n"/>
      <c r="E905" s="4">
        <f>IF($D905="","",IFERROR(XLOOKUP($D905,Items!$A:$A,Items!$B:$B),"ERR"))</f>
        <v/>
      </c>
      <c r="F905" s="6" t="n"/>
      <c r="G905" s="6">
        <f>IF($D905="","",IFERROR(XLOOKUP($D905,Items!$A:$A,Items!$D:$D),0))</f>
        <v/>
      </c>
      <c r="H905" s="6">
        <f>IF($C905="Issue",IFERROR($F905*$G905,0),0)</f>
        <v/>
      </c>
      <c r="I905" s="6" t="n"/>
      <c r="J905" s="5" t="n"/>
      <c r="K905" s="4" t="n"/>
    </row>
    <row r="906" ht="20" customHeight="1">
      <c r="A906" s="3" t="n"/>
      <c r="B906" s="4" t="n"/>
      <c r="C906" s="5" t="n"/>
      <c r="D906" s="5" t="n"/>
      <c r="E906" s="4">
        <f>IF($D906="","",IFERROR(XLOOKUP($D906,Items!$A:$A,Items!$B:$B),"ERR"))</f>
        <v/>
      </c>
      <c r="F906" s="6" t="n"/>
      <c r="G906" s="6">
        <f>IF($D906="","",IFERROR(XLOOKUP($D906,Items!$A:$A,Items!$D:$D),0))</f>
        <v/>
      </c>
      <c r="H906" s="6">
        <f>IF($C906="Issue",IFERROR($F906*$G906,0),0)</f>
        <v/>
      </c>
      <c r="I906" s="6" t="n"/>
      <c r="J906" s="5" t="n"/>
      <c r="K906" s="4" t="n"/>
    </row>
    <row r="907" ht="20" customHeight="1">
      <c r="A907" s="3" t="n"/>
      <c r="B907" s="4" t="n"/>
      <c r="C907" s="5" t="n"/>
      <c r="D907" s="5" t="n"/>
      <c r="E907" s="4">
        <f>IF($D907="","",IFERROR(XLOOKUP($D907,Items!$A:$A,Items!$B:$B),"ERR"))</f>
        <v/>
      </c>
      <c r="F907" s="6" t="n"/>
      <c r="G907" s="6">
        <f>IF($D907="","",IFERROR(XLOOKUP($D907,Items!$A:$A,Items!$D:$D),0))</f>
        <v/>
      </c>
      <c r="H907" s="6">
        <f>IF($C907="Issue",IFERROR($F907*$G907,0),0)</f>
        <v/>
      </c>
      <c r="I907" s="6" t="n"/>
      <c r="J907" s="5" t="n"/>
      <c r="K907" s="4" t="n"/>
    </row>
    <row r="908" ht="20" customHeight="1">
      <c r="A908" s="3" t="n"/>
      <c r="B908" s="4" t="n"/>
      <c r="C908" s="5" t="n"/>
      <c r="D908" s="5" t="n"/>
      <c r="E908" s="4">
        <f>IF($D908="","",IFERROR(XLOOKUP($D908,Items!$A:$A,Items!$B:$B),"ERR"))</f>
        <v/>
      </c>
      <c r="F908" s="6" t="n"/>
      <c r="G908" s="6">
        <f>IF($D908="","",IFERROR(XLOOKUP($D908,Items!$A:$A,Items!$D:$D),0))</f>
        <v/>
      </c>
      <c r="H908" s="6">
        <f>IF($C908="Issue",IFERROR($F908*$G908,0),0)</f>
        <v/>
      </c>
      <c r="I908" s="6" t="n"/>
      <c r="J908" s="5" t="n"/>
      <c r="K908" s="4" t="n"/>
    </row>
    <row r="909" ht="20" customHeight="1">
      <c r="A909" s="3" t="n"/>
      <c r="B909" s="4" t="n"/>
      <c r="C909" s="5" t="n"/>
      <c r="D909" s="5" t="n"/>
      <c r="E909" s="4">
        <f>IF($D909="","",IFERROR(XLOOKUP($D909,Items!$A:$A,Items!$B:$B),"ERR"))</f>
        <v/>
      </c>
      <c r="F909" s="6" t="n"/>
      <c r="G909" s="6">
        <f>IF($D909="","",IFERROR(XLOOKUP($D909,Items!$A:$A,Items!$D:$D),0))</f>
        <v/>
      </c>
      <c r="H909" s="6">
        <f>IF($C909="Issue",IFERROR($F909*$G909,0),0)</f>
        <v/>
      </c>
      <c r="I909" s="6" t="n"/>
      <c r="J909" s="5" t="n"/>
      <c r="K909" s="4" t="n"/>
    </row>
    <row r="910" ht="20" customHeight="1">
      <c r="A910" s="3" t="n"/>
      <c r="B910" s="4" t="n"/>
      <c r="C910" s="5" t="n"/>
      <c r="D910" s="5" t="n"/>
      <c r="E910" s="4">
        <f>IF($D910="","",IFERROR(XLOOKUP($D910,Items!$A:$A,Items!$B:$B),"ERR"))</f>
        <v/>
      </c>
      <c r="F910" s="6" t="n"/>
      <c r="G910" s="6">
        <f>IF($D910="","",IFERROR(XLOOKUP($D910,Items!$A:$A,Items!$D:$D),0))</f>
        <v/>
      </c>
      <c r="H910" s="6">
        <f>IF($C910="Issue",IFERROR($F910*$G910,0),0)</f>
        <v/>
      </c>
      <c r="I910" s="6" t="n"/>
      <c r="J910" s="5" t="n"/>
      <c r="K910" s="4" t="n"/>
    </row>
    <row r="911" ht="20" customHeight="1">
      <c r="A911" s="3" t="n"/>
      <c r="B911" s="4" t="n"/>
      <c r="C911" s="5" t="n"/>
      <c r="D911" s="5" t="n"/>
      <c r="E911" s="4">
        <f>IF($D911="","",IFERROR(XLOOKUP($D911,Items!$A:$A,Items!$B:$B),"ERR"))</f>
        <v/>
      </c>
      <c r="F911" s="6" t="n"/>
      <c r="G911" s="6">
        <f>IF($D911="","",IFERROR(XLOOKUP($D911,Items!$A:$A,Items!$D:$D),0))</f>
        <v/>
      </c>
      <c r="H911" s="6">
        <f>IF($C911="Issue",IFERROR($F911*$G911,0),0)</f>
        <v/>
      </c>
      <c r="I911" s="6" t="n"/>
      <c r="J911" s="5" t="n"/>
      <c r="K911" s="4" t="n"/>
    </row>
    <row r="912" ht="20" customHeight="1">
      <c r="A912" s="3" t="n"/>
      <c r="B912" s="4" t="n"/>
      <c r="C912" s="5" t="n"/>
      <c r="D912" s="5" t="n"/>
      <c r="E912" s="4">
        <f>IF($D912="","",IFERROR(XLOOKUP($D912,Items!$A:$A,Items!$B:$B),"ERR"))</f>
        <v/>
      </c>
      <c r="F912" s="6" t="n"/>
      <c r="G912" s="6">
        <f>IF($D912="","",IFERROR(XLOOKUP($D912,Items!$A:$A,Items!$D:$D),0))</f>
        <v/>
      </c>
      <c r="H912" s="6">
        <f>IF($C912="Issue",IFERROR($F912*$G912,0),0)</f>
        <v/>
      </c>
      <c r="I912" s="6" t="n"/>
      <c r="J912" s="5" t="n"/>
      <c r="K912" s="4" t="n"/>
    </row>
    <row r="913" ht="20" customHeight="1">
      <c r="A913" s="3" t="n"/>
      <c r="B913" s="4" t="n"/>
      <c r="C913" s="5" t="n"/>
      <c r="D913" s="5" t="n"/>
      <c r="E913" s="4">
        <f>IF($D913="","",IFERROR(XLOOKUP($D913,Items!$A:$A,Items!$B:$B),"ERR"))</f>
        <v/>
      </c>
      <c r="F913" s="6" t="n"/>
      <c r="G913" s="6">
        <f>IF($D913="","",IFERROR(XLOOKUP($D913,Items!$A:$A,Items!$D:$D),0))</f>
        <v/>
      </c>
      <c r="H913" s="6">
        <f>IF($C913="Issue",IFERROR($F913*$G913,0),0)</f>
        <v/>
      </c>
      <c r="I913" s="6" t="n"/>
      <c r="J913" s="5" t="n"/>
      <c r="K913" s="4" t="n"/>
    </row>
    <row r="914" ht="20" customHeight="1">
      <c r="A914" s="3" t="n"/>
      <c r="B914" s="4" t="n"/>
      <c r="C914" s="5" t="n"/>
      <c r="D914" s="5" t="n"/>
      <c r="E914" s="4">
        <f>IF($D914="","",IFERROR(XLOOKUP($D914,Items!$A:$A,Items!$B:$B),"ERR"))</f>
        <v/>
      </c>
      <c r="F914" s="6" t="n"/>
      <c r="G914" s="6">
        <f>IF($D914="","",IFERROR(XLOOKUP($D914,Items!$A:$A,Items!$D:$D),0))</f>
        <v/>
      </c>
      <c r="H914" s="6">
        <f>IF($C914="Issue",IFERROR($F914*$G914,0),0)</f>
        <v/>
      </c>
      <c r="I914" s="6" t="n"/>
      <c r="J914" s="5" t="n"/>
      <c r="K914" s="4" t="n"/>
    </row>
    <row r="915" ht="20" customHeight="1">
      <c r="A915" s="3" t="n"/>
      <c r="B915" s="4" t="n"/>
      <c r="C915" s="5" t="n"/>
      <c r="D915" s="5" t="n"/>
      <c r="E915" s="4">
        <f>IF($D915="","",IFERROR(XLOOKUP($D915,Items!$A:$A,Items!$B:$B),"ERR"))</f>
        <v/>
      </c>
      <c r="F915" s="6" t="n"/>
      <c r="G915" s="6">
        <f>IF($D915="","",IFERROR(XLOOKUP($D915,Items!$A:$A,Items!$D:$D),0))</f>
        <v/>
      </c>
      <c r="H915" s="6">
        <f>IF($C915="Issue",IFERROR($F915*$G915,0),0)</f>
        <v/>
      </c>
      <c r="I915" s="6" t="n"/>
      <c r="J915" s="5" t="n"/>
      <c r="K915" s="4" t="n"/>
    </row>
    <row r="916" ht="20" customHeight="1">
      <c r="A916" s="3" t="n"/>
      <c r="B916" s="4" t="n"/>
      <c r="C916" s="5" t="n"/>
      <c r="D916" s="5" t="n"/>
      <c r="E916" s="4">
        <f>IF($D916="","",IFERROR(XLOOKUP($D916,Items!$A:$A,Items!$B:$B),"ERR"))</f>
        <v/>
      </c>
      <c r="F916" s="6" t="n"/>
      <c r="G916" s="6">
        <f>IF($D916="","",IFERROR(XLOOKUP($D916,Items!$A:$A,Items!$D:$D),0))</f>
        <v/>
      </c>
      <c r="H916" s="6">
        <f>IF($C916="Issue",IFERROR($F916*$G916,0),0)</f>
        <v/>
      </c>
      <c r="I916" s="6" t="n"/>
      <c r="J916" s="5" t="n"/>
      <c r="K916" s="4" t="n"/>
    </row>
    <row r="917" ht="20" customHeight="1">
      <c r="A917" s="3" t="n"/>
      <c r="B917" s="4" t="n"/>
      <c r="C917" s="5" t="n"/>
      <c r="D917" s="5" t="n"/>
      <c r="E917" s="4">
        <f>IF($D917="","",IFERROR(XLOOKUP($D917,Items!$A:$A,Items!$B:$B),"ERR"))</f>
        <v/>
      </c>
      <c r="F917" s="6" t="n"/>
      <c r="G917" s="6">
        <f>IF($D917="","",IFERROR(XLOOKUP($D917,Items!$A:$A,Items!$D:$D),0))</f>
        <v/>
      </c>
      <c r="H917" s="6">
        <f>IF($C917="Issue",IFERROR($F917*$G917,0),0)</f>
        <v/>
      </c>
      <c r="I917" s="6" t="n"/>
      <c r="J917" s="5" t="n"/>
      <c r="K917" s="4" t="n"/>
    </row>
    <row r="918" ht="20" customHeight="1">
      <c r="A918" s="3" t="n"/>
      <c r="B918" s="4" t="n"/>
      <c r="C918" s="5" t="n"/>
      <c r="D918" s="5" t="n"/>
      <c r="E918" s="4">
        <f>IF($D918="","",IFERROR(XLOOKUP($D918,Items!$A:$A,Items!$B:$B),"ERR"))</f>
        <v/>
      </c>
      <c r="F918" s="6" t="n"/>
      <c r="G918" s="6">
        <f>IF($D918="","",IFERROR(XLOOKUP($D918,Items!$A:$A,Items!$D:$D),0))</f>
        <v/>
      </c>
      <c r="H918" s="6">
        <f>IF($C918="Issue",IFERROR($F918*$G918,0),0)</f>
        <v/>
      </c>
      <c r="I918" s="6" t="n"/>
      <c r="J918" s="5" t="n"/>
      <c r="K918" s="4" t="n"/>
    </row>
    <row r="919" ht="20" customHeight="1">
      <c r="A919" s="3" t="n"/>
      <c r="B919" s="4" t="n"/>
      <c r="C919" s="5" t="n"/>
      <c r="D919" s="5" t="n"/>
      <c r="E919" s="4">
        <f>IF($D919="","",IFERROR(XLOOKUP($D919,Items!$A:$A,Items!$B:$B),"ERR"))</f>
        <v/>
      </c>
      <c r="F919" s="6" t="n"/>
      <c r="G919" s="6">
        <f>IF($D919="","",IFERROR(XLOOKUP($D919,Items!$A:$A,Items!$D:$D),0))</f>
        <v/>
      </c>
      <c r="H919" s="6">
        <f>IF($C919="Issue",IFERROR($F919*$G919,0),0)</f>
        <v/>
      </c>
      <c r="I919" s="6" t="n"/>
      <c r="J919" s="5" t="n"/>
      <c r="K919" s="4" t="n"/>
    </row>
    <row r="920" ht="20" customHeight="1">
      <c r="A920" s="3" t="n"/>
      <c r="B920" s="4" t="n"/>
      <c r="C920" s="5" t="n"/>
      <c r="D920" s="5" t="n"/>
      <c r="E920" s="4">
        <f>IF($D920="","",IFERROR(XLOOKUP($D920,Items!$A:$A,Items!$B:$B),"ERR"))</f>
        <v/>
      </c>
      <c r="F920" s="6" t="n"/>
      <c r="G920" s="6">
        <f>IF($D920="","",IFERROR(XLOOKUP($D920,Items!$A:$A,Items!$D:$D),0))</f>
        <v/>
      </c>
      <c r="H920" s="6">
        <f>IF($C920="Issue",IFERROR($F920*$G920,0),0)</f>
        <v/>
      </c>
      <c r="I920" s="6" t="n"/>
      <c r="J920" s="5" t="n"/>
      <c r="K920" s="4" t="n"/>
    </row>
    <row r="921" ht="20" customHeight="1">
      <c r="A921" s="3" t="n"/>
      <c r="B921" s="4" t="n"/>
      <c r="C921" s="5" t="n"/>
      <c r="D921" s="5" t="n"/>
      <c r="E921" s="4">
        <f>IF($D921="","",IFERROR(XLOOKUP($D921,Items!$A:$A,Items!$B:$B),"ERR"))</f>
        <v/>
      </c>
      <c r="F921" s="6" t="n"/>
      <c r="G921" s="6">
        <f>IF($D921="","",IFERROR(XLOOKUP($D921,Items!$A:$A,Items!$D:$D),0))</f>
        <v/>
      </c>
      <c r="H921" s="6">
        <f>IF($C921="Issue",IFERROR($F921*$G921,0),0)</f>
        <v/>
      </c>
      <c r="I921" s="6" t="n"/>
      <c r="J921" s="5" t="n"/>
      <c r="K921" s="4" t="n"/>
    </row>
    <row r="922" ht="20" customHeight="1">
      <c r="A922" s="3" t="n"/>
      <c r="B922" s="4" t="n"/>
      <c r="C922" s="5" t="n"/>
      <c r="D922" s="5" t="n"/>
      <c r="E922" s="4">
        <f>IF($D922="","",IFERROR(XLOOKUP($D922,Items!$A:$A,Items!$B:$B),"ERR"))</f>
        <v/>
      </c>
      <c r="F922" s="6" t="n"/>
      <c r="G922" s="6">
        <f>IF($D922="","",IFERROR(XLOOKUP($D922,Items!$A:$A,Items!$D:$D),0))</f>
        <v/>
      </c>
      <c r="H922" s="6">
        <f>IF($C922="Issue",IFERROR($F922*$G922,0),0)</f>
        <v/>
      </c>
      <c r="I922" s="6" t="n"/>
      <c r="J922" s="5" t="n"/>
      <c r="K922" s="4" t="n"/>
    </row>
    <row r="923" ht="20" customHeight="1">
      <c r="A923" s="3" t="n"/>
      <c r="B923" s="4" t="n"/>
      <c r="C923" s="5" t="n"/>
      <c r="D923" s="5" t="n"/>
      <c r="E923" s="4">
        <f>IF($D923="","",IFERROR(XLOOKUP($D923,Items!$A:$A,Items!$B:$B),"ERR"))</f>
        <v/>
      </c>
      <c r="F923" s="6" t="n"/>
      <c r="G923" s="6">
        <f>IF($D923="","",IFERROR(XLOOKUP($D923,Items!$A:$A,Items!$D:$D),0))</f>
        <v/>
      </c>
      <c r="H923" s="6">
        <f>IF($C923="Issue",IFERROR($F923*$G923,0),0)</f>
        <v/>
      </c>
      <c r="I923" s="6" t="n"/>
      <c r="J923" s="5" t="n"/>
      <c r="K923" s="4" t="n"/>
    </row>
    <row r="924" ht="20" customHeight="1">
      <c r="A924" s="3" t="n"/>
      <c r="B924" s="4" t="n"/>
      <c r="C924" s="5" t="n"/>
      <c r="D924" s="5" t="n"/>
      <c r="E924" s="4">
        <f>IF($D924="","",IFERROR(XLOOKUP($D924,Items!$A:$A,Items!$B:$B),"ERR"))</f>
        <v/>
      </c>
      <c r="F924" s="6" t="n"/>
      <c r="G924" s="6">
        <f>IF($D924="","",IFERROR(XLOOKUP($D924,Items!$A:$A,Items!$D:$D),0))</f>
        <v/>
      </c>
      <c r="H924" s="6">
        <f>IF($C924="Issue",IFERROR($F924*$G924,0),0)</f>
        <v/>
      </c>
      <c r="I924" s="6" t="n"/>
      <c r="J924" s="5" t="n"/>
      <c r="K924" s="4" t="n"/>
    </row>
    <row r="925" ht="20" customHeight="1">
      <c r="A925" s="3" t="n"/>
      <c r="B925" s="4" t="n"/>
      <c r="C925" s="5" t="n"/>
      <c r="D925" s="5" t="n"/>
      <c r="E925" s="4">
        <f>IF($D925="","",IFERROR(XLOOKUP($D925,Items!$A:$A,Items!$B:$B),"ERR"))</f>
        <v/>
      </c>
      <c r="F925" s="6" t="n"/>
      <c r="G925" s="6">
        <f>IF($D925="","",IFERROR(XLOOKUP($D925,Items!$A:$A,Items!$D:$D),0))</f>
        <v/>
      </c>
      <c r="H925" s="6">
        <f>IF($C925="Issue",IFERROR($F925*$G925,0),0)</f>
        <v/>
      </c>
      <c r="I925" s="6" t="n"/>
      <c r="J925" s="5" t="n"/>
      <c r="K925" s="4" t="n"/>
    </row>
    <row r="926" ht="20" customHeight="1">
      <c r="A926" s="3" t="n"/>
      <c r="B926" s="4" t="n"/>
      <c r="C926" s="5" t="n"/>
      <c r="D926" s="5" t="n"/>
      <c r="E926" s="4">
        <f>IF($D926="","",IFERROR(XLOOKUP($D926,Items!$A:$A,Items!$B:$B),"ERR"))</f>
        <v/>
      </c>
      <c r="F926" s="6" t="n"/>
      <c r="G926" s="6">
        <f>IF($D926="","",IFERROR(XLOOKUP($D926,Items!$A:$A,Items!$D:$D),0))</f>
        <v/>
      </c>
      <c r="H926" s="6">
        <f>IF($C926="Issue",IFERROR($F926*$G926,0),0)</f>
        <v/>
      </c>
      <c r="I926" s="6" t="n"/>
      <c r="J926" s="5" t="n"/>
      <c r="K926" s="4" t="n"/>
    </row>
    <row r="927" ht="20" customHeight="1">
      <c r="A927" s="3" t="n"/>
      <c r="B927" s="4" t="n"/>
      <c r="C927" s="5" t="n"/>
      <c r="D927" s="5" t="n"/>
      <c r="E927" s="4">
        <f>IF($D927="","",IFERROR(XLOOKUP($D927,Items!$A:$A,Items!$B:$B),"ERR"))</f>
        <v/>
      </c>
      <c r="F927" s="6" t="n"/>
      <c r="G927" s="6">
        <f>IF($D927="","",IFERROR(XLOOKUP($D927,Items!$A:$A,Items!$D:$D),0))</f>
        <v/>
      </c>
      <c r="H927" s="6">
        <f>IF($C927="Issue",IFERROR($F927*$G927,0),0)</f>
        <v/>
      </c>
      <c r="I927" s="6" t="n"/>
      <c r="J927" s="5" t="n"/>
      <c r="K927" s="4" t="n"/>
    </row>
    <row r="928" ht="20" customHeight="1">
      <c r="A928" s="3" t="n"/>
      <c r="B928" s="4" t="n"/>
      <c r="C928" s="5" t="n"/>
      <c r="D928" s="5" t="n"/>
      <c r="E928" s="4">
        <f>IF($D928="","",IFERROR(XLOOKUP($D928,Items!$A:$A,Items!$B:$B),"ERR"))</f>
        <v/>
      </c>
      <c r="F928" s="6" t="n"/>
      <c r="G928" s="6">
        <f>IF($D928="","",IFERROR(XLOOKUP($D928,Items!$A:$A,Items!$D:$D),0))</f>
        <v/>
      </c>
      <c r="H928" s="6">
        <f>IF($C928="Issue",IFERROR($F928*$G928,0),0)</f>
        <v/>
      </c>
      <c r="I928" s="6" t="n"/>
      <c r="J928" s="5" t="n"/>
      <c r="K928" s="4" t="n"/>
    </row>
    <row r="929" ht="20" customHeight="1">
      <c r="A929" s="3" t="n"/>
      <c r="B929" s="4" t="n"/>
      <c r="C929" s="5" t="n"/>
      <c r="D929" s="5" t="n"/>
      <c r="E929" s="4">
        <f>IF($D929="","",IFERROR(XLOOKUP($D929,Items!$A:$A,Items!$B:$B),"ERR"))</f>
        <v/>
      </c>
      <c r="F929" s="6" t="n"/>
      <c r="G929" s="6">
        <f>IF($D929="","",IFERROR(XLOOKUP($D929,Items!$A:$A,Items!$D:$D),0))</f>
        <v/>
      </c>
      <c r="H929" s="6">
        <f>IF($C929="Issue",IFERROR($F929*$G929,0),0)</f>
        <v/>
      </c>
      <c r="I929" s="6" t="n"/>
      <c r="J929" s="5" t="n"/>
      <c r="K929" s="4" t="n"/>
    </row>
    <row r="930" ht="20" customHeight="1">
      <c r="A930" s="3" t="n"/>
      <c r="B930" s="4" t="n"/>
      <c r="C930" s="5" t="n"/>
      <c r="D930" s="5" t="n"/>
      <c r="E930" s="4">
        <f>IF($D930="","",IFERROR(XLOOKUP($D930,Items!$A:$A,Items!$B:$B),"ERR"))</f>
        <v/>
      </c>
      <c r="F930" s="6" t="n"/>
      <c r="G930" s="6">
        <f>IF($D930="","",IFERROR(XLOOKUP($D930,Items!$A:$A,Items!$D:$D),0))</f>
        <v/>
      </c>
      <c r="H930" s="6">
        <f>IF($C930="Issue",IFERROR($F930*$G930,0),0)</f>
        <v/>
      </c>
      <c r="I930" s="6" t="n"/>
      <c r="J930" s="5" t="n"/>
      <c r="K930" s="4" t="n"/>
    </row>
    <row r="931" ht="20" customHeight="1">
      <c r="A931" s="3" t="n"/>
      <c r="B931" s="4" t="n"/>
      <c r="C931" s="5" t="n"/>
      <c r="D931" s="5" t="n"/>
      <c r="E931" s="4">
        <f>IF($D931="","",IFERROR(XLOOKUP($D931,Items!$A:$A,Items!$B:$B),"ERR"))</f>
        <v/>
      </c>
      <c r="F931" s="6" t="n"/>
      <c r="G931" s="6">
        <f>IF($D931="","",IFERROR(XLOOKUP($D931,Items!$A:$A,Items!$D:$D),0))</f>
        <v/>
      </c>
      <c r="H931" s="6">
        <f>IF($C931="Issue",IFERROR($F931*$G931,0),0)</f>
        <v/>
      </c>
      <c r="I931" s="6" t="n"/>
      <c r="J931" s="5" t="n"/>
      <c r="K931" s="4" t="n"/>
    </row>
    <row r="932" ht="20" customHeight="1">
      <c r="A932" s="3" t="n"/>
      <c r="B932" s="4" t="n"/>
      <c r="C932" s="5" t="n"/>
      <c r="D932" s="5" t="n"/>
      <c r="E932" s="4">
        <f>IF($D932="","",IFERROR(XLOOKUP($D932,Items!$A:$A,Items!$B:$B),"ERR"))</f>
        <v/>
      </c>
      <c r="F932" s="6" t="n"/>
      <c r="G932" s="6">
        <f>IF($D932="","",IFERROR(XLOOKUP($D932,Items!$A:$A,Items!$D:$D),0))</f>
        <v/>
      </c>
      <c r="H932" s="6">
        <f>IF($C932="Issue",IFERROR($F932*$G932,0),0)</f>
        <v/>
      </c>
      <c r="I932" s="6" t="n"/>
      <c r="J932" s="5" t="n"/>
      <c r="K932" s="4" t="n"/>
    </row>
    <row r="933" ht="20" customHeight="1">
      <c r="A933" s="3" t="n"/>
      <c r="B933" s="4" t="n"/>
      <c r="C933" s="5" t="n"/>
      <c r="D933" s="5" t="n"/>
      <c r="E933" s="4">
        <f>IF($D933="","",IFERROR(XLOOKUP($D933,Items!$A:$A,Items!$B:$B),"ERR"))</f>
        <v/>
      </c>
      <c r="F933" s="6" t="n"/>
      <c r="G933" s="6">
        <f>IF($D933="","",IFERROR(XLOOKUP($D933,Items!$A:$A,Items!$D:$D),0))</f>
        <v/>
      </c>
      <c r="H933" s="6">
        <f>IF($C933="Issue",IFERROR($F933*$G933,0),0)</f>
        <v/>
      </c>
      <c r="I933" s="6" t="n"/>
      <c r="J933" s="5" t="n"/>
      <c r="K933" s="4" t="n"/>
    </row>
    <row r="934" ht="20" customHeight="1">
      <c r="A934" s="3" t="n"/>
      <c r="B934" s="4" t="n"/>
      <c r="C934" s="5" t="n"/>
      <c r="D934" s="5" t="n"/>
      <c r="E934" s="4">
        <f>IF($D934="","",IFERROR(XLOOKUP($D934,Items!$A:$A,Items!$B:$B),"ERR"))</f>
        <v/>
      </c>
      <c r="F934" s="6" t="n"/>
      <c r="G934" s="6">
        <f>IF($D934="","",IFERROR(XLOOKUP($D934,Items!$A:$A,Items!$D:$D),0))</f>
        <v/>
      </c>
      <c r="H934" s="6">
        <f>IF($C934="Issue",IFERROR($F934*$G934,0),0)</f>
        <v/>
      </c>
      <c r="I934" s="6" t="n"/>
      <c r="J934" s="5" t="n"/>
      <c r="K934" s="4" t="n"/>
    </row>
    <row r="935" ht="20" customHeight="1">
      <c r="A935" s="3" t="n"/>
      <c r="B935" s="4" t="n"/>
      <c r="C935" s="5" t="n"/>
      <c r="D935" s="5" t="n"/>
      <c r="E935" s="4">
        <f>IF($D935="","",IFERROR(XLOOKUP($D935,Items!$A:$A,Items!$B:$B),"ERR"))</f>
        <v/>
      </c>
      <c r="F935" s="6" t="n"/>
      <c r="G935" s="6">
        <f>IF($D935="","",IFERROR(XLOOKUP($D935,Items!$A:$A,Items!$D:$D),0))</f>
        <v/>
      </c>
      <c r="H935" s="6">
        <f>IF($C935="Issue",IFERROR($F935*$G935,0),0)</f>
        <v/>
      </c>
      <c r="I935" s="6" t="n"/>
      <c r="J935" s="5" t="n"/>
      <c r="K935" s="4" t="n"/>
    </row>
    <row r="936" ht="20" customHeight="1">
      <c r="A936" s="3" t="n"/>
      <c r="B936" s="4" t="n"/>
      <c r="C936" s="5" t="n"/>
      <c r="D936" s="5" t="n"/>
      <c r="E936" s="4">
        <f>IF($D936="","",IFERROR(XLOOKUP($D936,Items!$A:$A,Items!$B:$B),"ERR"))</f>
        <v/>
      </c>
      <c r="F936" s="6" t="n"/>
      <c r="G936" s="6">
        <f>IF($D936="","",IFERROR(XLOOKUP($D936,Items!$A:$A,Items!$D:$D),0))</f>
        <v/>
      </c>
      <c r="H936" s="6">
        <f>IF($C936="Issue",IFERROR($F936*$G936,0),0)</f>
        <v/>
      </c>
      <c r="I936" s="6" t="n"/>
      <c r="J936" s="5" t="n"/>
      <c r="K936" s="4" t="n"/>
    </row>
    <row r="937" ht="20" customHeight="1">
      <c r="A937" s="3" t="n"/>
      <c r="B937" s="4" t="n"/>
      <c r="C937" s="5" t="n"/>
      <c r="D937" s="5" t="n"/>
      <c r="E937" s="4">
        <f>IF($D937="","",IFERROR(XLOOKUP($D937,Items!$A:$A,Items!$B:$B),"ERR"))</f>
        <v/>
      </c>
      <c r="F937" s="6" t="n"/>
      <c r="G937" s="6">
        <f>IF($D937="","",IFERROR(XLOOKUP($D937,Items!$A:$A,Items!$D:$D),0))</f>
        <v/>
      </c>
      <c r="H937" s="6">
        <f>IF($C937="Issue",IFERROR($F937*$G937,0),0)</f>
        <v/>
      </c>
      <c r="I937" s="6" t="n"/>
      <c r="J937" s="5" t="n"/>
      <c r="K937" s="4" t="n"/>
    </row>
    <row r="938" ht="20" customHeight="1">
      <c r="A938" s="3" t="n"/>
      <c r="B938" s="4" t="n"/>
      <c r="C938" s="5" t="n"/>
      <c r="D938" s="5" t="n"/>
      <c r="E938" s="4">
        <f>IF($D938="","",IFERROR(XLOOKUP($D938,Items!$A:$A,Items!$B:$B),"ERR"))</f>
        <v/>
      </c>
      <c r="F938" s="6" t="n"/>
      <c r="G938" s="6">
        <f>IF($D938="","",IFERROR(XLOOKUP($D938,Items!$A:$A,Items!$D:$D),0))</f>
        <v/>
      </c>
      <c r="H938" s="6">
        <f>IF($C938="Issue",IFERROR($F938*$G938,0),0)</f>
        <v/>
      </c>
      <c r="I938" s="6" t="n"/>
      <c r="J938" s="5" t="n"/>
      <c r="K938" s="4" t="n"/>
    </row>
    <row r="939" ht="20" customHeight="1">
      <c r="A939" s="3" t="n"/>
      <c r="B939" s="4" t="n"/>
      <c r="C939" s="5" t="n"/>
      <c r="D939" s="5" t="n"/>
      <c r="E939" s="4">
        <f>IF($D939="","",IFERROR(XLOOKUP($D939,Items!$A:$A,Items!$B:$B),"ERR"))</f>
        <v/>
      </c>
      <c r="F939" s="6" t="n"/>
      <c r="G939" s="6">
        <f>IF($D939="","",IFERROR(XLOOKUP($D939,Items!$A:$A,Items!$D:$D),0))</f>
        <v/>
      </c>
      <c r="H939" s="6">
        <f>IF($C939="Issue",IFERROR($F939*$G939,0),0)</f>
        <v/>
      </c>
      <c r="I939" s="6" t="n"/>
      <c r="J939" s="5" t="n"/>
      <c r="K939" s="4" t="n"/>
    </row>
    <row r="940" ht="20" customHeight="1">
      <c r="A940" s="3" t="n"/>
      <c r="B940" s="4" t="n"/>
      <c r="C940" s="5" t="n"/>
      <c r="D940" s="5" t="n"/>
      <c r="E940" s="4">
        <f>IF($D940="","",IFERROR(XLOOKUP($D940,Items!$A:$A,Items!$B:$B),"ERR"))</f>
        <v/>
      </c>
      <c r="F940" s="6" t="n"/>
      <c r="G940" s="6">
        <f>IF($D940="","",IFERROR(XLOOKUP($D940,Items!$A:$A,Items!$D:$D),0))</f>
        <v/>
      </c>
      <c r="H940" s="6">
        <f>IF($C940="Issue",IFERROR($F940*$G940,0),0)</f>
        <v/>
      </c>
      <c r="I940" s="6" t="n"/>
      <c r="J940" s="5" t="n"/>
      <c r="K940" s="4" t="n"/>
    </row>
    <row r="941" ht="20" customHeight="1">
      <c r="A941" s="3" t="n"/>
      <c r="B941" s="4" t="n"/>
      <c r="C941" s="5" t="n"/>
      <c r="D941" s="5" t="n"/>
      <c r="E941" s="4">
        <f>IF($D941="","",IFERROR(XLOOKUP($D941,Items!$A:$A,Items!$B:$B),"ERR"))</f>
        <v/>
      </c>
      <c r="F941" s="6" t="n"/>
      <c r="G941" s="6">
        <f>IF($D941="","",IFERROR(XLOOKUP($D941,Items!$A:$A,Items!$D:$D),0))</f>
        <v/>
      </c>
      <c r="H941" s="6">
        <f>IF($C941="Issue",IFERROR($F941*$G941,0),0)</f>
        <v/>
      </c>
      <c r="I941" s="6" t="n"/>
      <c r="J941" s="5" t="n"/>
      <c r="K941" s="4" t="n"/>
    </row>
    <row r="942" ht="20" customHeight="1">
      <c r="A942" s="3" t="n"/>
      <c r="B942" s="4" t="n"/>
      <c r="C942" s="5" t="n"/>
      <c r="D942" s="5" t="n"/>
      <c r="E942" s="4">
        <f>IF($D942="","",IFERROR(XLOOKUP($D942,Items!$A:$A,Items!$B:$B),"ERR"))</f>
        <v/>
      </c>
      <c r="F942" s="6" t="n"/>
      <c r="G942" s="6">
        <f>IF($D942="","",IFERROR(XLOOKUP($D942,Items!$A:$A,Items!$D:$D),0))</f>
        <v/>
      </c>
      <c r="H942" s="6">
        <f>IF($C942="Issue",IFERROR($F942*$G942,0),0)</f>
        <v/>
      </c>
      <c r="I942" s="6" t="n"/>
      <c r="J942" s="5" t="n"/>
      <c r="K942" s="4" t="n"/>
    </row>
    <row r="943" ht="20" customHeight="1">
      <c r="A943" s="3" t="n"/>
      <c r="B943" s="4" t="n"/>
      <c r="C943" s="5" t="n"/>
      <c r="D943" s="5" t="n"/>
      <c r="E943" s="4">
        <f>IF($D943="","",IFERROR(XLOOKUP($D943,Items!$A:$A,Items!$B:$B),"ERR"))</f>
        <v/>
      </c>
      <c r="F943" s="6" t="n"/>
      <c r="G943" s="6">
        <f>IF($D943="","",IFERROR(XLOOKUP($D943,Items!$A:$A,Items!$D:$D),0))</f>
        <v/>
      </c>
      <c r="H943" s="6">
        <f>IF($C943="Issue",IFERROR($F943*$G943,0),0)</f>
        <v/>
      </c>
      <c r="I943" s="6" t="n"/>
      <c r="J943" s="5" t="n"/>
      <c r="K943" s="4" t="n"/>
    </row>
    <row r="944" ht="20" customHeight="1">
      <c r="A944" s="3" t="n"/>
      <c r="B944" s="4" t="n"/>
      <c r="C944" s="5" t="n"/>
      <c r="D944" s="5" t="n"/>
      <c r="E944" s="4">
        <f>IF($D944="","",IFERROR(XLOOKUP($D944,Items!$A:$A,Items!$B:$B),"ERR"))</f>
        <v/>
      </c>
      <c r="F944" s="6" t="n"/>
      <c r="G944" s="6">
        <f>IF($D944="","",IFERROR(XLOOKUP($D944,Items!$A:$A,Items!$D:$D),0))</f>
        <v/>
      </c>
      <c r="H944" s="6">
        <f>IF($C944="Issue",IFERROR($F944*$G944,0),0)</f>
        <v/>
      </c>
      <c r="I944" s="6" t="n"/>
      <c r="J944" s="5" t="n"/>
      <c r="K944" s="4" t="n"/>
    </row>
    <row r="945" ht="20" customHeight="1">
      <c r="A945" s="3" t="n"/>
      <c r="B945" s="4" t="n"/>
      <c r="C945" s="5" t="n"/>
      <c r="D945" s="5" t="n"/>
      <c r="E945" s="4">
        <f>IF($D945="","",IFERROR(XLOOKUP($D945,Items!$A:$A,Items!$B:$B),"ERR"))</f>
        <v/>
      </c>
      <c r="F945" s="6" t="n"/>
      <c r="G945" s="6">
        <f>IF($D945="","",IFERROR(XLOOKUP($D945,Items!$A:$A,Items!$D:$D),0))</f>
        <v/>
      </c>
      <c r="H945" s="6">
        <f>IF($C945="Issue",IFERROR($F945*$G945,0),0)</f>
        <v/>
      </c>
      <c r="I945" s="6" t="n"/>
      <c r="J945" s="5" t="n"/>
      <c r="K945" s="4" t="n"/>
    </row>
    <row r="946" ht="20" customHeight="1">
      <c r="A946" s="3" t="n"/>
      <c r="B946" s="4" t="n"/>
      <c r="C946" s="5" t="n"/>
      <c r="D946" s="5" t="n"/>
      <c r="E946" s="4">
        <f>IF($D946="","",IFERROR(XLOOKUP($D946,Items!$A:$A,Items!$B:$B),"ERR"))</f>
        <v/>
      </c>
      <c r="F946" s="6" t="n"/>
      <c r="G946" s="6">
        <f>IF($D946="","",IFERROR(XLOOKUP($D946,Items!$A:$A,Items!$D:$D),0))</f>
        <v/>
      </c>
      <c r="H946" s="6">
        <f>IF($C946="Issue",IFERROR($F946*$G946,0),0)</f>
        <v/>
      </c>
      <c r="I946" s="6" t="n"/>
      <c r="J946" s="5" t="n"/>
      <c r="K946" s="4" t="n"/>
    </row>
    <row r="947" ht="20" customHeight="1">
      <c r="A947" s="3" t="n"/>
      <c r="B947" s="4" t="n"/>
      <c r="C947" s="5" t="n"/>
      <c r="D947" s="5" t="n"/>
      <c r="E947" s="4">
        <f>IF($D947="","",IFERROR(XLOOKUP($D947,Items!$A:$A,Items!$B:$B),"ERR"))</f>
        <v/>
      </c>
      <c r="F947" s="6" t="n"/>
      <c r="G947" s="6">
        <f>IF($D947="","",IFERROR(XLOOKUP($D947,Items!$A:$A,Items!$D:$D),0))</f>
        <v/>
      </c>
      <c r="H947" s="6">
        <f>IF($C947="Issue",IFERROR($F947*$G947,0),0)</f>
        <v/>
      </c>
      <c r="I947" s="6" t="n"/>
      <c r="J947" s="5" t="n"/>
      <c r="K947" s="4" t="n"/>
    </row>
    <row r="948" ht="20" customHeight="1">
      <c r="A948" s="3" t="n"/>
      <c r="B948" s="4" t="n"/>
      <c r="C948" s="5" t="n"/>
      <c r="D948" s="5" t="n"/>
      <c r="E948" s="4">
        <f>IF($D948="","",IFERROR(XLOOKUP($D948,Items!$A:$A,Items!$B:$B),"ERR"))</f>
        <v/>
      </c>
      <c r="F948" s="6" t="n"/>
      <c r="G948" s="6">
        <f>IF($D948="","",IFERROR(XLOOKUP($D948,Items!$A:$A,Items!$D:$D),0))</f>
        <v/>
      </c>
      <c r="H948" s="6">
        <f>IF($C948="Issue",IFERROR($F948*$G948,0),0)</f>
        <v/>
      </c>
      <c r="I948" s="6" t="n"/>
      <c r="J948" s="5" t="n"/>
      <c r="K948" s="4" t="n"/>
    </row>
    <row r="949" ht="20" customHeight="1">
      <c r="A949" s="3" t="n"/>
      <c r="B949" s="4" t="n"/>
      <c r="C949" s="5" t="n"/>
      <c r="D949" s="5" t="n"/>
      <c r="E949" s="4">
        <f>IF($D949="","",IFERROR(XLOOKUP($D949,Items!$A:$A,Items!$B:$B),"ERR"))</f>
        <v/>
      </c>
      <c r="F949" s="6" t="n"/>
      <c r="G949" s="6">
        <f>IF($D949="","",IFERROR(XLOOKUP($D949,Items!$A:$A,Items!$D:$D),0))</f>
        <v/>
      </c>
      <c r="H949" s="6">
        <f>IF($C949="Issue",IFERROR($F949*$G949,0),0)</f>
        <v/>
      </c>
      <c r="I949" s="6" t="n"/>
      <c r="J949" s="5" t="n"/>
      <c r="K949" s="4" t="n"/>
    </row>
    <row r="950" ht="20" customHeight="1">
      <c r="A950" s="3" t="n"/>
      <c r="B950" s="4" t="n"/>
      <c r="C950" s="5" t="n"/>
      <c r="D950" s="5" t="n"/>
      <c r="E950" s="4">
        <f>IF($D950="","",IFERROR(XLOOKUP($D950,Items!$A:$A,Items!$B:$B),"ERR"))</f>
        <v/>
      </c>
      <c r="F950" s="6" t="n"/>
      <c r="G950" s="6">
        <f>IF($D950="","",IFERROR(XLOOKUP($D950,Items!$A:$A,Items!$D:$D),0))</f>
        <v/>
      </c>
      <c r="H950" s="6">
        <f>IF($C950="Issue",IFERROR($F950*$G950,0),0)</f>
        <v/>
      </c>
      <c r="I950" s="6" t="n"/>
      <c r="J950" s="5" t="n"/>
      <c r="K950" s="4" t="n"/>
    </row>
    <row r="951" ht="20" customHeight="1">
      <c r="A951" s="3" t="n"/>
      <c r="B951" s="4" t="n"/>
      <c r="C951" s="5" t="n"/>
      <c r="D951" s="5" t="n"/>
      <c r="E951" s="4">
        <f>IF($D951="","",IFERROR(XLOOKUP($D951,Items!$A:$A,Items!$B:$B),"ERR"))</f>
        <v/>
      </c>
      <c r="F951" s="6" t="n"/>
      <c r="G951" s="6">
        <f>IF($D951="","",IFERROR(XLOOKUP($D951,Items!$A:$A,Items!$D:$D),0))</f>
        <v/>
      </c>
      <c r="H951" s="6">
        <f>IF($C951="Issue",IFERROR($F951*$G951,0),0)</f>
        <v/>
      </c>
      <c r="I951" s="6" t="n"/>
      <c r="J951" s="5" t="n"/>
      <c r="K951" s="4" t="n"/>
    </row>
    <row r="952" ht="20" customHeight="1">
      <c r="A952" s="3" t="n"/>
      <c r="B952" s="4" t="n"/>
      <c r="C952" s="5" t="n"/>
      <c r="D952" s="5" t="n"/>
      <c r="E952" s="4">
        <f>IF($D952="","",IFERROR(XLOOKUP($D952,Items!$A:$A,Items!$B:$B),"ERR"))</f>
        <v/>
      </c>
      <c r="F952" s="6" t="n"/>
      <c r="G952" s="6">
        <f>IF($D952="","",IFERROR(XLOOKUP($D952,Items!$A:$A,Items!$D:$D),0))</f>
        <v/>
      </c>
      <c r="H952" s="6">
        <f>IF($C952="Issue",IFERROR($F952*$G952,0),0)</f>
        <v/>
      </c>
      <c r="I952" s="6" t="n"/>
      <c r="J952" s="5" t="n"/>
      <c r="K952" s="4" t="n"/>
    </row>
    <row r="953" ht="20" customHeight="1">
      <c r="A953" s="3" t="n"/>
      <c r="B953" s="4" t="n"/>
      <c r="C953" s="5" t="n"/>
      <c r="D953" s="5" t="n"/>
      <c r="E953" s="4">
        <f>IF($D953="","",IFERROR(XLOOKUP($D953,Items!$A:$A,Items!$B:$B),"ERR"))</f>
        <v/>
      </c>
      <c r="F953" s="6" t="n"/>
      <c r="G953" s="6">
        <f>IF($D953="","",IFERROR(XLOOKUP($D953,Items!$A:$A,Items!$D:$D),0))</f>
        <v/>
      </c>
      <c r="H953" s="6">
        <f>IF($C953="Issue",IFERROR($F953*$G953,0),0)</f>
        <v/>
      </c>
      <c r="I953" s="6" t="n"/>
      <c r="J953" s="5" t="n"/>
      <c r="K953" s="4" t="n"/>
    </row>
    <row r="954" ht="20" customHeight="1">
      <c r="A954" s="3" t="n"/>
      <c r="B954" s="4" t="n"/>
      <c r="C954" s="5" t="n"/>
      <c r="D954" s="5" t="n"/>
      <c r="E954" s="4">
        <f>IF($D954="","",IFERROR(XLOOKUP($D954,Items!$A:$A,Items!$B:$B),"ERR"))</f>
        <v/>
      </c>
      <c r="F954" s="6" t="n"/>
      <c r="G954" s="6">
        <f>IF($D954="","",IFERROR(XLOOKUP($D954,Items!$A:$A,Items!$D:$D),0))</f>
        <v/>
      </c>
      <c r="H954" s="6">
        <f>IF($C954="Issue",IFERROR($F954*$G954,0),0)</f>
        <v/>
      </c>
      <c r="I954" s="6" t="n"/>
      <c r="J954" s="5" t="n"/>
      <c r="K954" s="4" t="n"/>
    </row>
    <row r="955" ht="20" customHeight="1">
      <c r="A955" s="3" t="n"/>
      <c r="B955" s="4" t="n"/>
      <c r="C955" s="5" t="n"/>
      <c r="D955" s="5" t="n"/>
      <c r="E955" s="4">
        <f>IF($D955="","",IFERROR(XLOOKUP($D955,Items!$A:$A,Items!$B:$B),"ERR"))</f>
        <v/>
      </c>
      <c r="F955" s="6" t="n"/>
      <c r="G955" s="6">
        <f>IF($D955="","",IFERROR(XLOOKUP($D955,Items!$A:$A,Items!$D:$D),0))</f>
        <v/>
      </c>
      <c r="H955" s="6">
        <f>IF($C955="Issue",IFERROR($F955*$G955,0),0)</f>
        <v/>
      </c>
      <c r="I955" s="6" t="n"/>
      <c r="J955" s="5" t="n"/>
      <c r="K955" s="4" t="n"/>
    </row>
    <row r="956" ht="20" customHeight="1">
      <c r="A956" s="3" t="n"/>
      <c r="B956" s="4" t="n"/>
      <c r="C956" s="5" t="n"/>
      <c r="D956" s="5" t="n"/>
      <c r="E956" s="4">
        <f>IF($D956="","",IFERROR(XLOOKUP($D956,Items!$A:$A,Items!$B:$B),"ERR"))</f>
        <v/>
      </c>
      <c r="F956" s="6" t="n"/>
      <c r="G956" s="6">
        <f>IF($D956="","",IFERROR(XLOOKUP($D956,Items!$A:$A,Items!$D:$D),0))</f>
        <v/>
      </c>
      <c r="H956" s="6">
        <f>IF($C956="Issue",IFERROR($F956*$G956,0),0)</f>
        <v/>
      </c>
      <c r="I956" s="6" t="n"/>
      <c r="J956" s="5" t="n"/>
      <c r="K956" s="4" t="n"/>
    </row>
    <row r="957" ht="20" customHeight="1">
      <c r="A957" s="3" t="n"/>
      <c r="B957" s="4" t="n"/>
      <c r="C957" s="5" t="n"/>
      <c r="D957" s="5" t="n"/>
      <c r="E957" s="4">
        <f>IF($D957="","",IFERROR(XLOOKUP($D957,Items!$A:$A,Items!$B:$B),"ERR"))</f>
        <v/>
      </c>
      <c r="F957" s="6" t="n"/>
      <c r="G957" s="6">
        <f>IF($D957="","",IFERROR(XLOOKUP($D957,Items!$A:$A,Items!$D:$D),0))</f>
        <v/>
      </c>
      <c r="H957" s="6">
        <f>IF($C957="Issue",IFERROR($F957*$G957,0),0)</f>
        <v/>
      </c>
      <c r="I957" s="6" t="n"/>
      <c r="J957" s="5" t="n"/>
      <c r="K957" s="4" t="n"/>
    </row>
    <row r="958" ht="20" customHeight="1">
      <c r="A958" s="3" t="n"/>
      <c r="B958" s="4" t="n"/>
      <c r="C958" s="5" t="n"/>
      <c r="D958" s="5" t="n"/>
      <c r="E958" s="4">
        <f>IF($D958="","",IFERROR(XLOOKUP($D958,Items!$A:$A,Items!$B:$B),"ERR"))</f>
        <v/>
      </c>
      <c r="F958" s="6" t="n"/>
      <c r="G958" s="6">
        <f>IF($D958="","",IFERROR(XLOOKUP($D958,Items!$A:$A,Items!$D:$D),0))</f>
        <v/>
      </c>
      <c r="H958" s="6">
        <f>IF($C958="Issue",IFERROR($F958*$G958,0),0)</f>
        <v/>
      </c>
      <c r="I958" s="6" t="n"/>
      <c r="J958" s="5" t="n"/>
      <c r="K958" s="4" t="n"/>
    </row>
    <row r="959" ht="20" customHeight="1">
      <c r="A959" s="3" t="n"/>
      <c r="B959" s="4" t="n"/>
      <c r="C959" s="5" t="n"/>
      <c r="D959" s="5" t="n"/>
      <c r="E959" s="4">
        <f>IF($D959="","",IFERROR(XLOOKUP($D959,Items!$A:$A,Items!$B:$B),"ERR"))</f>
        <v/>
      </c>
      <c r="F959" s="6" t="n"/>
      <c r="G959" s="6">
        <f>IF($D959="","",IFERROR(XLOOKUP($D959,Items!$A:$A,Items!$D:$D),0))</f>
        <v/>
      </c>
      <c r="H959" s="6">
        <f>IF($C959="Issue",IFERROR($F959*$G959,0),0)</f>
        <v/>
      </c>
      <c r="I959" s="6" t="n"/>
      <c r="J959" s="5" t="n"/>
      <c r="K959" s="4" t="n"/>
    </row>
    <row r="960" ht="20" customHeight="1">
      <c r="A960" s="3" t="n"/>
      <c r="B960" s="4" t="n"/>
      <c r="C960" s="5" t="n"/>
      <c r="D960" s="5" t="n"/>
      <c r="E960" s="4">
        <f>IF($D960="","",IFERROR(XLOOKUP($D960,Items!$A:$A,Items!$B:$B),"ERR"))</f>
        <v/>
      </c>
      <c r="F960" s="6" t="n"/>
      <c r="G960" s="6">
        <f>IF($D960="","",IFERROR(XLOOKUP($D960,Items!$A:$A,Items!$D:$D),0))</f>
        <v/>
      </c>
      <c r="H960" s="6">
        <f>IF($C960="Issue",IFERROR($F960*$G960,0),0)</f>
        <v/>
      </c>
      <c r="I960" s="6" t="n"/>
      <c r="J960" s="5" t="n"/>
      <c r="K960" s="4" t="n"/>
    </row>
    <row r="961" ht="20" customHeight="1">
      <c r="A961" s="3" t="n"/>
      <c r="B961" s="4" t="n"/>
      <c r="C961" s="5" t="n"/>
      <c r="D961" s="5" t="n"/>
      <c r="E961" s="4">
        <f>IF($D961="","",IFERROR(XLOOKUP($D961,Items!$A:$A,Items!$B:$B),"ERR"))</f>
        <v/>
      </c>
      <c r="F961" s="6" t="n"/>
      <c r="G961" s="6">
        <f>IF($D961="","",IFERROR(XLOOKUP($D961,Items!$A:$A,Items!$D:$D),0))</f>
        <v/>
      </c>
      <c r="H961" s="6">
        <f>IF($C961="Issue",IFERROR($F961*$G961,0),0)</f>
        <v/>
      </c>
      <c r="I961" s="6" t="n"/>
      <c r="J961" s="5" t="n"/>
      <c r="K961" s="4" t="n"/>
    </row>
    <row r="962" ht="20" customHeight="1">
      <c r="A962" s="3" t="n"/>
      <c r="B962" s="4" t="n"/>
      <c r="C962" s="5" t="n"/>
      <c r="D962" s="5" t="n"/>
      <c r="E962" s="4">
        <f>IF($D962="","",IFERROR(XLOOKUP($D962,Items!$A:$A,Items!$B:$B),"ERR"))</f>
        <v/>
      </c>
      <c r="F962" s="6" t="n"/>
      <c r="G962" s="6">
        <f>IF($D962="","",IFERROR(XLOOKUP($D962,Items!$A:$A,Items!$D:$D),0))</f>
        <v/>
      </c>
      <c r="H962" s="6">
        <f>IF($C962="Issue",IFERROR($F962*$G962,0),0)</f>
        <v/>
      </c>
      <c r="I962" s="6" t="n"/>
      <c r="J962" s="5" t="n"/>
      <c r="K962" s="4" t="n"/>
    </row>
    <row r="963" ht="20" customHeight="1">
      <c r="A963" s="3" t="n"/>
      <c r="B963" s="4" t="n"/>
      <c r="C963" s="5" t="n"/>
      <c r="D963" s="5" t="n"/>
      <c r="E963" s="4">
        <f>IF($D963="","",IFERROR(XLOOKUP($D963,Items!$A:$A,Items!$B:$B),"ERR"))</f>
        <v/>
      </c>
      <c r="F963" s="6" t="n"/>
      <c r="G963" s="6">
        <f>IF($D963="","",IFERROR(XLOOKUP($D963,Items!$A:$A,Items!$D:$D),0))</f>
        <v/>
      </c>
      <c r="H963" s="6">
        <f>IF($C963="Issue",IFERROR($F963*$G963,0),0)</f>
        <v/>
      </c>
      <c r="I963" s="6" t="n"/>
      <c r="J963" s="5" t="n"/>
      <c r="K963" s="4" t="n"/>
    </row>
    <row r="964" ht="20" customHeight="1">
      <c r="A964" s="3" t="n"/>
      <c r="B964" s="4" t="n"/>
      <c r="C964" s="5" t="n"/>
      <c r="D964" s="5" t="n"/>
      <c r="E964" s="4">
        <f>IF($D964="","",IFERROR(XLOOKUP($D964,Items!$A:$A,Items!$B:$B),"ERR"))</f>
        <v/>
      </c>
      <c r="F964" s="6" t="n"/>
      <c r="G964" s="6">
        <f>IF($D964="","",IFERROR(XLOOKUP($D964,Items!$A:$A,Items!$D:$D),0))</f>
        <v/>
      </c>
      <c r="H964" s="6">
        <f>IF($C964="Issue",IFERROR($F964*$G964,0),0)</f>
        <v/>
      </c>
      <c r="I964" s="6" t="n"/>
      <c r="J964" s="5" t="n"/>
      <c r="K964" s="4" t="n"/>
    </row>
    <row r="965" ht="20" customHeight="1">
      <c r="A965" s="3" t="n"/>
      <c r="B965" s="4" t="n"/>
      <c r="C965" s="5" t="n"/>
      <c r="D965" s="5" t="n"/>
      <c r="E965" s="4">
        <f>IF($D965="","",IFERROR(XLOOKUP($D965,Items!$A:$A,Items!$B:$B),"ERR"))</f>
        <v/>
      </c>
      <c r="F965" s="6" t="n"/>
      <c r="G965" s="6">
        <f>IF($D965="","",IFERROR(XLOOKUP($D965,Items!$A:$A,Items!$D:$D),0))</f>
        <v/>
      </c>
      <c r="H965" s="6">
        <f>IF($C965="Issue",IFERROR($F965*$G965,0),0)</f>
        <v/>
      </c>
      <c r="I965" s="6" t="n"/>
      <c r="J965" s="5" t="n"/>
      <c r="K965" s="4" t="n"/>
    </row>
    <row r="966" ht="20" customHeight="1">
      <c r="A966" s="3" t="n"/>
      <c r="B966" s="4" t="n"/>
      <c r="C966" s="5" t="n"/>
      <c r="D966" s="5" t="n"/>
      <c r="E966" s="4">
        <f>IF($D966="","",IFERROR(XLOOKUP($D966,Items!$A:$A,Items!$B:$B),"ERR"))</f>
        <v/>
      </c>
      <c r="F966" s="6" t="n"/>
      <c r="G966" s="6">
        <f>IF($D966="","",IFERROR(XLOOKUP($D966,Items!$A:$A,Items!$D:$D),0))</f>
        <v/>
      </c>
      <c r="H966" s="6">
        <f>IF($C966="Issue",IFERROR($F966*$G966,0),0)</f>
        <v/>
      </c>
      <c r="I966" s="6" t="n"/>
      <c r="J966" s="5" t="n"/>
      <c r="K966" s="4" t="n"/>
    </row>
    <row r="967" ht="20" customHeight="1">
      <c r="A967" s="3" t="n"/>
      <c r="B967" s="4" t="n"/>
      <c r="C967" s="5" t="n"/>
      <c r="D967" s="5" t="n"/>
      <c r="E967" s="4">
        <f>IF($D967="","",IFERROR(XLOOKUP($D967,Items!$A:$A,Items!$B:$B),"ERR"))</f>
        <v/>
      </c>
      <c r="F967" s="6" t="n"/>
      <c r="G967" s="6">
        <f>IF($D967="","",IFERROR(XLOOKUP($D967,Items!$A:$A,Items!$D:$D),0))</f>
        <v/>
      </c>
      <c r="H967" s="6">
        <f>IF($C967="Issue",IFERROR($F967*$G967,0),0)</f>
        <v/>
      </c>
      <c r="I967" s="6" t="n"/>
      <c r="J967" s="5" t="n"/>
      <c r="K967" s="4" t="n"/>
    </row>
    <row r="968" ht="20" customHeight="1">
      <c r="A968" s="3" t="n"/>
      <c r="B968" s="4" t="n"/>
      <c r="C968" s="5" t="n"/>
      <c r="D968" s="5" t="n"/>
      <c r="E968" s="4">
        <f>IF($D968="","",IFERROR(XLOOKUP($D968,Items!$A:$A,Items!$B:$B),"ERR"))</f>
        <v/>
      </c>
      <c r="F968" s="6" t="n"/>
      <c r="G968" s="6">
        <f>IF($D968="","",IFERROR(XLOOKUP($D968,Items!$A:$A,Items!$D:$D),0))</f>
        <v/>
      </c>
      <c r="H968" s="6">
        <f>IF($C968="Issue",IFERROR($F968*$G968,0),0)</f>
        <v/>
      </c>
      <c r="I968" s="6" t="n"/>
      <c r="J968" s="5" t="n"/>
      <c r="K968" s="4" t="n"/>
    </row>
    <row r="969" ht="20" customHeight="1">
      <c r="A969" s="3" t="n"/>
      <c r="B969" s="4" t="n"/>
      <c r="C969" s="5" t="n"/>
      <c r="D969" s="5" t="n"/>
      <c r="E969" s="4">
        <f>IF($D969="","",IFERROR(XLOOKUP($D969,Items!$A:$A,Items!$B:$B),"ERR"))</f>
        <v/>
      </c>
      <c r="F969" s="6" t="n"/>
      <c r="G969" s="6">
        <f>IF($D969="","",IFERROR(XLOOKUP($D969,Items!$A:$A,Items!$D:$D),0))</f>
        <v/>
      </c>
      <c r="H969" s="6">
        <f>IF($C969="Issue",IFERROR($F969*$G969,0),0)</f>
        <v/>
      </c>
      <c r="I969" s="6" t="n"/>
      <c r="J969" s="5" t="n"/>
      <c r="K969" s="4" t="n"/>
    </row>
    <row r="970" ht="20" customHeight="1">
      <c r="A970" s="3" t="n"/>
      <c r="B970" s="4" t="n"/>
      <c r="C970" s="5" t="n"/>
      <c r="D970" s="5" t="n"/>
      <c r="E970" s="4">
        <f>IF($D970="","",IFERROR(XLOOKUP($D970,Items!$A:$A,Items!$B:$B),"ERR"))</f>
        <v/>
      </c>
      <c r="F970" s="6" t="n"/>
      <c r="G970" s="6">
        <f>IF($D970="","",IFERROR(XLOOKUP($D970,Items!$A:$A,Items!$D:$D),0))</f>
        <v/>
      </c>
      <c r="H970" s="6">
        <f>IF($C970="Issue",IFERROR($F970*$G970,0),0)</f>
        <v/>
      </c>
      <c r="I970" s="6" t="n"/>
      <c r="J970" s="5" t="n"/>
      <c r="K970" s="4" t="n"/>
    </row>
    <row r="971" ht="20" customHeight="1">
      <c r="A971" s="3" t="n"/>
      <c r="B971" s="4" t="n"/>
      <c r="C971" s="5" t="n"/>
      <c r="D971" s="5" t="n"/>
      <c r="E971" s="4">
        <f>IF($D971="","",IFERROR(XLOOKUP($D971,Items!$A:$A,Items!$B:$B),"ERR"))</f>
        <v/>
      </c>
      <c r="F971" s="6" t="n"/>
      <c r="G971" s="6">
        <f>IF($D971="","",IFERROR(XLOOKUP($D971,Items!$A:$A,Items!$D:$D),0))</f>
        <v/>
      </c>
      <c r="H971" s="6">
        <f>IF($C971="Issue",IFERROR($F971*$G971,0),0)</f>
        <v/>
      </c>
      <c r="I971" s="6" t="n"/>
      <c r="J971" s="5" t="n"/>
      <c r="K971" s="4" t="n"/>
    </row>
    <row r="972" ht="20" customHeight="1">
      <c r="A972" s="3" t="n"/>
      <c r="B972" s="4" t="n"/>
      <c r="C972" s="5" t="n"/>
      <c r="D972" s="5" t="n"/>
      <c r="E972" s="4">
        <f>IF($D972="","",IFERROR(XLOOKUP($D972,Items!$A:$A,Items!$B:$B),"ERR"))</f>
        <v/>
      </c>
      <c r="F972" s="6" t="n"/>
      <c r="G972" s="6">
        <f>IF($D972="","",IFERROR(XLOOKUP($D972,Items!$A:$A,Items!$D:$D),0))</f>
        <v/>
      </c>
      <c r="H972" s="6">
        <f>IF($C972="Issue",IFERROR($F972*$G972,0),0)</f>
        <v/>
      </c>
      <c r="I972" s="6" t="n"/>
      <c r="J972" s="5" t="n"/>
      <c r="K972" s="4" t="n"/>
    </row>
    <row r="973" ht="20" customHeight="1">
      <c r="A973" s="3" t="n"/>
      <c r="B973" s="4" t="n"/>
      <c r="C973" s="5" t="n"/>
      <c r="D973" s="5" t="n"/>
      <c r="E973" s="4">
        <f>IF($D973="","",IFERROR(XLOOKUP($D973,Items!$A:$A,Items!$B:$B),"ERR"))</f>
        <v/>
      </c>
      <c r="F973" s="6" t="n"/>
      <c r="G973" s="6">
        <f>IF($D973="","",IFERROR(XLOOKUP($D973,Items!$A:$A,Items!$D:$D),0))</f>
        <v/>
      </c>
      <c r="H973" s="6">
        <f>IF($C973="Issue",IFERROR($F973*$G973,0),0)</f>
        <v/>
      </c>
      <c r="I973" s="6" t="n"/>
      <c r="J973" s="5" t="n"/>
      <c r="K973" s="4" t="n"/>
    </row>
    <row r="974" ht="20" customHeight="1">
      <c r="A974" s="3" t="n"/>
      <c r="B974" s="4" t="n"/>
      <c r="C974" s="5" t="n"/>
      <c r="D974" s="5" t="n"/>
      <c r="E974" s="4">
        <f>IF($D974="","",IFERROR(XLOOKUP($D974,Items!$A:$A,Items!$B:$B),"ERR"))</f>
        <v/>
      </c>
      <c r="F974" s="6" t="n"/>
      <c r="G974" s="6">
        <f>IF($D974="","",IFERROR(XLOOKUP($D974,Items!$A:$A,Items!$D:$D),0))</f>
        <v/>
      </c>
      <c r="H974" s="6">
        <f>IF($C974="Issue",IFERROR($F974*$G974,0),0)</f>
        <v/>
      </c>
      <c r="I974" s="6" t="n"/>
      <c r="J974" s="5" t="n"/>
      <c r="K974" s="4" t="n"/>
    </row>
    <row r="975" ht="20" customHeight="1">
      <c r="A975" s="3" t="n"/>
      <c r="B975" s="4" t="n"/>
      <c r="C975" s="5" t="n"/>
      <c r="D975" s="5" t="n"/>
      <c r="E975" s="4">
        <f>IF($D975="","",IFERROR(XLOOKUP($D975,Items!$A:$A,Items!$B:$B),"ERR"))</f>
        <v/>
      </c>
      <c r="F975" s="6" t="n"/>
      <c r="G975" s="6">
        <f>IF($D975="","",IFERROR(XLOOKUP($D975,Items!$A:$A,Items!$D:$D),0))</f>
        <v/>
      </c>
      <c r="H975" s="6">
        <f>IF($C975="Issue",IFERROR($F975*$G975,0),0)</f>
        <v/>
      </c>
      <c r="I975" s="6" t="n"/>
      <c r="J975" s="5" t="n"/>
      <c r="K975" s="4" t="n"/>
    </row>
    <row r="976" ht="20" customHeight="1">
      <c r="A976" s="3" t="n"/>
      <c r="B976" s="4" t="n"/>
      <c r="C976" s="5" t="n"/>
      <c r="D976" s="5" t="n"/>
      <c r="E976" s="4">
        <f>IF($D976="","",IFERROR(XLOOKUP($D976,Items!$A:$A,Items!$B:$B),"ERR"))</f>
        <v/>
      </c>
      <c r="F976" s="6" t="n"/>
      <c r="G976" s="6">
        <f>IF($D976="","",IFERROR(XLOOKUP($D976,Items!$A:$A,Items!$D:$D),0))</f>
        <v/>
      </c>
      <c r="H976" s="6">
        <f>IF($C976="Issue",IFERROR($F976*$G976,0),0)</f>
        <v/>
      </c>
      <c r="I976" s="6" t="n"/>
      <c r="J976" s="5" t="n"/>
      <c r="K976" s="4" t="n"/>
    </row>
    <row r="977" ht="20" customHeight="1">
      <c r="A977" s="3" t="n"/>
      <c r="B977" s="4" t="n"/>
      <c r="C977" s="5" t="n"/>
      <c r="D977" s="5" t="n"/>
      <c r="E977" s="4">
        <f>IF($D977="","",IFERROR(XLOOKUP($D977,Items!$A:$A,Items!$B:$B),"ERR"))</f>
        <v/>
      </c>
      <c r="F977" s="6" t="n"/>
      <c r="G977" s="6">
        <f>IF($D977="","",IFERROR(XLOOKUP($D977,Items!$A:$A,Items!$D:$D),0))</f>
        <v/>
      </c>
      <c r="H977" s="6">
        <f>IF($C977="Issue",IFERROR($F977*$G977,0),0)</f>
        <v/>
      </c>
      <c r="I977" s="6" t="n"/>
      <c r="J977" s="5" t="n"/>
      <c r="K977" s="4" t="n"/>
    </row>
    <row r="978" ht="20" customHeight="1">
      <c r="A978" s="3" t="n"/>
      <c r="B978" s="4" t="n"/>
      <c r="C978" s="5" t="n"/>
      <c r="D978" s="5" t="n"/>
      <c r="E978" s="4">
        <f>IF($D978="","",IFERROR(XLOOKUP($D978,Items!$A:$A,Items!$B:$B),"ERR"))</f>
        <v/>
      </c>
      <c r="F978" s="6" t="n"/>
      <c r="G978" s="6">
        <f>IF($D978="","",IFERROR(XLOOKUP($D978,Items!$A:$A,Items!$D:$D),0))</f>
        <v/>
      </c>
      <c r="H978" s="6">
        <f>IF($C978="Issue",IFERROR($F978*$G978,0),0)</f>
        <v/>
      </c>
      <c r="I978" s="6" t="n"/>
      <c r="J978" s="5" t="n"/>
      <c r="K978" s="4" t="n"/>
    </row>
    <row r="979" ht="20" customHeight="1">
      <c r="A979" s="3" t="n"/>
      <c r="B979" s="4" t="n"/>
      <c r="C979" s="5" t="n"/>
      <c r="D979" s="5" t="n"/>
      <c r="E979" s="4">
        <f>IF($D979="","",IFERROR(XLOOKUP($D979,Items!$A:$A,Items!$B:$B),"ERR"))</f>
        <v/>
      </c>
      <c r="F979" s="6" t="n"/>
      <c r="G979" s="6">
        <f>IF($D979="","",IFERROR(XLOOKUP($D979,Items!$A:$A,Items!$D:$D),0))</f>
        <v/>
      </c>
      <c r="H979" s="6">
        <f>IF($C979="Issue",IFERROR($F979*$G979,0),0)</f>
        <v/>
      </c>
      <c r="I979" s="6" t="n"/>
      <c r="J979" s="5" t="n"/>
      <c r="K979" s="4" t="n"/>
    </row>
    <row r="980" ht="20" customHeight="1">
      <c r="A980" s="3" t="n"/>
      <c r="B980" s="4" t="n"/>
      <c r="C980" s="5" t="n"/>
      <c r="D980" s="5" t="n"/>
      <c r="E980" s="4">
        <f>IF($D980="","",IFERROR(XLOOKUP($D980,Items!$A:$A,Items!$B:$B),"ERR"))</f>
        <v/>
      </c>
      <c r="F980" s="6" t="n"/>
      <c r="G980" s="6">
        <f>IF($D980="","",IFERROR(XLOOKUP($D980,Items!$A:$A,Items!$D:$D),0))</f>
        <v/>
      </c>
      <c r="H980" s="6">
        <f>IF($C980="Issue",IFERROR($F980*$G980,0),0)</f>
        <v/>
      </c>
      <c r="I980" s="6" t="n"/>
      <c r="J980" s="5" t="n"/>
      <c r="K980" s="4" t="n"/>
    </row>
    <row r="981" ht="20" customHeight="1">
      <c r="A981" s="3" t="n"/>
      <c r="B981" s="4" t="n"/>
      <c r="C981" s="5" t="n"/>
      <c r="D981" s="5" t="n"/>
      <c r="E981" s="4">
        <f>IF($D981="","",IFERROR(XLOOKUP($D981,Items!$A:$A,Items!$B:$B),"ERR"))</f>
        <v/>
      </c>
      <c r="F981" s="6" t="n"/>
      <c r="G981" s="6">
        <f>IF($D981="","",IFERROR(XLOOKUP($D981,Items!$A:$A,Items!$D:$D),0))</f>
        <v/>
      </c>
      <c r="H981" s="6">
        <f>IF($C981="Issue",IFERROR($F981*$G981,0),0)</f>
        <v/>
      </c>
      <c r="I981" s="6" t="n"/>
      <c r="J981" s="5" t="n"/>
      <c r="K981" s="4" t="n"/>
    </row>
    <row r="982" ht="20" customHeight="1">
      <c r="A982" s="3" t="n"/>
      <c r="B982" s="4" t="n"/>
      <c r="C982" s="5" t="n"/>
      <c r="D982" s="5" t="n"/>
      <c r="E982" s="4">
        <f>IF($D982="","",IFERROR(XLOOKUP($D982,Items!$A:$A,Items!$B:$B),"ERR"))</f>
        <v/>
      </c>
      <c r="F982" s="6" t="n"/>
      <c r="G982" s="6">
        <f>IF($D982="","",IFERROR(XLOOKUP($D982,Items!$A:$A,Items!$D:$D),0))</f>
        <v/>
      </c>
      <c r="H982" s="6">
        <f>IF($C982="Issue",IFERROR($F982*$G982,0),0)</f>
        <v/>
      </c>
      <c r="I982" s="6" t="n"/>
      <c r="J982" s="5" t="n"/>
      <c r="K982" s="4" t="n"/>
    </row>
    <row r="983" ht="20" customHeight="1">
      <c r="A983" s="3" t="n"/>
      <c r="B983" s="4" t="n"/>
      <c r="C983" s="5" t="n"/>
      <c r="D983" s="5" t="n"/>
      <c r="E983" s="4">
        <f>IF($D983="","",IFERROR(XLOOKUP($D983,Items!$A:$A,Items!$B:$B),"ERR"))</f>
        <v/>
      </c>
      <c r="F983" s="6" t="n"/>
      <c r="G983" s="6">
        <f>IF($D983="","",IFERROR(XLOOKUP($D983,Items!$A:$A,Items!$D:$D),0))</f>
        <v/>
      </c>
      <c r="H983" s="6">
        <f>IF($C983="Issue",IFERROR($F983*$G983,0),0)</f>
        <v/>
      </c>
      <c r="I983" s="6" t="n"/>
      <c r="J983" s="5" t="n"/>
      <c r="K983" s="4" t="n"/>
    </row>
    <row r="984" ht="20" customHeight="1">
      <c r="A984" s="3" t="n"/>
      <c r="B984" s="4" t="n"/>
      <c r="C984" s="5" t="n"/>
      <c r="D984" s="5" t="n"/>
      <c r="E984" s="4">
        <f>IF($D984="","",IFERROR(XLOOKUP($D984,Items!$A:$A,Items!$B:$B),"ERR"))</f>
        <v/>
      </c>
      <c r="F984" s="6" t="n"/>
      <c r="G984" s="6">
        <f>IF($D984="","",IFERROR(XLOOKUP($D984,Items!$A:$A,Items!$D:$D),0))</f>
        <v/>
      </c>
      <c r="H984" s="6">
        <f>IF($C984="Issue",IFERROR($F984*$G984,0),0)</f>
        <v/>
      </c>
      <c r="I984" s="6" t="n"/>
      <c r="J984" s="5" t="n"/>
      <c r="K984" s="4" t="n"/>
    </row>
    <row r="985" ht="20" customHeight="1">
      <c r="A985" s="3" t="n"/>
      <c r="B985" s="4" t="n"/>
      <c r="C985" s="5" t="n"/>
      <c r="D985" s="5" t="n"/>
      <c r="E985" s="4">
        <f>IF($D985="","",IFERROR(XLOOKUP($D985,Items!$A:$A,Items!$B:$B),"ERR"))</f>
        <v/>
      </c>
      <c r="F985" s="6" t="n"/>
      <c r="G985" s="6">
        <f>IF($D985="","",IFERROR(XLOOKUP($D985,Items!$A:$A,Items!$D:$D),0))</f>
        <v/>
      </c>
      <c r="H985" s="6">
        <f>IF($C985="Issue",IFERROR($F985*$G985,0),0)</f>
        <v/>
      </c>
      <c r="I985" s="6" t="n"/>
      <c r="J985" s="5" t="n"/>
      <c r="K985" s="4" t="n"/>
    </row>
    <row r="986" ht="20" customHeight="1">
      <c r="A986" s="3" t="n"/>
      <c r="B986" s="4" t="n"/>
      <c r="C986" s="5" t="n"/>
      <c r="D986" s="5" t="n"/>
      <c r="E986" s="4">
        <f>IF($D986="","",IFERROR(XLOOKUP($D986,Items!$A:$A,Items!$B:$B),"ERR"))</f>
        <v/>
      </c>
      <c r="F986" s="6" t="n"/>
      <c r="G986" s="6">
        <f>IF($D986="","",IFERROR(XLOOKUP($D986,Items!$A:$A,Items!$D:$D),0))</f>
        <v/>
      </c>
      <c r="H986" s="6">
        <f>IF($C986="Issue",IFERROR($F986*$G986,0),0)</f>
        <v/>
      </c>
      <c r="I986" s="6" t="n"/>
      <c r="J986" s="5" t="n"/>
      <c r="K986" s="4" t="n"/>
    </row>
    <row r="987" ht="20" customHeight="1">
      <c r="A987" s="3" t="n"/>
      <c r="B987" s="4" t="n"/>
      <c r="C987" s="5" t="n"/>
      <c r="D987" s="5" t="n"/>
      <c r="E987" s="4">
        <f>IF($D987="","",IFERROR(XLOOKUP($D987,Items!$A:$A,Items!$B:$B),"ERR"))</f>
        <v/>
      </c>
      <c r="F987" s="6" t="n"/>
      <c r="G987" s="6">
        <f>IF($D987="","",IFERROR(XLOOKUP($D987,Items!$A:$A,Items!$D:$D),0))</f>
        <v/>
      </c>
      <c r="H987" s="6">
        <f>IF($C987="Issue",IFERROR($F987*$G987,0),0)</f>
        <v/>
      </c>
      <c r="I987" s="6" t="n"/>
      <c r="J987" s="5" t="n"/>
      <c r="K987" s="4" t="n"/>
    </row>
    <row r="988" ht="20" customHeight="1">
      <c r="A988" s="3" t="n"/>
      <c r="B988" s="4" t="n"/>
      <c r="C988" s="5" t="n"/>
      <c r="D988" s="5" t="n"/>
      <c r="E988" s="4">
        <f>IF($D988="","",IFERROR(XLOOKUP($D988,Items!$A:$A,Items!$B:$B),"ERR"))</f>
        <v/>
      </c>
      <c r="F988" s="6" t="n"/>
      <c r="G988" s="6">
        <f>IF($D988="","",IFERROR(XLOOKUP($D988,Items!$A:$A,Items!$D:$D),0))</f>
        <v/>
      </c>
      <c r="H988" s="6">
        <f>IF($C988="Issue",IFERROR($F988*$G988,0),0)</f>
        <v/>
      </c>
      <c r="I988" s="6" t="n"/>
      <c r="J988" s="5" t="n"/>
      <c r="K988" s="4" t="n"/>
    </row>
    <row r="989" ht="20" customHeight="1">
      <c r="A989" s="3" t="n"/>
      <c r="B989" s="4" t="n"/>
      <c r="C989" s="5" t="n"/>
      <c r="D989" s="5" t="n"/>
      <c r="E989" s="4">
        <f>IF($D989="","",IFERROR(XLOOKUP($D989,Items!$A:$A,Items!$B:$B),"ERR"))</f>
        <v/>
      </c>
      <c r="F989" s="6" t="n"/>
      <c r="G989" s="6">
        <f>IF($D989="","",IFERROR(XLOOKUP($D989,Items!$A:$A,Items!$D:$D),0))</f>
        <v/>
      </c>
      <c r="H989" s="6">
        <f>IF($C989="Issue",IFERROR($F989*$G989,0),0)</f>
        <v/>
      </c>
      <c r="I989" s="6" t="n"/>
      <c r="J989" s="5" t="n"/>
      <c r="K989" s="4" t="n"/>
    </row>
    <row r="990" ht="20" customHeight="1">
      <c r="A990" s="3" t="n"/>
      <c r="B990" s="4" t="n"/>
      <c r="C990" s="5" t="n"/>
      <c r="D990" s="5" t="n"/>
      <c r="E990" s="4">
        <f>IF($D990="","",IFERROR(XLOOKUP($D990,Items!$A:$A,Items!$B:$B),"ERR"))</f>
        <v/>
      </c>
      <c r="F990" s="6" t="n"/>
      <c r="G990" s="6">
        <f>IF($D990="","",IFERROR(XLOOKUP($D990,Items!$A:$A,Items!$D:$D),0))</f>
        <v/>
      </c>
      <c r="H990" s="6">
        <f>IF($C990="Issue",IFERROR($F990*$G990,0),0)</f>
        <v/>
      </c>
      <c r="I990" s="6" t="n"/>
      <c r="J990" s="5" t="n"/>
      <c r="K990" s="4" t="n"/>
    </row>
    <row r="991" ht="20" customHeight="1">
      <c r="A991" s="3" t="n"/>
      <c r="B991" s="4" t="n"/>
      <c r="C991" s="5" t="n"/>
      <c r="D991" s="5" t="n"/>
      <c r="E991" s="4">
        <f>IF($D991="","",IFERROR(XLOOKUP($D991,Items!$A:$A,Items!$B:$B),"ERR"))</f>
        <v/>
      </c>
      <c r="F991" s="6" t="n"/>
      <c r="G991" s="6">
        <f>IF($D991="","",IFERROR(XLOOKUP($D991,Items!$A:$A,Items!$D:$D),0))</f>
        <v/>
      </c>
      <c r="H991" s="6">
        <f>IF($C991="Issue",IFERROR($F991*$G991,0),0)</f>
        <v/>
      </c>
      <c r="I991" s="6" t="n"/>
      <c r="J991" s="5" t="n"/>
      <c r="K991" s="4" t="n"/>
    </row>
    <row r="992" ht="20" customHeight="1">
      <c r="A992" s="3" t="n"/>
      <c r="B992" s="4" t="n"/>
      <c r="C992" s="5" t="n"/>
      <c r="D992" s="5" t="n"/>
      <c r="E992" s="4">
        <f>IF($D992="","",IFERROR(XLOOKUP($D992,Items!$A:$A,Items!$B:$B),"ERR"))</f>
        <v/>
      </c>
      <c r="F992" s="6" t="n"/>
      <c r="G992" s="6">
        <f>IF($D992="","",IFERROR(XLOOKUP($D992,Items!$A:$A,Items!$D:$D),0))</f>
        <v/>
      </c>
      <c r="H992" s="6">
        <f>IF($C992="Issue",IFERROR($F992*$G992,0),0)</f>
        <v/>
      </c>
      <c r="I992" s="6" t="n"/>
      <c r="J992" s="5" t="n"/>
      <c r="K992" s="4" t="n"/>
    </row>
    <row r="993" ht="20" customHeight="1">
      <c r="A993" s="3" t="n"/>
      <c r="B993" s="4" t="n"/>
      <c r="C993" s="5" t="n"/>
      <c r="D993" s="5" t="n"/>
      <c r="E993" s="4">
        <f>IF($D993="","",IFERROR(XLOOKUP($D993,Items!$A:$A,Items!$B:$B),"ERR"))</f>
        <v/>
      </c>
      <c r="F993" s="6" t="n"/>
      <c r="G993" s="6">
        <f>IF($D993="","",IFERROR(XLOOKUP($D993,Items!$A:$A,Items!$D:$D),0))</f>
        <v/>
      </c>
      <c r="H993" s="6">
        <f>IF($C993="Issue",IFERROR($F993*$G993,0),0)</f>
        <v/>
      </c>
      <c r="I993" s="6" t="n"/>
      <c r="J993" s="5" t="n"/>
      <c r="K993" s="4" t="n"/>
    </row>
    <row r="994" ht="20" customHeight="1">
      <c r="A994" s="3" t="n"/>
      <c r="B994" s="4" t="n"/>
      <c r="C994" s="5" t="n"/>
      <c r="D994" s="5" t="n"/>
      <c r="E994" s="4">
        <f>IF($D994="","",IFERROR(XLOOKUP($D994,Items!$A:$A,Items!$B:$B),"ERR"))</f>
        <v/>
      </c>
      <c r="F994" s="6" t="n"/>
      <c r="G994" s="6">
        <f>IF($D994="","",IFERROR(XLOOKUP($D994,Items!$A:$A,Items!$D:$D),0))</f>
        <v/>
      </c>
      <c r="H994" s="6">
        <f>IF($C994="Issue",IFERROR($F994*$G994,0),0)</f>
        <v/>
      </c>
      <c r="I994" s="6" t="n"/>
      <c r="J994" s="5" t="n"/>
      <c r="K994" s="4" t="n"/>
    </row>
    <row r="995" ht="20" customHeight="1">
      <c r="A995" s="3" t="n"/>
      <c r="B995" s="4" t="n"/>
      <c r="C995" s="5" t="n"/>
      <c r="D995" s="5" t="n"/>
      <c r="E995" s="4">
        <f>IF($D995="","",IFERROR(XLOOKUP($D995,Items!$A:$A,Items!$B:$B),"ERR"))</f>
        <v/>
      </c>
      <c r="F995" s="6" t="n"/>
      <c r="G995" s="6">
        <f>IF($D995="","",IFERROR(XLOOKUP($D995,Items!$A:$A,Items!$D:$D),0))</f>
        <v/>
      </c>
      <c r="H995" s="6">
        <f>IF($C995="Issue",IFERROR($F995*$G995,0),0)</f>
        <v/>
      </c>
      <c r="I995" s="6" t="n"/>
      <c r="J995" s="5" t="n"/>
      <c r="K995" s="4" t="n"/>
    </row>
    <row r="996" ht="20" customHeight="1">
      <c r="A996" s="3" t="n"/>
      <c r="B996" s="4" t="n"/>
      <c r="C996" s="5" t="n"/>
      <c r="D996" s="5" t="n"/>
      <c r="E996" s="4">
        <f>IF($D996="","",IFERROR(XLOOKUP($D996,Items!$A:$A,Items!$B:$B),"ERR"))</f>
        <v/>
      </c>
      <c r="F996" s="6" t="n"/>
      <c r="G996" s="6">
        <f>IF($D996="","",IFERROR(XLOOKUP($D996,Items!$A:$A,Items!$D:$D),0))</f>
        <v/>
      </c>
      <c r="H996" s="6">
        <f>IF($C996="Issue",IFERROR($F996*$G996,0),0)</f>
        <v/>
      </c>
      <c r="I996" s="6" t="n"/>
      <c r="J996" s="5" t="n"/>
      <c r="K996" s="4" t="n"/>
    </row>
    <row r="997" ht="20" customHeight="1">
      <c r="A997" s="3" t="n"/>
      <c r="B997" s="4" t="n"/>
      <c r="C997" s="5" t="n"/>
      <c r="D997" s="5" t="n"/>
      <c r="E997" s="4">
        <f>IF($D997="","",IFERROR(XLOOKUP($D997,Items!$A:$A,Items!$B:$B),"ERR"))</f>
        <v/>
      </c>
      <c r="F997" s="6" t="n"/>
      <c r="G997" s="6">
        <f>IF($D997="","",IFERROR(XLOOKUP($D997,Items!$A:$A,Items!$D:$D),0))</f>
        <v/>
      </c>
      <c r="H997" s="6">
        <f>IF($C997="Issue",IFERROR($F997*$G997,0),0)</f>
        <v/>
      </c>
      <c r="I997" s="6" t="n"/>
      <c r="J997" s="5" t="n"/>
      <c r="K997" s="4" t="n"/>
    </row>
    <row r="998" ht="20" customHeight="1">
      <c r="A998" s="3" t="n"/>
      <c r="B998" s="4" t="n"/>
      <c r="C998" s="5" t="n"/>
      <c r="D998" s="5" t="n"/>
      <c r="E998" s="4">
        <f>IF($D998="","",IFERROR(XLOOKUP($D998,Items!$A:$A,Items!$B:$B),"ERR"))</f>
        <v/>
      </c>
      <c r="F998" s="6" t="n"/>
      <c r="G998" s="6">
        <f>IF($D998="","",IFERROR(XLOOKUP($D998,Items!$A:$A,Items!$D:$D),0))</f>
        <v/>
      </c>
      <c r="H998" s="6">
        <f>IF($C998="Issue",IFERROR($F998*$G998,0),0)</f>
        <v/>
      </c>
      <c r="I998" s="6" t="n"/>
      <c r="J998" s="5" t="n"/>
      <c r="K998" s="4" t="n"/>
    </row>
    <row r="999" ht="20" customHeight="1">
      <c r="A999" s="3" t="n"/>
      <c r="B999" s="4" t="n"/>
      <c r="C999" s="5" t="n"/>
      <c r="D999" s="5" t="n"/>
      <c r="E999" s="4">
        <f>IF($D999="","",IFERROR(XLOOKUP($D999,Items!$A:$A,Items!$B:$B),"ERR"))</f>
        <v/>
      </c>
      <c r="F999" s="6" t="n"/>
      <c r="G999" s="6">
        <f>IF($D999="","",IFERROR(XLOOKUP($D999,Items!$A:$A,Items!$D:$D),0))</f>
        <v/>
      </c>
      <c r="H999" s="6">
        <f>IF($C999="Issue",IFERROR($F999*$G999,0),0)</f>
        <v/>
      </c>
      <c r="I999" s="6" t="n"/>
      <c r="J999" s="5" t="n"/>
      <c r="K999" s="4" t="n"/>
    </row>
    <row r="1000" ht="20" customHeight="1">
      <c r="A1000" s="3" t="n"/>
      <c r="B1000" s="4" t="n"/>
      <c r="C1000" s="5" t="n"/>
      <c r="D1000" s="5" t="n"/>
      <c r="E1000" s="4">
        <f>IF($D1000="","",IFERROR(XLOOKUP($D1000,Items!$A:$A,Items!$B:$B),"ERR"))</f>
        <v/>
      </c>
      <c r="F1000" s="6" t="n"/>
      <c r="G1000" s="6">
        <f>IF($D1000="","",IFERROR(XLOOKUP($D1000,Items!$A:$A,Items!$D:$D),0))</f>
        <v/>
      </c>
      <c r="H1000" s="6">
        <f>IF($C1000="Issue",IFERROR($F1000*$G1000,0),0)</f>
        <v/>
      </c>
      <c r="I1000" s="6" t="n"/>
      <c r="J1000" s="5" t="n"/>
      <c r="K1000" s="4" t="n"/>
    </row>
    <row r="1001" ht="20" customHeight="1">
      <c r="A1001" s="3" t="n"/>
      <c r="B1001" s="4" t="n"/>
      <c r="C1001" s="5" t="n"/>
      <c r="D1001" s="5" t="n"/>
      <c r="E1001" s="4">
        <f>IF($D1001="","",IFERROR(XLOOKUP($D1001,Items!$A:$A,Items!$B:$B),"ERR"))</f>
        <v/>
      </c>
      <c r="F1001" s="6" t="n"/>
      <c r="G1001" s="6">
        <f>IF($D1001="","",IFERROR(XLOOKUP($D1001,Items!$A:$A,Items!$D:$D),0))</f>
        <v/>
      </c>
      <c r="H1001" s="6">
        <f>IF($C1001="Issue",IFERROR($F1001*$G1001,0),0)</f>
        <v/>
      </c>
      <c r="I1001" s="6" t="n"/>
      <c r="J1001" s="5" t="n"/>
      <c r="K1001" s="4" t="n"/>
    </row>
    <row r="1002" ht="20" customHeight="1">
      <c r="A1002" s="3" t="n"/>
      <c r="B1002" s="4" t="n"/>
      <c r="C1002" s="5" t="n"/>
      <c r="D1002" s="5" t="n"/>
      <c r="E1002" s="4">
        <f>IF($D1002="","",IFERROR(XLOOKUP($D1002,Items!$A:$A,Items!$B:$B),"ERR"))</f>
        <v/>
      </c>
      <c r="F1002" s="6" t="n"/>
      <c r="G1002" s="6">
        <f>IF($D1002="","",IFERROR(XLOOKUP($D1002,Items!$A:$A,Items!$D:$D),0))</f>
        <v/>
      </c>
      <c r="H1002" s="6">
        <f>IF($C1002="Issue",IFERROR($F1002*$G1002,0),0)</f>
        <v/>
      </c>
      <c r="I1002" s="6" t="n"/>
      <c r="J1002" s="5" t="n"/>
      <c r="K1002" s="4" t="n"/>
    </row>
  </sheetData>
  <autoFilter ref="A2:K1002"/>
  <mergeCells count="1">
    <mergeCell ref="A1:K1"/>
  </mergeCells>
  <conditionalFormatting sqref="C3:C1002">
    <cfRule type="expression" priority="1" dxfId="0">
      <formula>$C3="Issue"</formula>
    </cfRule>
    <cfRule type="expression" priority="2" dxfId="1">
      <formula>$C3="Return"</formula>
    </cfRule>
    <cfRule type="expression" priority="3" dxfId="2">
      <formula>$C3="Payment"</formula>
    </cfRule>
  </conditionalFormatting>
  <dataValidations count="5">
    <dataValidation sqref="A3:A1002" showDropDown="0" showInputMessage="0" showErrorMessage="0" allowBlank="1" type="custom">
      <formula1>OR(NOT(ISERROR(DATEVALUE(A3))),AND(ISNUMBER(A3),LEFT(CELL("format",A3))="D"))</formula1>
    </dataValidation>
    <dataValidation sqref="B3:B1002" showDropDown="0" showInputMessage="0" showErrorMessage="0" allowBlank="1" type="list">
      <formula1>=Customers!$A$3:$A$200</formula1>
    </dataValidation>
    <dataValidation sqref="C3:C1002" showDropDown="0" showInputMessage="0" showErrorMessage="0" allowBlank="1" type="list">
      <formula1>"Issue,Return,Payment"</formula1>
    </dataValidation>
    <dataValidation sqref="D3:D1002" showDropDown="0" showInputMessage="0" showErrorMessage="0" allowBlank="1" type="list">
      <formula1>=Items!$A$3:$A$200</formula1>
    </dataValidation>
    <dataValidation sqref="J3:J1002" showDropDown="0" showInputMessage="0" showErrorMessage="0" allowBlank="1" type="list">
      <formula1>"Cash,UPI,PhonePe SK,Paytm SK,PhonePe VK,PAYTM B QR,Bank"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D9488"/>
    <outlinePr summaryBelow="1" summaryRight="1"/>
    <pageSetUpPr fitToPage="1"/>
  </sheetPr>
  <dimension ref="A1:G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11" customWidth="1" min="4" max="4"/>
    <col width="15" customWidth="1" min="5" max="5"/>
    <col width="10" customWidth="1" min="6" max="6"/>
    <col width="20" customWidth="1" min="7" max="7"/>
  </cols>
  <sheetData>
    <row r="1" ht="26" customHeight="1">
      <c r="A1" s="7" t="inlineStr">
        <is>
          <t>ITEMS • वस्तू यादी • भाडे येथूनच Ledger मध्ये auto येईल</t>
        </is>
      </c>
    </row>
    <row r="2" ht="36" customHeight="1">
      <c r="A2" s="2" t="inlineStr">
        <is>
          <t>Item ID
कोड</t>
        </is>
      </c>
      <c r="B2" s="2" t="inlineStr">
        <is>
          <t>Item Name
वस्तू (EN)</t>
        </is>
      </c>
      <c r="C2" s="2" t="inlineStr">
        <is>
          <t>Item Marathi
वस्तू (मराठी)</t>
        </is>
      </c>
      <c r="D2" s="2" t="inlineStr">
        <is>
          <t>Rate ₹
भाडे</t>
        </is>
      </c>
      <c r="E2" s="2" t="inlineStr">
        <is>
          <t>Opening Stock
सुरुवातीचा माल</t>
        </is>
      </c>
      <c r="F2" s="2" t="inlineStr">
        <is>
          <t>Min Stock
किमान</t>
        </is>
      </c>
      <c r="G2" s="2" t="inlineStr">
        <is>
          <t>Note</t>
        </is>
      </c>
    </row>
    <row r="3">
      <c r="A3" s="5" t="inlineStr">
        <is>
          <t>OP BAL</t>
        </is>
      </c>
      <c r="B3" s="4" t="inlineStr">
        <is>
          <t>Opening Balance</t>
        </is>
      </c>
      <c r="C3" s="4" t="inlineStr">
        <is>
          <t>ओपनिंग</t>
        </is>
      </c>
      <c r="D3" s="6" t="n">
        <v>0</v>
      </c>
      <c r="E3" s="5" t="n"/>
      <c r="F3" s="5" t="n"/>
      <c r="G3" s="4" t="n"/>
    </row>
    <row r="4">
      <c r="A4" s="5" t="inlineStr">
        <is>
          <t>CTRNG</t>
        </is>
      </c>
      <c r="B4" s="4" t="inlineStr">
        <is>
          <t>CTRNG</t>
        </is>
      </c>
      <c r="C4" s="4" t="inlineStr">
        <is>
          <t>केटरिंग</t>
        </is>
      </c>
      <c r="D4" s="6" t="n">
        <v>0</v>
      </c>
      <c r="E4" s="5" t="n"/>
      <c r="F4" s="5" t="n"/>
      <c r="G4" s="4" t="n"/>
    </row>
    <row r="5">
      <c r="A5" s="5" t="inlineStr">
        <is>
          <t>JC</t>
        </is>
      </c>
      <c r="B5" s="4" t="inlineStr">
        <is>
          <t>Jumbo Cooler</t>
        </is>
      </c>
      <c r="C5" s="4" t="inlineStr">
        <is>
          <t>जंबो कुलर</t>
        </is>
      </c>
      <c r="D5" s="6" t="n">
        <v>500</v>
      </c>
      <c r="E5" s="5" t="n"/>
      <c r="F5" s="5" t="n"/>
      <c r="G5" s="4" t="n"/>
    </row>
    <row r="6">
      <c r="A6" s="5" t="inlineStr">
        <is>
          <t>CH</t>
        </is>
      </c>
      <c r="B6" s="4" t="inlineStr">
        <is>
          <t>Chair</t>
        </is>
      </c>
      <c r="C6" s="4" t="inlineStr">
        <is>
          <t>खुर्ची</t>
        </is>
      </c>
      <c r="D6" s="6" t="n">
        <v>4</v>
      </c>
      <c r="E6" s="5" t="n">
        <v>600</v>
      </c>
      <c r="F6" s="5" t="n">
        <v>100</v>
      </c>
      <c r="G6" s="4" t="n"/>
    </row>
    <row r="7">
      <c r="A7" s="5" t="inlineStr">
        <is>
          <t>RTBL</t>
        </is>
      </c>
      <c r="B7" s="4" t="inlineStr">
        <is>
          <t>Round Table</t>
        </is>
      </c>
      <c r="C7" s="4" t="inlineStr">
        <is>
          <t>गोल टेबल</t>
        </is>
      </c>
      <c r="D7" s="6" t="n">
        <v>125</v>
      </c>
      <c r="E7" s="5" t="n"/>
      <c r="F7" s="5" t="n"/>
      <c r="G7" s="4" t="n"/>
    </row>
    <row r="8">
      <c r="A8" s="5" t="inlineStr">
        <is>
          <t>FN</t>
        </is>
      </c>
      <c r="B8" s="4" t="inlineStr">
        <is>
          <t>Fan</t>
        </is>
      </c>
      <c r="C8" s="4" t="inlineStr">
        <is>
          <t>पंखा</t>
        </is>
      </c>
      <c r="D8" s="6" t="n">
        <v>100</v>
      </c>
      <c r="E8" s="5" t="n"/>
      <c r="F8" s="5" t="n"/>
      <c r="G8" s="4" t="n"/>
    </row>
    <row r="9">
      <c r="A9" s="5" t="inlineStr">
        <is>
          <t>GD</t>
        </is>
      </c>
      <c r="B9" s="4" t="inlineStr">
        <is>
          <t>Gadi</t>
        </is>
      </c>
      <c r="C9" s="4" t="inlineStr">
        <is>
          <t>गादी</t>
        </is>
      </c>
      <c r="D9" s="6" t="n">
        <v>15</v>
      </c>
      <c r="E9" s="5" t="n"/>
      <c r="F9" s="5" t="n"/>
      <c r="G9" s="4" t="n"/>
    </row>
    <row r="10">
      <c r="A10" s="5" t="inlineStr">
        <is>
          <t>DRM</t>
        </is>
      </c>
      <c r="B10" s="4" t="inlineStr">
        <is>
          <t>Drum</t>
        </is>
      </c>
      <c r="C10" s="4" t="inlineStr">
        <is>
          <t>ड्रम</t>
        </is>
      </c>
      <c r="D10" s="6" t="n">
        <v>20</v>
      </c>
      <c r="E10" s="5" t="n"/>
      <c r="F10" s="5" t="n"/>
      <c r="G10" s="4" t="n"/>
    </row>
    <row r="11">
      <c r="A11" s="5" t="inlineStr">
        <is>
          <t>TBL</t>
        </is>
      </c>
      <c r="B11" s="4" t="inlineStr">
        <is>
          <t>Table</t>
        </is>
      </c>
      <c r="C11" s="4" t="inlineStr">
        <is>
          <t>टेबल</t>
        </is>
      </c>
      <c r="D11" s="6" t="n">
        <v>20</v>
      </c>
      <c r="E11" s="5" t="n"/>
      <c r="F11" s="5" t="n"/>
      <c r="G11" s="4" t="n"/>
    </row>
    <row r="12">
      <c r="A12" s="5" t="inlineStr">
        <is>
          <t>AB</t>
        </is>
      </c>
      <c r="B12" s="4" t="inlineStr">
        <is>
          <t>Ahuja Speaker</t>
        </is>
      </c>
      <c r="C12" s="4" t="inlineStr">
        <is>
          <t>अहुजा स्पीकर</t>
        </is>
      </c>
      <c r="D12" s="6" t="n">
        <v>500</v>
      </c>
      <c r="E12" s="5" t="n"/>
      <c r="F12" s="5" t="n"/>
      <c r="G12" s="4" t="n"/>
    </row>
    <row r="13">
      <c r="A13" s="5" t="inlineStr">
        <is>
          <t>SMI</t>
        </is>
      </c>
      <c r="B13" s="4" t="inlineStr">
        <is>
          <t>Samai</t>
        </is>
      </c>
      <c r="C13" s="4" t="inlineStr">
        <is>
          <t>समई</t>
        </is>
      </c>
      <c r="D13" s="6" t="n">
        <v>300</v>
      </c>
      <c r="E13" s="5" t="n"/>
      <c r="F13" s="5" t="n"/>
      <c r="G13" s="4" t="n"/>
    </row>
    <row r="14">
      <c r="A14" s="5" t="inlineStr">
        <is>
          <t>WBS</t>
        </is>
      </c>
      <c r="B14" s="4" t="inlineStr">
        <is>
          <t>Wash Basin</t>
        </is>
      </c>
      <c r="C14" s="4" t="inlineStr">
        <is>
          <t>वॉश बेसिन</t>
        </is>
      </c>
      <c r="D14" s="6" t="n">
        <v>200</v>
      </c>
      <c r="E14" s="5" t="n"/>
      <c r="F14" s="5" t="n"/>
      <c r="G14" s="4" t="n"/>
    </row>
    <row r="15">
      <c r="A15" s="5" t="inlineStr">
        <is>
          <t>BS</t>
        </is>
      </c>
      <c r="B15" s="4" t="inlineStr">
        <is>
          <t>Bedsheet</t>
        </is>
      </c>
      <c r="C15" s="4" t="inlineStr">
        <is>
          <t>चादर</t>
        </is>
      </c>
      <c r="D15" s="6" t="n">
        <v>5</v>
      </c>
      <c r="E15" s="5" t="n"/>
      <c r="F15" s="5" t="n"/>
      <c r="G15" s="4" t="n"/>
    </row>
    <row r="16">
      <c r="A16" s="5" t="inlineStr">
        <is>
          <t>PLN</t>
        </is>
      </c>
      <c r="B16" s="4" t="inlineStr">
        <is>
          <t>Palna</t>
        </is>
      </c>
      <c r="C16" s="4" t="inlineStr">
        <is>
          <t>पाळणा</t>
        </is>
      </c>
      <c r="D16" s="6" t="n">
        <v>500</v>
      </c>
      <c r="E16" s="5" t="n"/>
      <c r="F16" s="5" t="n"/>
      <c r="G16" s="4" t="n"/>
    </row>
    <row r="17">
      <c r="A17" s="5" t="inlineStr">
        <is>
          <t>Sm Culr</t>
        </is>
      </c>
      <c r="B17" s="4" t="inlineStr">
        <is>
          <t>Small Cooler</t>
        </is>
      </c>
      <c r="C17" s="4" t="inlineStr">
        <is>
          <t>छोटा कुलर</t>
        </is>
      </c>
      <c r="D17" s="6" t="n">
        <v>200</v>
      </c>
      <c r="E17" s="5" t="n"/>
      <c r="F17" s="5" t="n"/>
      <c r="G17" s="4" t="n"/>
    </row>
    <row r="18">
      <c r="A18" s="5" t="inlineStr">
        <is>
          <t>FRL</t>
        </is>
      </c>
      <c r="B18" s="4" t="inlineStr">
        <is>
          <t>Freel</t>
        </is>
      </c>
      <c r="C18" s="4" t="inlineStr">
        <is>
          <t>फ्रिल</t>
        </is>
      </c>
      <c r="D18" s="6" t="n">
        <v>30</v>
      </c>
      <c r="E18" s="5" t="n"/>
      <c r="F18" s="5" t="n"/>
      <c r="G18" s="4" t="n"/>
    </row>
    <row r="19">
      <c r="A19" s="5" t="inlineStr">
        <is>
          <t>HLC</t>
        </is>
      </c>
      <c r="B19" s="4" t="inlineStr">
        <is>
          <t>Halad Chair</t>
        </is>
      </c>
      <c r="C19" s="4" t="inlineStr">
        <is>
          <t>हळद खुर्ची</t>
        </is>
      </c>
      <c r="D19" s="6" t="n">
        <v>300</v>
      </c>
      <c r="E19" s="5" t="n"/>
      <c r="F19" s="5" t="n"/>
      <c r="G19" s="4" t="n"/>
    </row>
    <row r="20">
      <c r="A20" s="5" t="inlineStr">
        <is>
          <t>SF</t>
        </is>
      </c>
      <c r="B20" s="4" t="inlineStr">
        <is>
          <t>Sofa</t>
        </is>
      </c>
      <c r="C20" s="4" t="inlineStr">
        <is>
          <t>सोफा</t>
        </is>
      </c>
      <c r="D20" s="6" t="n">
        <v>150</v>
      </c>
      <c r="E20" s="5" t="n"/>
      <c r="F20" s="5" t="n"/>
      <c r="G20" s="4" t="n"/>
    </row>
    <row r="21">
      <c r="A21" s="5" t="inlineStr">
        <is>
          <t>FCS</t>
        </is>
      </c>
      <c r="B21" s="4" t="inlineStr">
        <is>
          <t>Focus</t>
        </is>
      </c>
      <c r="C21" s="4" t="inlineStr">
        <is>
          <t>फोकस</t>
        </is>
      </c>
      <c r="D21" s="6" t="n">
        <v>100</v>
      </c>
      <c r="E21" s="5" t="n"/>
      <c r="F21" s="5" t="n"/>
      <c r="G21" s="4" t="n"/>
    </row>
    <row r="22">
      <c r="A22" s="5" t="inlineStr">
        <is>
          <t>CRNG</t>
        </is>
      </c>
      <c r="B22" s="4" t="inlineStr">
        <is>
          <t>Chaurang</t>
        </is>
      </c>
      <c r="C22" s="4" t="inlineStr">
        <is>
          <t>चौरंग</t>
        </is>
      </c>
      <c r="D22" s="6" t="n">
        <v>20</v>
      </c>
      <c r="E22" s="5" t="n"/>
      <c r="F22" s="5" t="n"/>
      <c r="G22" s="4" t="n"/>
    </row>
    <row r="23">
      <c r="A23" s="5" t="inlineStr">
        <is>
          <t>PRD</t>
        </is>
      </c>
      <c r="B23" s="4" t="inlineStr">
        <is>
          <t>Parda</t>
        </is>
      </c>
      <c r="C23" s="4" t="inlineStr">
        <is>
          <t>पडदा</t>
        </is>
      </c>
      <c r="D23" s="6" t="n">
        <v>100</v>
      </c>
      <c r="E23" s="5" t="n"/>
      <c r="F23" s="5" t="n"/>
      <c r="G23" s="4" t="n"/>
    </row>
    <row r="24">
      <c r="A24" s="5" t="inlineStr">
        <is>
          <t>TP</t>
        </is>
      </c>
      <c r="B24" s="4" t="inlineStr">
        <is>
          <t>Tup</t>
        </is>
      </c>
      <c r="C24" s="4" t="inlineStr">
        <is>
          <t>तुप</t>
        </is>
      </c>
      <c r="D24" s="6" t="n">
        <v>30</v>
      </c>
      <c r="E24" s="5" t="n"/>
      <c r="F24" s="5" t="n"/>
      <c r="G24" s="4" t="n"/>
    </row>
    <row r="25">
      <c r="A25" s="5" t="inlineStr">
        <is>
          <t>ASN</t>
        </is>
      </c>
      <c r="B25" s="4" t="inlineStr">
        <is>
          <t>Asanpatti</t>
        </is>
      </c>
      <c r="C25" s="4" t="inlineStr">
        <is>
          <t>आसनपट्टी</t>
        </is>
      </c>
      <c r="D25" s="6" t="n">
        <v>10</v>
      </c>
      <c r="E25" s="5" t="n"/>
      <c r="F25" s="5" t="n"/>
      <c r="G25" s="4" t="n"/>
    </row>
    <row r="26">
      <c r="A26" s="5" t="inlineStr">
        <is>
          <t>VCH</t>
        </is>
      </c>
      <c r="B26" s="4" t="inlineStr">
        <is>
          <t>VIP Chair</t>
        </is>
      </c>
      <c r="C26" s="4" t="inlineStr">
        <is>
          <t>व्हीआयपी खुर्ची</t>
        </is>
      </c>
      <c r="D26" s="6" t="n">
        <v>25</v>
      </c>
      <c r="E26" s="5" t="n"/>
      <c r="F26" s="5" t="n"/>
      <c r="G26" s="4" t="n"/>
    </row>
    <row r="27">
      <c r="A27" s="5" t="inlineStr">
        <is>
          <t>CHCVR</t>
        </is>
      </c>
      <c r="B27" s="4" t="inlineStr">
        <is>
          <t>Chair Cover</t>
        </is>
      </c>
      <c r="C27" s="4" t="inlineStr">
        <is>
          <t>खुर्ची कव्हर</t>
        </is>
      </c>
      <c r="D27" s="6" t="n">
        <v>10</v>
      </c>
      <c r="E27" s="5" t="n"/>
      <c r="F27" s="5" t="n"/>
      <c r="G27" s="4" t="n"/>
    </row>
    <row r="28">
      <c r="A28" s="5" t="inlineStr">
        <is>
          <t>MSF</t>
        </is>
      </c>
      <c r="B28" s="4" t="inlineStr">
        <is>
          <t>Maharaja Sofa</t>
        </is>
      </c>
      <c r="C28" s="4" t="inlineStr">
        <is>
          <t>महाराजा सोफा</t>
        </is>
      </c>
      <c r="D28" s="6" t="n">
        <v>700</v>
      </c>
      <c r="E28" s="5" t="n"/>
      <c r="F28" s="5" t="n"/>
      <c r="G28" s="4" t="n"/>
    </row>
    <row r="29">
      <c r="A29" s="5" t="inlineStr">
        <is>
          <t>STBL</t>
        </is>
      </c>
      <c r="B29" s="4" t="inlineStr">
        <is>
          <t>Stage Table</t>
        </is>
      </c>
      <c r="C29" s="4" t="inlineStr">
        <is>
          <t>स्टेज टेबल</t>
        </is>
      </c>
      <c r="D29" s="6" t="n">
        <v>30</v>
      </c>
      <c r="E29" s="5" t="n"/>
      <c r="F29" s="5" t="n"/>
      <c r="G29" s="4" t="n"/>
    </row>
    <row r="30">
      <c r="A30" s="5" t="inlineStr">
        <is>
          <t>US</t>
        </is>
      </c>
      <c r="B30" s="4" t="inlineStr">
        <is>
          <t>Ushi</t>
        </is>
      </c>
      <c r="C30" s="4" t="inlineStr">
        <is>
          <t>उशी</t>
        </is>
      </c>
      <c r="D30" s="6" t="n">
        <v>5</v>
      </c>
      <c r="E30" s="5" t="n"/>
      <c r="F30" s="5" t="n"/>
      <c r="G30" s="4" t="n"/>
    </row>
    <row r="31">
      <c r="A31" s="5" t="inlineStr">
        <is>
          <t>CD</t>
        </is>
      </c>
      <c r="B31" s="4" t="inlineStr">
        <is>
          <t>Chadar</t>
        </is>
      </c>
      <c r="C31" s="4" t="inlineStr">
        <is>
          <t>चादर</t>
        </is>
      </c>
      <c r="D31" s="6" t="n">
        <v>10</v>
      </c>
      <c r="E31" s="5" t="n"/>
      <c r="F31" s="5" t="n"/>
      <c r="G31" s="4" t="n"/>
    </row>
    <row r="32">
      <c r="A32" s="5" t="inlineStr">
        <is>
          <t>BK</t>
        </is>
      </c>
      <c r="B32" s="4" t="inlineStr">
        <is>
          <t>Blanket</t>
        </is>
      </c>
      <c r="C32" s="4" t="inlineStr">
        <is>
          <t>ब्लँकेट</t>
        </is>
      </c>
      <c r="D32" s="6" t="n">
        <v>10</v>
      </c>
      <c r="E32" s="5" t="n"/>
      <c r="F32" s="5" t="n"/>
      <c r="G32" s="4" t="n"/>
    </row>
    <row r="33">
      <c r="A33" s="5" t="inlineStr">
        <is>
          <t>FG</t>
        </is>
      </c>
      <c r="B33" s="4" t="inlineStr">
        <is>
          <t>Foam Gadi</t>
        </is>
      </c>
      <c r="C33" s="4" t="inlineStr">
        <is>
          <t>फोम गादी</t>
        </is>
      </c>
      <c r="D33" s="6" t="n">
        <v>30</v>
      </c>
      <c r="E33" s="5" t="n"/>
      <c r="F33" s="5" t="n"/>
      <c r="G33" s="4" t="n"/>
    </row>
    <row r="34">
      <c r="A34" s="5" t="inlineStr">
        <is>
          <t>TW</t>
        </is>
      </c>
      <c r="B34" s="4" t="inlineStr">
        <is>
          <t>Two way</t>
        </is>
      </c>
      <c r="C34" s="4" t="inlineStr">
        <is>
          <t>टू वे</t>
        </is>
      </c>
      <c r="D34" s="6" t="n">
        <v>200</v>
      </c>
      <c r="E34" s="5" t="n"/>
      <c r="F34" s="5" t="n"/>
      <c r="G34" s="4" t="n"/>
    </row>
    <row r="35">
      <c r="A35" s="5" t="inlineStr">
        <is>
          <t>FW</t>
        </is>
      </c>
      <c r="B35" s="4" t="inlineStr">
        <is>
          <t>Four Way</t>
        </is>
      </c>
      <c r="C35" s="4" t="inlineStr">
        <is>
          <t>फोर वे</t>
        </is>
      </c>
      <c r="D35" s="6" t="n">
        <v>400</v>
      </c>
      <c r="E35" s="5" t="n"/>
      <c r="F35" s="5" t="n"/>
      <c r="G35" s="4" t="n"/>
    </row>
    <row r="36">
      <c r="A36" s="5" t="inlineStr">
        <is>
          <t>APT</t>
        </is>
      </c>
      <c r="B36" s="4" t="inlineStr">
        <is>
          <t>Amp Pinto</t>
        </is>
      </c>
      <c r="C36" s="4" t="inlineStr">
        <is>
          <t>अँप पिंटो</t>
        </is>
      </c>
      <c r="D36" s="6" t="n">
        <v>200</v>
      </c>
      <c r="E36" s="5" t="n"/>
      <c r="F36" s="5" t="n"/>
      <c r="G36" s="4" t="n"/>
    </row>
    <row r="37">
      <c r="A37" s="5" t="inlineStr">
        <is>
          <t>AAH</t>
        </is>
      </c>
      <c r="B37" s="4" t="inlineStr">
        <is>
          <t>Amp Ahuja</t>
        </is>
      </c>
      <c r="C37" s="4" t="inlineStr">
        <is>
          <t>अँप अहुजा</t>
        </is>
      </c>
      <c r="D37" s="6" t="n">
        <v>200</v>
      </c>
      <c r="E37" s="5" t="n"/>
      <c r="F37" s="5" t="n"/>
      <c r="G37" s="4" t="n"/>
    </row>
    <row r="38">
      <c r="A38" s="5" t="inlineStr">
        <is>
          <t>HLT</t>
        </is>
      </c>
      <c r="B38" s="4" t="inlineStr">
        <is>
          <t>Halad Tup</t>
        </is>
      </c>
      <c r="C38" s="4" t="inlineStr">
        <is>
          <t>हळद तूप</t>
        </is>
      </c>
      <c r="D38" s="6" t="n">
        <v>500</v>
      </c>
      <c r="E38" s="5" t="n"/>
      <c r="F38" s="5" t="n"/>
      <c r="G38" s="4" t="n"/>
    </row>
    <row r="39">
      <c r="A39" s="5" t="inlineStr">
        <is>
          <t>FGD</t>
        </is>
      </c>
      <c r="B39" s="4" t="inlineStr">
        <is>
          <t>Foam Gadi</t>
        </is>
      </c>
      <c r="C39" s="4" t="inlineStr">
        <is>
          <t>फोम गादी</t>
        </is>
      </c>
      <c r="D39" s="6" t="n">
        <v>40</v>
      </c>
      <c r="E39" s="5" t="n"/>
      <c r="F39" s="5" t="n"/>
      <c r="G39" s="4" t="n"/>
    </row>
    <row r="40">
      <c r="A40" s="5" t="inlineStr">
        <is>
          <t>SHF</t>
        </is>
      </c>
      <c r="B40" s="4" t="inlineStr">
        <is>
          <t>Shafing Dish</t>
        </is>
      </c>
      <c r="C40" s="4" t="inlineStr">
        <is>
          <t>शेफिंग डिश</t>
        </is>
      </c>
      <c r="D40" s="6" t="n">
        <v>50</v>
      </c>
      <c r="E40" s="5" t="n"/>
      <c r="F40" s="5" t="n"/>
      <c r="G40" s="4" t="n"/>
    </row>
    <row r="41">
      <c r="A41" s="5" t="inlineStr">
        <is>
          <t>CSH</t>
        </is>
      </c>
      <c r="B41" s="4" t="inlineStr">
        <is>
          <t>CASH</t>
        </is>
      </c>
      <c r="C41" s="4" t="inlineStr"/>
      <c r="D41" s="6" t="n">
        <v>0</v>
      </c>
      <c r="E41" s="5" t="n"/>
      <c r="F41" s="5" t="n"/>
      <c r="G41" s="4" t="n"/>
    </row>
    <row r="42">
      <c r="A42" s="5" t="inlineStr">
        <is>
          <t>CHD</t>
        </is>
      </c>
      <c r="B42" s="4" t="inlineStr">
        <is>
          <t>Chadar</t>
        </is>
      </c>
      <c r="C42" s="4" t="inlineStr">
        <is>
          <t>चादर</t>
        </is>
      </c>
      <c r="D42" s="6" t="n">
        <v>10</v>
      </c>
      <c r="E42" s="5" t="n"/>
      <c r="F42" s="5" t="n"/>
      <c r="G42" s="4" t="n"/>
    </row>
    <row r="43">
      <c r="A43" s="5" t="inlineStr">
        <is>
          <t>MT</t>
        </is>
      </c>
      <c r="B43" s="4" t="inlineStr">
        <is>
          <t>Matt</t>
        </is>
      </c>
      <c r="C43" s="4" t="inlineStr">
        <is>
          <t>मॅट</t>
        </is>
      </c>
      <c r="D43" s="6" t="n">
        <v>30</v>
      </c>
      <c r="E43" s="5" t="n"/>
      <c r="F43" s="5" t="n"/>
      <c r="G43" s="4" t="n"/>
    </row>
    <row r="44">
      <c r="A44" s="5" t="inlineStr">
        <is>
          <t>HW</t>
        </is>
      </c>
      <c r="B44" s="4" t="inlineStr">
        <is>
          <t>Hawan Kund</t>
        </is>
      </c>
      <c r="C44" s="4" t="inlineStr">
        <is>
          <t>हवन कुंड</t>
        </is>
      </c>
      <c r="D44" s="6" t="n">
        <v>100</v>
      </c>
      <c r="E44" s="5" t="n"/>
      <c r="F44" s="5" t="n"/>
      <c r="G44" s="4" t="n"/>
    </row>
    <row r="45">
      <c r="A45" s="5" t="inlineStr">
        <is>
          <t>DSH</t>
        </is>
      </c>
      <c r="B45" s="4" t="inlineStr">
        <is>
          <t>Dish</t>
        </is>
      </c>
      <c r="C45" s="4" t="inlineStr">
        <is>
          <t>डिश</t>
        </is>
      </c>
      <c r="D45" s="6" t="n">
        <v>1</v>
      </c>
      <c r="E45" s="5" t="n"/>
      <c r="F45" s="5" t="n"/>
      <c r="G45" s="4" t="n"/>
    </row>
    <row r="46">
      <c r="A46" s="5" t="inlineStr">
        <is>
          <t>PD</t>
        </is>
      </c>
      <c r="B46" s="4" t="inlineStr">
        <is>
          <t>Podium</t>
        </is>
      </c>
      <c r="C46" s="4" t="inlineStr">
        <is>
          <t>पोडियम</t>
        </is>
      </c>
      <c r="D46" s="6" t="n">
        <v>300</v>
      </c>
      <c r="E46" s="5" t="n"/>
      <c r="F46" s="5" t="n"/>
      <c r="G46" s="4" t="n"/>
    </row>
    <row r="47">
      <c r="A47" s="5" t="inlineStr">
        <is>
          <t>STFRM</t>
        </is>
      </c>
      <c r="B47" s="4" t="inlineStr">
        <is>
          <t>Stage Frame</t>
        </is>
      </c>
      <c r="C47" s="4" t="inlineStr">
        <is>
          <t>स्टेज फ्रेम</t>
        </is>
      </c>
      <c r="D47" s="6" t="n">
        <v>100</v>
      </c>
      <c r="E47" s="5" t="n"/>
      <c r="F47" s="5" t="n"/>
      <c r="G47" s="4" t="n"/>
    </row>
    <row r="48">
      <c r="A48" s="5" t="inlineStr">
        <is>
          <t>BFR</t>
        </is>
      </c>
      <c r="B48" s="4" t="inlineStr">
        <is>
          <t>Buffer</t>
        </is>
      </c>
      <c r="C48" s="4" t="inlineStr">
        <is>
          <t>बफर</t>
        </is>
      </c>
      <c r="D48" s="6" t="n">
        <v>100</v>
      </c>
      <c r="E48" s="5" t="n"/>
      <c r="F48" s="5" t="n"/>
      <c r="G48" s="4" t="n"/>
    </row>
    <row r="49">
      <c r="A49" s="5" t="inlineStr">
        <is>
          <t>GDR</t>
        </is>
      </c>
      <c r="B49" s="4" t="inlineStr">
        <is>
          <t>Grinder</t>
        </is>
      </c>
      <c r="C49" s="4" t="inlineStr">
        <is>
          <t>ग्राइंडर</t>
        </is>
      </c>
      <c r="D49" s="6" t="n">
        <v>300</v>
      </c>
      <c r="E49" s="5" t="n"/>
      <c r="F49" s="5" t="n"/>
      <c r="G49" s="4" t="n"/>
    </row>
    <row r="50">
      <c r="A50" s="5" t="inlineStr">
        <is>
          <t>BK FRL</t>
        </is>
      </c>
      <c r="B50" s="4" t="inlineStr">
        <is>
          <t>Black Freel</t>
        </is>
      </c>
      <c r="C50" s="4" t="inlineStr">
        <is>
          <t>काळा फ्रिल</t>
        </is>
      </c>
      <c r="D50" s="6" t="n">
        <v>30</v>
      </c>
      <c r="E50" s="5" t="n"/>
      <c r="F50" s="5" t="n"/>
      <c r="G50" s="4" t="n"/>
    </row>
    <row r="51">
      <c r="A51" s="5" t="inlineStr">
        <is>
          <t>THRMS</t>
        </is>
      </c>
      <c r="B51" s="4" t="inlineStr">
        <is>
          <t>Thermos</t>
        </is>
      </c>
      <c r="C51" s="4" t="inlineStr">
        <is>
          <t>थर्मास</t>
        </is>
      </c>
      <c r="D51" s="6" t="n">
        <v>50</v>
      </c>
      <c r="E51" s="5" t="n"/>
      <c r="F51" s="5" t="n"/>
      <c r="G51" s="4" t="n"/>
    </row>
    <row r="52">
      <c r="A52" s="5" t="inlineStr">
        <is>
          <t>PIPE</t>
        </is>
      </c>
      <c r="B52" s="4" t="inlineStr">
        <is>
          <t>PIPE</t>
        </is>
      </c>
      <c r="C52" s="4" t="inlineStr">
        <is>
          <t>पाईप</t>
        </is>
      </c>
      <c r="D52" s="6" t="n">
        <v>10</v>
      </c>
      <c r="E52" s="5" t="n"/>
      <c r="F52" s="5" t="n"/>
      <c r="G52" s="4" t="n"/>
    </row>
    <row r="53">
      <c r="A53" s="5" t="inlineStr">
        <is>
          <t>RECPT</t>
        </is>
      </c>
      <c r="B53" s="4" t="inlineStr">
        <is>
          <t>RECPT</t>
        </is>
      </c>
      <c r="C53" s="4" t="inlineStr"/>
      <c r="D53" s="6" t="n">
        <v>0</v>
      </c>
      <c r="E53" s="5" t="n"/>
      <c r="F53" s="5" t="n"/>
      <c r="G53" s="4" t="n"/>
    </row>
    <row r="54">
      <c r="A54" s="5" t="inlineStr">
        <is>
          <t>GD SET</t>
        </is>
      </c>
      <c r="B54" s="4" t="inlineStr">
        <is>
          <t>Gadi Set</t>
        </is>
      </c>
      <c r="C54" s="4" t="inlineStr">
        <is>
          <t>गादी सेट</t>
        </is>
      </c>
      <c r="D54" s="6" t="n">
        <v>30</v>
      </c>
      <c r="E54" s="5" t="n"/>
      <c r="F54" s="5" t="n"/>
      <c r="G54" s="4" t="n"/>
    </row>
    <row r="55">
      <c r="A55" s="5" t="inlineStr">
        <is>
          <t>Table CVR</t>
        </is>
      </c>
      <c r="B55" s="4" t="inlineStr">
        <is>
          <t>Table Cover</t>
        </is>
      </c>
      <c r="C55" s="4" t="inlineStr">
        <is>
          <t>टेबल कव्हर</t>
        </is>
      </c>
      <c r="D55" s="6" t="n">
        <v>0</v>
      </c>
      <c r="E55" s="5" t="n"/>
      <c r="F55" s="5" t="n"/>
      <c r="G55" s="4" t="n"/>
    </row>
    <row r="56">
      <c r="A56" s="5" t="inlineStr">
        <is>
          <t>STRN</t>
        </is>
      </c>
      <c r="B56" s="4" t="inlineStr">
        <is>
          <t>Satranji</t>
        </is>
      </c>
      <c r="C56" s="4" t="inlineStr">
        <is>
          <t>सतरंजी</t>
        </is>
      </c>
      <c r="D56" s="6" t="n">
        <v>50</v>
      </c>
      <c r="E56" s="5" t="n"/>
      <c r="F56" s="5" t="n"/>
      <c r="G56" s="4" t="n"/>
    </row>
    <row r="57">
      <c r="A57" s="5" t="inlineStr">
        <is>
          <t>DIAS</t>
        </is>
      </c>
      <c r="B57" s="4" t="inlineStr">
        <is>
          <t>Podium</t>
        </is>
      </c>
      <c r="C57" s="4" t="inlineStr">
        <is>
          <t>पोडियम</t>
        </is>
      </c>
      <c r="D57" s="6" t="n">
        <v>300</v>
      </c>
      <c r="E57" s="5" t="n"/>
      <c r="F57" s="5" t="n"/>
      <c r="G57" s="4" t="n"/>
    </row>
    <row r="58">
      <c r="A58" s="5" t="n"/>
      <c r="B58" s="4" t="n"/>
      <c r="C58" s="4" t="n"/>
      <c r="D58" s="5" t="n"/>
      <c r="E58" s="5" t="n"/>
      <c r="F58" s="5" t="n"/>
      <c r="G58" s="4" t="n"/>
    </row>
    <row r="59">
      <c r="A59" s="5" t="n"/>
      <c r="B59" s="4" t="n"/>
      <c r="C59" s="4" t="n"/>
      <c r="D59" s="5" t="n"/>
      <c r="E59" s="5" t="n"/>
      <c r="F59" s="5" t="n"/>
      <c r="G59" s="4" t="n"/>
    </row>
    <row r="60">
      <c r="A60" s="5" t="n"/>
      <c r="B60" s="4" t="n"/>
      <c r="C60" s="4" t="n"/>
      <c r="D60" s="5" t="n"/>
      <c r="E60" s="5" t="n"/>
      <c r="F60" s="5" t="n"/>
      <c r="G60" s="4" t="n"/>
    </row>
    <row r="61">
      <c r="A61" s="5" t="n"/>
      <c r="B61" s="4" t="n"/>
      <c r="C61" s="4" t="n"/>
      <c r="D61" s="5" t="n"/>
      <c r="E61" s="5" t="n"/>
      <c r="F61" s="5" t="n"/>
      <c r="G61" s="4" t="n"/>
    </row>
    <row r="62">
      <c r="A62" s="5" t="n"/>
      <c r="B62" s="4" t="n"/>
      <c r="C62" s="4" t="n"/>
      <c r="D62" s="5" t="n"/>
      <c r="E62" s="5" t="n"/>
      <c r="F62" s="5" t="n"/>
      <c r="G62" s="4" t="n"/>
    </row>
    <row r="63">
      <c r="A63" s="5" t="n"/>
      <c r="B63" s="4" t="n"/>
      <c r="C63" s="4" t="n"/>
      <c r="D63" s="5" t="n"/>
      <c r="E63" s="5" t="n"/>
      <c r="F63" s="5" t="n"/>
      <c r="G63" s="4" t="n"/>
    </row>
    <row r="64">
      <c r="A64" s="5" t="n"/>
      <c r="B64" s="4" t="n"/>
      <c r="C64" s="4" t="n"/>
      <c r="D64" s="5" t="n"/>
      <c r="E64" s="5" t="n"/>
      <c r="F64" s="5" t="n"/>
      <c r="G64" s="4" t="n"/>
    </row>
    <row r="65">
      <c r="A65" s="5" t="n"/>
      <c r="B65" s="4" t="n"/>
      <c r="C65" s="4" t="n"/>
      <c r="D65" s="5" t="n"/>
      <c r="E65" s="5" t="n"/>
      <c r="F65" s="5" t="n"/>
      <c r="G65" s="4" t="n"/>
    </row>
    <row r="66">
      <c r="A66" s="5" t="n"/>
      <c r="B66" s="4" t="n"/>
      <c r="C66" s="4" t="n"/>
      <c r="D66" s="5" t="n"/>
      <c r="E66" s="5" t="n"/>
      <c r="F66" s="5" t="n"/>
      <c r="G66" s="4" t="n"/>
    </row>
    <row r="67">
      <c r="A67" s="5" t="n"/>
      <c r="B67" s="4" t="n"/>
      <c r="C67" s="4" t="n"/>
      <c r="D67" s="5" t="n"/>
      <c r="E67" s="5" t="n"/>
      <c r="F67" s="5" t="n"/>
      <c r="G67" s="4" t="n"/>
    </row>
    <row r="68">
      <c r="A68" s="5" t="n"/>
      <c r="B68" s="4" t="n"/>
      <c r="C68" s="4" t="n"/>
      <c r="D68" s="5" t="n"/>
      <c r="E68" s="5" t="n"/>
      <c r="F68" s="5" t="n"/>
      <c r="G68" s="4" t="n"/>
    </row>
    <row r="69">
      <c r="A69" s="5" t="n"/>
      <c r="B69" s="4" t="n"/>
      <c r="C69" s="4" t="n"/>
      <c r="D69" s="5" t="n"/>
      <c r="E69" s="5" t="n"/>
      <c r="F69" s="5" t="n"/>
      <c r="G69" s="4" t="n"/>
    </row>
    <row r="70">
      <c r="A70" s="5" t="n"/>
      <c r="B70" s="4" t="n"/>
      <c r="C70" s="4" t="n"/>
      <c r="D70" s="5" t="n"/>
      <c r="E70" s="5" t="n"/>
      <c r="F70" s="5" t="n"/>
      <c r="G70" s="4" t="n"/>
    </row>
    <row r="71">
      <c r="A71" s="5" t="n"/>
      <c r="B71" s="4" t="n"/>
      <c r="C71" s="4" t="n"/>
      <c r="D71" s="5" t="n"/>
      <c r="E71" s="5" t="n"/>
      <c r="F71" s="5" t="n"/>
      <c r="G71" s="4" t="n"/>
    </row>
    <row r="72">
      <c r="A72" s="5" t="n"/>
      <c r="B72" s="4" t="n"/>
      <c r="C72" s="4" t="n"/>
      <c r="D72" s="5" t="n"/>
      <c r="E72" s="5" t="n"/>
      <c r="F72" s="5" t="n"/>
      <c r="G72" s="4" t="n"/>
    </row>
    <row r="73">
      <c r="A73" s="5" t="n"/>
      <c r="B73" s="4" t="n"/>
      <c r="C73" s="4" t="n"/>
      <c r="D73" s="5" t="n"/>
      <c r="E73" s="5" t="n"/>
      <c r="F73" s="5" t="n"/>
      <c r="G73" s="4" t="n"/>
    </row>
    <row r="74">
      <c r="A74" s="5" t="n"/>
      <c r="B74" s="4" t="n"/>
      <c r="C74" s="4" t="n"/>
      <c r="D74" s="5" t="n"/>
      <c r="E74" s="5" t="n"/>
      <c r="F74" s="5" t="n"/>
      <c r="G74" s="4" t="n"/>
    </row>
    <row r="75">
      <c r="A75" s="5" t="n"/>
      <c r="B75" s="4" t="n"/>
      <c r="C75" s="4" t="n"/>
      <c r="D75" s="5" t="n"/>
      <c r="E75" s="5" t="n"/>
      <c r="F75" s="5" t="n"/>
      <c r="G75" s="4" t="n"/>
    </row>
    <row r="76">
      <c r="A76" s="5" t="n"/>
      <c r="B76" s="4" t="n"/>
      <c r="C76" s="4" t="n"/>
      <c r="D76" s="5" t="n"/>
      <c r="E76" s="5" t="n"/>
      <c r="F76" s="5" t="n"/>
      <c r="G76" s="4" t="n"/>
    </row>
    <row r="77">
      <c r="A77" s="5" t="n"/>
      <c r="B77" s="4" t="n"/>
      <c r="C77" s="4" t="n"/>
      <c r="D77" s="5" t="n"/>
      <c r="E77" s="5" t="n"/>
      <c r="F77" s="5" t="n"/>
      <c r="G77" s="4" t="n"/>
    </row>
    <row r="78">
      <c r="A78" s="5" t="n"/>
      <c r="B78" s="4" t="n"/>
      <c r="C78" s="4" t="n"/>
      <c r="D78" s="5" t="n"/>
      <c r="E78" s="5" t="n"/>
      <c r="F78" s="5" t="n"/>
      <c r="G78" s="4" t="n"/>
    </row>
    <row r="79">
      <c r="A79" s="5" t="n"/>
      <c r="B79" s="4" t="n"/>
      <c r="C79" s="4" t="n"/>
      <c r="D79" s="5" t="n"/>
      <c r="E79" s="5" t="n"/>
      <c r="F79" s="5" t="n"/>
      <c r="G79" s="4" t="n"/>
    </row>
    <row r="80">
      <c r="A80" s="5" t="n"/>
      <c r="B80" s="4" t="n"/>
      <c r="C80" s="4" t="n"/>
      <c r="D80" s="5" t="n"/>
      <c r="E80" s="5" t="n"/>
      <c r="F80" s="5" t="n"/>
      <c r="G80" s="4" t="n"/>
    </row>
    <row r="81">
      <c r="A81" s="5" t="n"/>
      <c r="B81" s="4" t="n"/>
      <c r="C81" s="4" t="n"/>
      <c r="D81" s="5" t="n"/>
      <c r="E81" s="5" t="n"/>
      <c r="F81" s="5" t="n"/>
      <c r="G81" s="4" t="n"/>
    </row>
    <row r="82">
      <c r="A82" s="5" t="n"/>
      <c r="B82" s="4" t="n"/>
      <c r="C82" s="4" t="n"/>
      <c r="D82" s="5" t="n"/>
      <c r="E82" s="5" t="n"/>
      <c r="F82" s="5" t="n"/>
      <c r="G82" s="4" t="n"/>
    </row>
    <row r="83">
      <c r="A83" s="5" t="n"/>
      <c r="B83" s="4" t="n"/>
      <c r="C83" s="4" t="n"/>
      <c r="D83" s="5" t="n"/>
      <c r="E83" s="5" t="n"/>
      <c r="F83" s="5" t="n"/>
      <c r="G83" s="4" t="n"/>
    </row>
    <row r="84">
      <c r="A84" s="5" t="n"/>
      <c r="B84" s="4" t="n"/>
      <c r="C84" s="4" t="n"/>
      <c r="D84" s="5" t="n"/>
      <c r="E84" s="5" t="n"/>
      <c r="F84" s="5" t="n"/>
      <c r="G84" s="4" t="n"/>
    </row>
    <row r="85">
      <c r="A85" s="5" t="n"/>
      <c r="B85" s="4" t="n"/>
      <c r="C85" s="4" t="n"/>
      <c r="D85" s="5" t="n"/>
      <c r="E85" s="5" t="n"/>
      <c r="F85" s="5" t="n"/>
      <c r="G85" s="4" t="n"/>
    </row>
    <row r="86">
      <c r="A86" s="5" t="n"/>
      <c r="B86" s="4" t="n"/>
      <c r="C86" s="4" t="n"/>
      <c r="D86" s="5" t="n"/>
      <c r="E86" s="5" t="n"/>
      <c r="F86" s="5" t="n"/>
      <c r="G86" s="4" t="n"/>
    </row>
    <row r="87">
      <c r="A87" s="5" t="n"/>
      <c r="B87" s="4" t="n"/>
      <c r="C87" s="4" t="n"/>
      <c r="D87" s="5" t="n"/>
      <c r="E87" s="5" t="n"/>
      <c r="F87" s="5" t="n"/>
      <c r="G87" s="4" t="n"/>
    </row>
    <row r="88">
      <c r="A88" s="5" t="n"/>
      <c r="B88" s="4" t="n"/>
      <c r="C88" s="4" t="n"/>
      <c r="D88" s="5" t="n"/>
      <c r="E88" s="5" t="n"/>
      <c r="F88" s="5" t="n"/>
      <c r="G88" s="4" t="n"/>
    </row>
    <row r="89">
      <c r="A89" s="5" t="n"/>
      <c r="B89" s="4" t="n"/>
      <c r="C89" s="4" t="n"/>
      <c r="D89" s="5" t="n"/>
      <c r="E89" s="5" t="n"/>
      <c r="F89" s="5" t="n"/>
      <c r="G89" s="4" t="n"/>
    </row>
    <row r="90">
      <c r="A90" s="5" t="n"/>
      <c r="B90" s="4" t="n"/>
      <c r="C90" s="4" t="n"/>
      <c r="D90" s="5" t="n"/>
      <c r="E90" s="5" t="n"/>
      <c r="F90" s="5" t="n"/>
      <c r="G90" s="4" t="n"/>
    </row>
    <row r="91">
      <c r="A91" s="5" t="n"/>
      <c r="B91" s="4" t="n"/>
      <c r="C91" s="4" t="n"/>
      <c r="D91" s="5" t="n"/>
      <c r="E91" s="5" t="n"/>
      <c r="F91" s="5" t="n"/>
      <c r="G91" s="4" t="n"/>
    </row>
    <row r="92">
      <c r="A92" s="5" t="n"/>
      <c r="B92" s="4" t="n"/>
      <c r="C92" s="4" t="n"/>
      <c r="D92" s="5" t="n"/>
      <c r="E92" s="5" t="n"/>
      <c r="F92" s="5" t="n"/>
      <c r="G92" s="4" t="n"/>
    </row>
    <row r="93">
      <c r="A93" s="5" t="n"/>
      <c r="B93" s="4" t="n"/>
      <c r="C93" s="4" t="n"/>
      <c r="D93" s="5" t="n"/>
      <c r="E93" s="5" t="n"/>
      <c r="F93" s="5" t="n"/>
      <c r="G93" s="4" t="n"/>
    </row>
    <row r="94">
      <c r="A94" s="5" t="n"/>
      <c r="B94" s="4" t="n"/>
      <c r="C94" s="4" t="n"/>
      <c r="D94" s="5" t="n"/>
      <c r="E94" s="5" t="n"/>
      <c r="F94" s="5" t="n"/>
      <c r="G94" s="4" t="n"/>
    </row>
    <row r="95">
      <c r="A95" s="5" t="n"/>
      <c r="B95" s="4" t="n"/>
      <c r="C95" s="4" t="n"/>
      <c r="D95" s="5" t="n"/>
      <c r="E95" s="5" t="n"/>
      <c r="F95" s="5" t="n"/>
      <c r="G95" s="4" t="n"/>
    </row>
    <row r="96">
      <c r="A96" s="5" t="n"/>
      <c r="B96" s="4" t="n"/>
      <c r="C96" s="4" t="n"/>
      <c r="D96" s="5" t="n"/>
      <c r="E96" s="5" t="n"/>
      <c r="F96" s="5" t="n"/>
      <c r="G96" s="4" t="n"/>
    </row>
    <row r="97">
      <c r="A97" s="5" t="n"/>
      <c r="B97" s="4" t="n"/>
      <c r="C97" s="4" t="n"/>
      <c r="D97" s="5" t="n"/>
      <c r="E97" s="5" t="n"/>
      <c r="F97" s="5" t="n"/>
      <c r="G97" s="4" t="n"/>
    </row>
    <row r="98">
      <c r="A98" s="5" t="n"/>
      <c r="B98" s="4" t="n"/>
      <c r="C98" s="4" t="n"/>
      <c r="D98" s="5" t="n"/>
      <c r="E98" s="5" t="n"/>
      <c r="F98" s="5" t="n"/>
      <c r="G98" s="4" t="n"/>
    </row>
    <row r="99">
      <c r="A99" s="5" t="n"/>
      <c r="B99" s="4" t="n"/>
      <c r="C99" s="4" t="n"/>
      <c r="D99" s="5" t="n"/>
      <c r="E99" s="5" t="n"/>
      <c r="F99" s="5" t="n"/>
      <c r="G99" s="4" t="n"/>
    </row>
    <row r="100">
      <c r="A100" s="5" t="n"/>
      <c r="B100" s="4" t="n"/>
      <c r="C100" s="4" t="n"/>
      <c r="D100" s="5" t="n"/>
      <c r="E100" s="5" t="n"/>
      <c r="F100" s="5" t="n"/>
      <c r="G100" s="4" t="n"/>
    </row>
    <row r="101">
      <c r="A101" s="5" t="n"/>
      <c r="B101" s="4" t="n"/>
      <c r="C101" s="4" t="n"/>
      <c r="D101" s="5" t="n"/>
      <c r="E101" s="5" t="n"/>
      <c r="F101" s="5" t="n"/>
      <c r="G101" s="4" t="n"/>
    </row>
    <row r="102">
      <c r="A102" s="5" t="n"/>
      <c r="B102" s="4" t="n"/>
      <c r="C102" s="4" t="n"/>
      <c r="D102" s="5" t="n"/>
      <c r="E102" s="5" t="n"/>
      <c r="F102" s="5" t="n"/>
      <c r="G102" s="4" t="n"/>
    </row>
    <row r="103">
      <c r="A103" s="5" t="n"/>
      <c r="B103" s="4" t="n"/>
      <c r="C103" s="4" t="n"/>
      <c r="D103" s="5" t="n"/>
      <c r="E103" s="5" t="n"/>
      <c r="F103" s="5" t="n"/>
      <c r="G103" s="4" t="n"/>
    </row>
    <row r="104">
      <c r="A104" s="5" t="n"/>
      <c r="B104" s="4" t="n"/>
      <c r="C104" s="4" t="n"/>
      <c r="D104" s="5" t="n"/>
      <c r="E104" s="5" t="n"/>
      <c r="F104" s="5" t="n"/>
      <c r="G104" s="4" t="n"/>
    </row>
    <row r="105">
      <c r="A105" s="5" t="n"/>
      <c r="B105" s="4" t="n"/>
      <c r="C105" s="4" t="n"/>
      <c r="D105" s="5" t="n"/>
      <c r="E105" s="5" t="n"/>
      <c r="F105" s="5" t="n"/>
      <c r="G105" s="4" t="n"/>
    </row>
    <row r="106">
      <c r="A106" s="5" t="n"/>
      <c r="B106" s="4" t="n"/>
      <c r="C106" s="4" t="n"/>
      <c r="D106" s="5" t="n"/>
      <c r="E106" s="5" t="n"/>
      <c r="F106" s="5" t="n"/>
      <c r="G106" s="4" t="n"/>
    </row>
    <row r="107">
      <c r="A107" s="5" t="n"/>
      <c r="B107" s="4" t="n"/>
      <c r="C107" s="4" t="n"/>
      <c r="D107" s="5" t="n"/>
      <c r="E107" s="5" t="n"/>
      <c r="F107" s="5" t="n"/>
      <c r="G107" s="4" t="n"/>
    </row>
    <row r="108">
      <c r="A108" s="5" t="n"/>
      <c r="B108" s="4" t="n"/>
      <c r="C108" s="4" t="n"/>
      <c r="D108" s="5" t="n"/>
      <c r="E108" s="5" t="n"/>
      <c r="F108" s="5" t="n"/>
      <c r="G108" s="4" t="n"/>
    </row>
    <row r="109">
      <c r="A109" s="5" t="n"/>
      <c r="B109" s="4" t="n"/>
      <c r="C109" s="4" t="n"/>
      <c r="D109" s="5" t="n"/>
      <c r="E109" s="5" t="n"/>
      <c r="F109" s="5" t="n"/>
      <c r="G109" s="4" t="n"/>
    </row>
    <row r="110">
      <c r="A110" s="5" t="n"/>
      <c r="B110" s="4" t="n"/>
      <c r="C110" s="4" t="n"/>
      <c r="D110" s="5" t="n"/>
      <c r="E110" s="5" t="n"/>
      <c r="F110" s="5" t="n"/>
      <c r="G110" s="4" t="n"/>
    </row>
    <row r="111">
      <c r="A111" s="5" t="n"/>
      <c r="B111" s="4" t="n"/>
      <c r="C111" s="4" t="n"/>
      <c r="D111" s="5" t="n"/>
      <c r="E111" s="5" t="n"/>
      <c r="F111" s="5" t="n"/>
      <c r="G111" s="4" t="n"/>
    </row>
    <row r="112">
      <c r="A112" s="5" t="n"/>
      <c r="B112" s="4" t="n"/>
      <c r="C112" s="4" t="n"/>
      <c r="D112" s="5" t="n"/>
      <c r="E112" s="5" t="n"/>
      <c r="F112" s="5" t="n"/>
      <c r="G112" s="4" t="n"/>
    </row>
    <row r="113">
      <c r="A113" s="5" t="n"/>
      <c r="B113" s="4" t="n"/>
      <c r="C113" s="4" t="n"/>
      <c r="D113" s="5" t="n"/>
      <c r="E113" s="5" t="n"/>
      <c r="F113" s="5" t="n"/>
      <c r="G113" s="4" t="n"/>
    </row>
    <row r="114">
      <c r="A114" s="5" t="n"/>
      <c r="B114" s="4" t="n"/>
      <c r="C114" s="4" t="n"/>
      <c r="D114" s="5" t="n"/>
      <c r="E114" s="5" t="n"/>
      <c r="F114" s="5" t="n"/>
      <c r="G114" s="4" t="n"/>
    </row>
    <row r="115">
      <c r="A115" s="5" t="n"/>
      <c r="B115" s="4" t="n"/>
      <c r="C115" s="4" t="n"/>
      <c r="D115" s="5" t="n"/>
      <c r="E115" s="5" t="n"/>
      <c r="F115" s="5" t="n"/>
      <c r="G115" s="4" t="n"/>
    </row>
    <row r="116">
      <c r="A116" s="5" t="n"/>
      <c r="B116" s="4" t="n"/>
      <c r="C116" s="4" t="n"/>
      <c r="D116" s="5" t="n"/>
      <c r="E116" s="5" t="n"/>
      <c r="F116" s="5" t="n"/>
      <c r="G116" s="4" t="n"/>
    </row>
    <row r="117">
      <c r="A117" s="5" t="n"/>
      <c r="B117" s="4" t="n"/>
      <c r="C117" s="4" t="n"/>
      <c r="D117" s="5" t="n"/>
      <c r="E117" s="5" t="n"/>
      <c r="F117" s="5" t="n"/>
      <c r="G117" s="4" t="n"/>
    </row>
    <row r="118">
      <c r="A118" s="5" t="n"/>
      <c r="B118" s="4" t="n"/>
      <c r="C118" s="4" t="n"/>
      <c r="D118" s="5" t="n"/>
      <c r="E118" s="5" t="n"/>
      <c r="F118" s="5" t="n"/>
      <c r="G118" s="4" t="n"/>
    </row>
    <row r="119">
      <c r="A119" s="5" t="n"/>
      <c r="B119" s="4" t="n"/>
      <c r="C119" s="4" t="n"/>
      <c r="D119" s="5" t="n"/>
      <c r="E119" s="5" t="n"/>
      <c r="F119" s="5" t="n"/>
      <c r="G119" s="4" t="n"/>
    </row>
    <row r="120">
      <c r="A120" s="5" t="n"/>
      <c r="B120" s="4" t="n"/>
      <c r="C120" s="4" t="n"/>
      <c r="D120" s="5" t="n"/>
      <c r="E120" s="5" t="n"/>
      <c r="F120" s="5" t="n"/>
      <c r="G120" s="4" t="n"/>
    </row>
    <row r="121">
      <c r="A121" s="5" t="n"/>
      <c r="B121" s="4" t="n"/>
      <c r="C121" s="4" t="n"/>
      <c r="D121" s="5" t="n"/>
      <c r="E121" s="5" t="n"/>
      <c r="F121" s="5" t="n"/>
      <c r="G121" s="4" t="n"/>
    </row>
    <row r="122">
      <c r="A122" s="5" t="n"/>
      <c r="B122" s="4" t="n"/>
      <c r="C122" s="4" t="n"/>
      <c r="D122" s="5" t="n"/>
      <c r="E122" s="5" t="n"/>
      <c r="F122" s="5" t="n"/>
      <c r="G122" s="4" t="n"/>
    </row>
    <row r="123">
      <c r="A123" s="5" t="n"/>
      <c r="B123" s="4" t="n"/>
      <c r="C123" s="4" t="n"/>
      <c r="D123" s="5" t="n"/>
      <c r="E123" s="5" t="n"/>
      <c r="F123" s="5" t="n"/>
      <c r="G123" s="4" t="n"/>
    </row>
    <row r="124">
      <c r="A124" s="5" t="n"/>
      <c r="B124" s="4" t="n"/>
      <c r="C124" s="4" t="n"/>
      <c r="D124" s="5" t="n"/>
      <c r="E124" s="5" t="n"/>
      <c r="F124" s="5" t="n"/>
      <c r="G124" s="4" t="n"/>
    </row>
    <row r="125">
      <c r="A125" s="5" t="n"/>
      <c r="B125" s="4" t="n"/>
      <c r="C125" s="4" t="n"/>
      <c r="D125" s="5" t="n"/>
      <c r="E125" s="5" t="n"/>
      <c r="F125" s="5" t="n"/>
      <c r="G125" s="4" t="n"/>
    </row>
    <row r="126">
      <c r="A126" s="5" t="n"/>
      <c r="B126" s="4" t="n"/>
      <c r="C126" s="4" t="n"/>
      <c r="D126" s="5" t="n"/>
      <c r="E126" s="5" t="n"/>
      <c r="F126" s="5" t="n"/>
      <c r="G126" s="4" t="n"/>
    </row>
    <row r="127">
      <c r="A127" s="5" t="n"/>
      <c r="B127" s="4" t="n"/>
      <c r="C127" s="4" t="n"/>
      <c r="D127" s="5" t="n"/>
      <c r="E127" s="5" t="n"/>
      <c r="F127" s="5" t="n"/>
      <c r="G127" s="4" t="n"/>
    </row>
    <row r="128">
      <c r="A128" s="5" t="n"/>
      <c r="B128" s="4" t="n"/>
      <c r="C128" s="4" t="n"/>
      <c r="D128" s="5" t="n"/>
      <c r="E128" s="5" t="n"/>
      <c r="F128" s="5" t="n"/>
      <c r="G128" s="4" t="n"/>
    </row>
    <row r="129">
      <c r="A129" s="5" t="n"/>
      <c r="B129" s="4" t="n"/>
      <c r="C129" s="4" t="n"/>
      <c r="D129" s="5" t="n"/>
      <c r="E129" s="5" t="n"/>
      <c r="F129" s="5" t="n"/>
      <c r="G129" s="4" t="n"/>
    </row>
    <row r="130">
      <c r="A130" s="5" t="n"/>
      <c r="B130" s="4" t="n"/>
      <c r="C130" s="4" t="n"/>
      <c r="D130" s="5" t="n"/>
      <c r="E130" s="5" t="n"/>
      <c r="F130" s="5" t="n"/>
      <c r="G130" s="4" t="n"/>
    </row>
    <row r="131">
      <c r="A131" s="5" t="n"/>
      <c r="B131" s="4" t="n"/>
      <c r="C131" s="4" t="n"/>
      <c r="D131" s="5" t="n"/>
      <c r="E131" s="5" t="n"/>
      <c r="F131" s="5" t="n"/>
      <c r="G131" s="4" t="n"/>
    </row>
    <row r="132">
      <c r="A132" s="5" t="n"/>
      <c r="B132" s="4" t="n"/>
      <c r="C132" s="4" t="n"/>
      <c r="D132" s="5" t="n"/>
      <c r="E132" s="5" t="n"/>
      <c r="F132" s="5" t="n"/>
      <c r="G132" s="4" t="n"/>
    </row>
    <row r="133">
      <c r="A133" s="5" t="n"/>
      <c r="B133" s="4" t="n"/>
      <c r="C133" s="4" t="n"/>
      <c r="D133" s="5" t="n"/>
      <c r="E133" s="5" t="n"/>
      <c r="F133" s="5" t="n"/>
      <c r="G133" s="4" t="n"/>
    </row>
    <row r="134">
      <c r="A134" s="5" t="n"/>
      <c r="B134" s="4" t="n"/>
      <c r="C134" s="4" t="n"/>
      <c r="D134" s="5" t="n"/>
      <c r="E134" s="5" t="n"/>
      <c r="F134" s="5" t="n"/>
      <c r="G134" s="4" t="n"/>
    </row>
    <row r="135">
      <c r="A135" s="5" t="n"/>
      <c r="B135" s="4" t="n"/>
      <c r="C135" s="4" t="n"/>
      <c r="D135" s="5" t="n"/>
      <c r="E135" s="5" t="n"/>
      <c r="F135" s="5" t="n"/>
      <c r="G135" s="4" t="n"/>
    </row>
    <row r="136">
      <c r="A136" s="5" t="n"/>
      <c r="B136" s="4" t="n"/>
      <c r="C136" s="4" t="n"/>
      <c r="D136" s="5" t="n"/>
      <c r="E136" s="5" t="n"/>
      <c r="F136" s="5" t="n"/>
      <c r="G136" s="4" t="n"/>
    </row>
    <row r="137">
      <c r="A137" s="5" t="n"/>
      <c r="B137" s="4" t="n"/>
      <c r="C137" s="4" t="n"/>
      <c r="D137" s="5" t="n"/>
      <c r="E137" s="5" t="n"/>
      <c r="F137" s="5" t="n"/>
      <c r="G137" s="4" t="n"/>
    </row>
    <row r="138">
      <c r="A138" s="5" t="n"/>
      <c r="B138" s="4" t="n"/>
      <c r="C138" s="4" t="n"/>
      <c r="D138" s="5" t="n"/>
      <c r="E138" s="5" t="n"/>
      <c r="F138" s="5" t="n"/>
      <c r="G138" s="4" t="n"/>
    </row>
    <row r="139">
      <c r="A139" s="5" t="n"/>
      <c r="B139" s="4" t="n"/>
      <c r="C139" s="4" t="n"/>
      <c r="D139" s="5" t="n"/>
      <c r="E139" s="5" t="n"/>
      <c r="F139" s="5" t="n"/>
      <c r="G139" s="4" t="n"/>
    </row>
    <row r="140">
      <c r="A140" s="5" t="n"/>
      <c r="B140" s="4" t="n"/>
      <c r="C140" s="4" t="n"/>
      <c r="D140" s="5" t="n"/>
      <c r="E140" s="5" t="n"/>
      <c r="F140" s="5" t="n"/>
      <c r="G140" s="4" t="n"/>
    </row>
    <row r="141">
      <c r="A141" s="5" t="n"/>
      <c r="B141" s="4" t="n"/>
      <c r="C141" s="4" t="n"/>
      <c r="D141" s="5" t="n"/>
      <c r="E141" s="5" t="n"/>
      <c r="F141" s="5" t="n"/>
      <c r="G141" s="4" t="n"/>
    </row>
    <row r="142">
      <c r="A142" s="5" t="n"/>
      <c r="B142" s="4" t="n"/>
      <c r="C142" s="4" t="n"/>
      <c r="D142" s="5" t="n"/>
      <c r="E142" s="5" t="n"/>
      <c r="F142" s="5" t="n"/>
      <c r="G142" s="4" t="n"/>
    </row>
    <row r="143">
      <c r="A143" s="5" t="n"/>
      <c r="B143" s="4" t="n"/>
      <c r="C143" s="4" t="n"/>
      <c r="D143" s="5" t="n"/>
      <c r="E143" s="5" t="n"/>
      <c r="F143" s="5" t="n"/>
      <c r="G143" s="4" t="n"/>
    </row>
    <row r="144">
      <c r="A144" s="5" t="n"/>
      <c r="B144" s="4" t="n"/>
      <c r="C144" s="4" t="n"/>
      <c r="D144" s="5" t="n"/>
      <c r="E144" s="5" t="n"/>
      <c r="F144" s="5" t="n"/>
      <c r="G144" s="4" t="n"/>
    </row>
    <row r="145">
      <c r="A145" s="5" t="n"/>
      <c r="B145" s="4" t="n"/>
      <c r="C145" s="4" t="n"/>
      <c r="D145" s="5" t="n"/>
      <c r="E145" s="5" t="n"/>
      <c r="F145" s="5" t="n"/>
      <c r="G145" s="4" t="n"/>
    </row>
    <row r="146">
      <c r="A146" s="5" t="n"/>
      <c r="B146" s="4" t="n"/>
      <c r="C146" s="4" t="n"/>
      <c r="D146" s="5" t="n"/>
      <c r="E146" s="5" t="n"/>
      <c r="F146" s="5" t="n"/>
      <c r="G146" s="4" t="n"/>
    </row>
    <row r="147">
      <c r="A147" s="5" t="n"/>
      <c r="B147" s="4" t="n"/>
      <c r="C147" s="4" t="n"/>
      <c r="D147" s="5" t="n"/>
      <c r="E147" s="5" t="n"/>
      <c r="F147" s="5" t="n"/>
      <c r="G147" s="4" t="n"/>
    </row>
    <row r="148">
      <c r="A148" s="5" t="n"/>
      <c r="B148" s="4" t="n"/>
      <c r="C148" s="4" t="n"/>
      <c r="D148" s="5" t="n"/>
      <c r="E148" s="5" t="n"/>
      <c r="F148" s="5" t="n"/>
      <c r="G148" s="4" t="n"/>
    </row>
    <row r="149">
      <c r="A149" s="5" t="n"/>
      <c r="B149" s="4" t="n"/>
      <c r="C149" s="4" t="n"/>
      <c r="D149" s="5" t="n"/>
      <c r="E149" s="5" t="n"/>
      <c r="F149" s="5" t="n"/>
      <c r="G149" s="4" t="n"/>
    </row>
    <row r="150">
      <c r="A150" s="5" t="n"/>
      <c r="B150" s="4" t="n"/>
      <c r="C150" s="4" t="n"/>
      <c r="D150" s="5" t="n"/>
      <c r="E150" s="5" t="n"/>
      <c r="F150" s="5" t="n"/>
      <c r="G150" s="4" t="n"/>
    </row>
    <row r="151">
      <c r="A151" s="5" t="n"/>
      <c r="B151" s="4" t="n"/>
      <c r="C151" s="4" t="n"/>
      <c r="D151" s="5" t="n"/>
      <c r="E151" s="5" t="n"/>
      <c r="F151" s="5" t="n"/>
      <c r="G151" s="4" t="n"/>
    </row>
    <row r="152">
      <c r="A152" s="5" t="n"/>
      <c r="B152" s="4" t="n"/>
      <c r="C152" s="4" t="n"/>
      <c r="D152" s="5" t="n"/>
      <c r="E152" s="5" t="n"/>
      <c r="F152" s="5" t="n"/>
      <c r="G152" s="4" t="n"/>
    </row>
    <row r="153">
      <c r="A153" s="5" t="n"/>
      <c r="B153" s="4" t="n"/>
      <c r="C153" s="4" t="n"/>
      <c r="D153" s="5" t="n"/>
      <c r="E153" s="5" t="n"/>
      <c r="F153" s="5" t="n"/>
      <c r="G153" s="4" t="n"/>
    </row>
    <row r="154">
      <c r="A154" s="5" t="n"/>
      <c r="B154" s="4" t="n"/>
      <c r="C154" s="4" t="n"/>
      <c r="D154" s="5" t="n"/>
      <c r="E154" s="5" t="n"/>
      <c r="F154" s="5" t="n"/>
      <c r="G154" s="4" t="n"/>
    </row>
    <row r="155">
      <c r="A155" s="5" t="n"/>
      <c r="B155" s="4" t="n"/>
      <c r="C155" s="4" t="n"/>
      <c r="D155" s="5" t="n"/>
      <c r="E155" s="5" t="n"/>
      <c r="F155" s="5" t="n"/>
      <c r="G155" s="4" t="n"/>
    </row>
    <row r="156">
      <c r="A156" s="5" t="n"/>
      <c r="B156" s="4" t="n"/>
      <c r="C156" s="4" t="n"/>
      <c r="D156" s="5" t="n"/>
      <c r="E156" s="5" t="n"/>
      <c r="F156" s="5" t="n"/>
      <c r="G156" s="4" t="n"/>
    </row>
    <row r="157">
      <c r="A157" s="5" t="n"/>
      <c r="B157" s="4" t="n"/>
      <c r="C157" s="4" t="n"/>
      <c r="D157" s="5" t="n"/>
      <c r="E157" s="5" t="n"/>
      <c r="F157" s="5" t="n"/>
      <c r="G157" s="4" t="n"/>
    </row>
    <row r="158">
      <c r="A158" s="5" t="n"/>
      <c r="B158" s="4" t="n"/>
      <c r="C158" s="4" t="n"/>
      <c r="D158" s="5" t="n"/>
      <c r="E158" s="5" t="n"/>
      <c r="F158" s="5" t="n"/>
      <c r="G158" s="4" t="n"/>
    </row>
    <row r="159">
      <c r="A159" s="5" t="n"/>
      <c r="B159" s="4" t="n"/>
      <c r="C159" s="4" t="n"/>
      <c r="D159" s="5" t="n"/>
      <c r="E159" s="5" t="n"/>
      <c r="F159" s="5" t="n"/>
      <c r="G159" s="4" t="n"/>
    </row>
    <row r="160">
      <c r="A160" s="5" t="n"/>
      <c r="B160" s="4" t="n"/>
      <c r="C160" s="4" t="n"/>
      <c r="D160" s="5" t="n"/>
      <c r="E160" s="5" t="n"/>
      <c r="F160" s="5" t="n"/>
      <c r="G160" s="4" t="n"/>
    </row>
    <row r="161">
      <c r="A161" s="5" t="n"/>
      <c r="B161" s="4" t="n"/>
      <c r="C161" s="4" t="n"/>
      <c r="D161" s="5" t="n"/>
      <c r="E161" s="5" t="n"/>
      <c r="F161" s="5" t="n"/>
      <c r="G161" s="4" t="n"/>
    </row>
    <row r="162">
      <c r="A162" s="5" t="n"/>
      <c r="B162" s="4" t="n"/>
      <c r="C162" s="4" t="n"/>
      <c r="D162" s="5" t="n"/>
      <c r="E162" s="5" t="n"/>
      <c r="F162" s="5" t="n"/>
      <c r="G162" s="4" t="n"/>
    </row>
    <row r="163">
      <c r="A163" s="5" t="n"/>
      <c r="B163" s="4" t="n"/>
      <c r="C163" s="4" t="n"/>
      <c r="D163" s="5" t="n"/>
      <c r="E163" s="5" t="n"/>
      <c r="F163" s="5" t="n"/>
      <c r="G163" s="4" t="n"/>
    </row>
    <row r="164">
      <c r="A164" s="5" t="n"/>
      <c r="B164" s="4" t="n"/>
      <c r="C164" s="4" t="n"/>
      <c r="D164" s="5" t="n"/>
      <c r="E164" s="5" t="n"/>
      <c r="F164" s="5" t="n"/>
      <c r="G164" s="4" t="n"/>
    </row>
    <row r="165">
      <c r="A165" s="5" t="n"/>
      <c r="B165" s="4" t="n"/>
      <c r="C165" s="4" t="n"/>
      <c r="D165" s="5" t="n"/>
      <c r="E165" s="5" t="n"/>
      <c r="F165" s="5" t="n"/>
      <c r="G165" s="4" t="n"/>
    </row>
    <row r="166">
      <c r="A166" s="5" t="n"/>
      <c r="B166" s="4" t="n"/>
      <c r="C166" s="4" t="n"/>
      <c r="D166" s="5" t="n"/>
      <c r="E166" s="5" t="n"/>
      <c r="F166" s="5" t="n"/>
      <c r="G166" s="4" t="n"/>
    </row>
    <row r="167">
      <c r="A167" s="5" t="n"/>
      <c r="B167" s="4" t="n"/>
      <c r="C167" s="4" t="n"/>
      <c r="D167" s="5" t="n"/>
      <c r="E167" s="5" t="n"/>
      <c r="F167" s="5" t="n"/>
      <c r="G167" s="4" t="n"/>
    </row>
    <row r="168">
      <c r="A168" s="5" t="n"/>
      <c r="B168" s="4" t="n"/>
      <c r="C168" s="4" t="n"/>
      <c r="D168" s="5" t="n"/>
      <c r="E168" s="5" t="n"/>
      <c r="F168" s="5" t="n"/>
      <c r="G168" s="4" t="n"/>
    </row>
    <row r="169">
      <c r="A169" s="5" t="n"/>
      <c r="B169" s="4" t="n"/>
      <c r="C169" s="4" t="n"/>
      <c r="D169" s="5" t="n"/>
      <c r="E169" s="5" t="n"/>
      <c r="F169" s="5" t="n"/>
      <c r="G169" s="4" t="n"/>
    </row>
    <row r="170">
      <c r="A170" s="5" t="n"/>
      <c r="B170" s="4" t="n"/>
      <c r="C170" s="4" t="n"/>
      <c r="D170" s="5" t="n"/>
      <c r="E170" s="5" t="n"/>
      <c r="F170" s="5" t="n"/>
      <c r="G170" s="4" t="n"/>
    </row>
    <row r="171">
      <c r="A171" s="5" t="n"/>
      <c r="B171" s="4" t="n"/>
      <c r="C171" s="4" t="n"/>
      <c r="D171" s="5" t="n"/>
      <c r="E171" s="5" t="n"/>
      <c r="F171" s="5" t="n"/>
      <c r="G171" s="4" t="n"/>
    </row>
    <row r="172">
      <c r="A172" s="5" t="n"/>
      <c r="B172" s="4" t="n"/>
      <c r="C172" s="4" t="n"/>
      <c r="D172" s="5" t="n"/>
      <c r="E172" s="5" t="n"/>
      <c r="F172" s="5" t="n"/>
      <c r="G172" s="4" t="n"/>
    </row>
    <row r="173">
      <c r="A173" s="5" t="n"/>
      <c r="B173" s="4" t="n"/>
      <c r="C173" s="4" t="n"/>
      <c r="D173" s="5" t="n"/>
      <c r="E173" s="5" t="n"/>
      <c r="F173" s="5" t="n"/>
      <c r="G173" s="4" t="n"/>
    </row>
    <row r="174">
      <c r="A174" s="5" t="n"/>
      <c r="B174" s="4" t="n"/>
      <c r="C174" s="4" t="n"/>
      <c r="D174" s="5" t="n"/>
      <c r="E174" s="5" t="n"/>
      <c r="F174" s="5" t="n"/>
      <c r="G174" s="4" t="n"/>
    </row>
    <row r="175">
      <c r="A175" s="5" t="n"/>
      <c r="B175" s="4" t="n"/>
      <c r="C175" s="4" t="n"/>
      <c r="D175" s="5" t="n"/>
      <c r="E175" s="5" t="n"/>
      <c r="F175" s="5" t="n"/>
      <c r="G175" s="4" t="n"/>
    </row>
    <row r="176">
      <c r="A176" s="5" t="n"/>
      <c r="B176" s="4" t="n"/>
      <c r="C176" s="4" t="n"/>
      <c r="D176" s="5" t="n"/>
      <c r="E176" s="5" t="n"/>
      <c r="F176" s="5" t="n"/>
      <c r="G176" s="4" t="n"/>
    </row>
    <row r="177">
      <c r="A177" s="5" t="n"/>
      <c r="B177" s="4" t="n"/>
      <c r="C177" s="4" t="n"/>
      <c r="D177" s="5" t="n"/>
      <c r="E177" s="5" t="n"/>
      <c r="F177" s="5" t="n"/>
      <c r="G177" s="4" t="n"/>
    </row>
    <row r="178">
      <c r="A178" s="5" t="n"/>
      <c r="B178" s="4" t="n"/>
      <c r="C178" s="4" t="n"/>
      <c r="D178" s="5" t="n"/>
      <c r="E178" s="5" t="n"/>
      <c r="F178" s="5" t="n"/>
      <c r="G178" s="4" t="n"/>
    </row>
    <row r="179">
      <c r="A179" s="5" t="n"/>
      <c r="B179" s="4" t="n"/>
      <c r="C179" s="4" t="n"/>
      <c r="D179" s="5" t="n"/>
      <c r="E179" s="5" t="n"/>
      <c r="F179" s="5" t="n"/>
      <c r="G179" s="4" t="n"/>
    </row>
    <row r="180">
      <c r="A180" s="5" t="n"/>
      <c r="B180" s="4" t="n"/>
      <c r="C180" s="4" t="n"/>
      <c r="D180" s="5" t="n"/>
      <c r="E180" s="5" t="n"/>
      <c r="F180" s="5" t="n"/>
      <c r="G180" s="4" t="n"/>
    </row>
    <row r="181">
      <c r="A181" s="5" t="n"/>
      <c r="B181" s="4" t="n"/>
      <c r="C181" s="4" t="n"/>
      <c r="D181" s="5" t="n"/>
      <c r="E181" s="5" t="n"/>
      <c r="F181" s="5" t="n"/>
      <c r="G181" s="4" t="n"/>
    </row>
    <row r="182">
      <c r="A182" s="5" t="n"/>
      <c r="B182" s="4" t="n"/>
      <c r="C182" s="4" t="n"/>
      <c r="D182" s="5" t="n"/>
      <c r="E182" s="5" t="n"/>
      <c r="F182" s="5" t="n"/>
      <c r="G182" s="4" t="n"/>
    </row>
    <row r="183">
      <c r="A183" s="5" t="n"/>
      <c r="B183" s="4" t="n"/>
      <c r="C183" s="4" t="n"/>
      <c r="D183" s="5" t="n"/>
      <c r="E183" s="5" t="n"/>
      <c r="F183" s="5" t="n"/>
      <c r="G183" s="4" t="n"/>
    </row>
    <row r="184">
      <c r="A184" s="5" t="n"/>
      <c r="B184" s="4" t="n"/>
      <c r="C184" s="4" t="n"/>
      <c r="D184" s="5" t="n"/>
      <c r="E184" s="5" t="n"/>
      <c r="F184" s="5" t="n"/>
      <c r="G184" s="4" t="n"/>
    </row>
    <row r="185">
      <c r="A185" s="5" t="n"/>
      <c r="B185" s="4" t="n"/>
      <c r="C185" s="4" t="n"/>
      <c r="D185" s="5" t="n"/>
      <c r="E185" s="5" t="n"/>
      <c r="F185" s="5" t="n"/>
      <c r="G185" s="4" t="n"/>
    </row>
    <row r="186">
      <c r="A186" s="5" t="n"/>
      <c r="B186" s="4" t="n"/>
      <c r="C186" s="4" t="n"/>
      <c r="D186" s="5" t="n"/>
      <c r="E186" s="5" t="n"/>
      <c r="F186" s="5" t="n"/>
      <c r="G186" s="4" t="n"/>
    </row>
    <row r="187">
      <c r="A187" s="5" t="n"/>
      <c r="B187" s="4" t="n"/>
      <c r="C187" s="4" t="n"/>
      <c r="D187" s="5" t="n"/>
      <c r="E187" s="5" t="n"/>
      <c r="F187" s="5" t="n"/>
      <c r="G187" s="4" t="n"/>
    </row>
    <row r="188">
      <c r="A188" s="5" t="n"/>
      <c r="B188" s="4" t="n"/>
      <c r="C188" s="4" t="n"/>
      <c r="D188" s="5" t="n"/>
      <c r="E188" s="5" t="n"/>
      <c r="F188" s="5" t="n"/>
      <c r="G188" s="4" t="n"/>
    </row>
    <row r="189">
      <c r="A189" s="5" t="n"/>
      <c r="B189" s="4" t="n"/>
      <c r="C189" s="4" t="n"/>
      <c r="D189" s="5" t="n"/>
      <c r="E189" s="5" t="n"/>
      <c r="F189" s="5" t="n"/>
      <c r="G189" s="4" t="n"/>
    </row>
    <row r="190">
      <c r="A190" s="5" t="n"/>
      <c r="B190" s="4" t="n"/>
      <c r="C190" s="4" t="n"/>
      <c r="D190" s="5" t="n"/>
      <c r="E190" s="5" t="n"/>
      <c r="F190" s="5" t="n"/>
      <c r="G190" s="4" t="n"/>
    </row>
    <row r="191">
      <c r="A191" s="5" t="n"/>
      <c r="B191" s="4" t="n"/>
      <c r="C191" s="4" t="n"/>
      <c r="D191" s="5" t="n"/>
      <c r="E191" s="5" t="n"/>
      <c r="F191" s="5" t="n"/>
      <c r="G191" s="4" t="n"/>
    </row>
    <row r="192">
      <c r="A192" s="5" t="n"/>
      <c r="B192" s="4" t="n"/>
      <c r="C192" s="4" t="n"/>
      <c r="D192" s="5" t="n"/>
      <c r="E192" s="5" t="n"/>
      <c r="F192" s="5" t="n"/>
      <c r="G192" s="4" t="n"/>
    </row>
    <row r="193">
      <c r="A193" s="5" t="n"/>
      <c r="B193" s="4" t="n"/>
      <c r="C193" s="4" t="n"/>
      <c r="D193" s="5" t="n"/>
      <c r="E193" s="5" t="n"/>
      <c r="F193" s="5" t="n"/>
      <c r="G193" s="4" t="n"/>
    </row>
    <row r="194">
      <c r="A194" s="5" t="n"/>
      <c r="B194" s="4" t="n"/>
      <c r="C194" s="4" t="n"/>
      <c r="D194" s="5" t="n"/>
      <c r="E194" s="5" t="n"/>
      <c r="F194" s="5" t="n"/>
      <c r="G194" s="4" t="n"/>
    </row>
    <row r="195">
      <c r="A195" s="5" t="n"/>
      <c r="B195" s="4" t="n"/>
      <c r="C195" s="4" t="n"/>
      <c r="D195" s="5" t="n"/>
      <c r="E195" s="5" t="n"/>
      <c r="F195" s="5" t="n"/>
      <c r="G195" s="4" t="n"/>
    </row>
    <row r="196">
      <c r="A196" s="5" t="n"/>
      <c r="B196" s="4" t="n"/>
      <c r="C196" s="4" t="n"/>
      <c r="D196" s="5" t="n"/>
      <c r="E196" s="5" t="n"/>
      <c r="F196" s="5" t="n"/>
      <c r="G196" s="4" t="n"/>
    </row>
    <row r="197">
      <c r="A197" s="5" t="n"/>
      <c r="B197" s="4" t="n"/>
      <c r="C197" s="4" t="n"/>
      <c r="D197" s="5" t="n"/>
      <c r="E197" s="5" t="n"/>
      <c r="F197" s="5" t="n"/>
      <c r="G197" s="4" t="n"/>
    </row>
    <row r="198">
      <c r="A198" s="5" t="n"/>
      <c r="B198" s="4" t="n"/>
      <c r="C198" s="4" t="n"/>
      <c r="D198" s="5" t="n"/>
      <c r="E198" s="5" t="n"/>
      <c r="F198" s="5" t="n"/>
      <c r="G198" s="4" t="n"/>
    </row>
    <row r="199">
      <c r="A199" s="5" t="n"/>
      <c r="B199" s="4" t="n"/>
      <c r="C199" s="4" t="n"/>
      <c r="D199" s="5" t="n"/>
      <c r="E199" s="5" t="n"/>
      <c r="F199" s="5" t="n"/>
      <c r="G199" s="4" t="n"/>
    </row>
    <row r="200">
      <c r="A200" s="5" t="n"/>
      <c r="B200" s="4" t="n"/>
      <c r="C200" s="4" t="n"/>
      <c r="D200" s="5" t="n"/>
      <c r="E200" s="5" t="n"/>
      <c r="F200" s="5" t="n"/>
      <c r="G200" s="4" t="n"/>
    </row>
    <row r="201">
      <c r="A201" s="5" t="n"/>
      <c r="B201" s="4" t="n"/>
      <c r="C201" s="4" t="n"/>
      <c r="D201" s="5" t="n"/>
      <c r="E201" s="5" t="n"/>
      <c r="F201" s="5" t="n"/>
      <c r="G201" s="4" t="n"/>
    </row>
    <row r="202">
      <c r="A202" s="5" t="n"/>
      <c r="B202" s="4" t="n"/>
      <c r="C202" s="4" t="n"/>
      <c r="D202" s="5" t="n"/>
      <c r="E202" s="5" t="n"/>
      <c r="F202" s="5" t="n"/>
      <c r="G202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97706"/>
    <outlinePr summaryBelow="1" summaryRight="1"/>
    <pageSetUpPr fitToPage="1"/>
  </sheetPr>
  <dimension ref="A1:F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5" customWidth="1" min="3" max="3"/>
    <col width="15" customWidth="1" min="4" max="4"/>
    <col width="30" customWidth="1" min="5" max="5"/>
    <col width="14" customWidth="1" min="6" max="6"/>
  </cols>
  <sheetData>
    <row r="1" ht="26" customHeight="1">
      <c r="A1" s="8" t="inlineStr">
        <is>
          <t>CUSTOMERS • ग्राहक यादी • नाव एकदाच लिहा</t>
        </is>
      </c>
    </row>
    <row r="2" ht="36" customHeight="1">
      <c r="A2" s="2" t="inlineStr">
        <is>
          <t>Customer
ग्राहक</t>
        </is>
      </c>
      <c r="B2" s="2" t="inlineStr">
        <is>
          <t>Contact Person
व्यक्ती</t>
        </is>
      </c>
      <c r="C2" s="2" t="inlineStr">
        <is>
          <t>Phone
फोन</t>
        </is>
      </c>
      <c r="D2" s="2" t="inlineStr">
        <is>
          <t>Type
मंडप/केटरर्स</t>
        </is>
      </c>
      <c r="E2" s="2" t="inlineStr">
        <is>
          <t>Address / Marathi Name
पत्ता</t>
        </is>
      </c>
      <c r="F2" s="2" t="inlineStr">
        <is>
          <t>Opening Due ₹
जुनी बाकी</t>
        </is>
      </c>
    </row>
    <row r="3">
      <c r="A3" s="4" t="inlineStr">
        <is>
          <t>Ayush Mandap</t>
        </is>
      </c>
      <c r="B3" s="4" t="inlineStr">
        <is>
          <t>Ajay Kulkarni</t>
        </is>
      </c>
      <c r="C3" s="5" t="inlineStr"/>
      <c r="D3" s="5" t="inlineStr">
        <is>
          <t>Mandap</t>
        </is>
      </c>
      <c r="E3" s="4" t="inlineStr"/>
      <c r="F3" s="6" t="n">
        <v>0</v>
      </c>
    </row>
    <row r="4">
      <c r="A4" s="4" t="inlineStr">
        <is>
          <t>Ganesh Mandap T</t>
        </is>
      </c>
      <c r="B4" s="4" t="inlineStr">
        <is>
          <t>Shyam Thakur</t>
        </is>
      </c>
      <c r="C4" s="5" t="inlineStr"/>
      <c r="D4" s="5" t="inlineStr">
        <is>
          <t>Mandap</t>
        </is>
      </c>
      <c r="E4" s="4" t="inlineStr">
        <is>
          <t>विष्णु ठाकूर</t>
        </is>
      </c>
      <c r="F4" s="6" t="n">
        <v>0</v>
      </c>
    </row>
    <row r="5">
      <c r="A5" s="4" t="inlineStr">
        <is>
          <t>Yogesh Caterers</t>
        </is>
      </c>
      <c r="B5" s="4" t="inlineStr">
        <is>
          <t>Anand Bansode</t>
        </is>
      </c>
      <c r="C5" s="5" t="n"/>
      <c r="D5" s="5" t="inlineStr">
        <is>
          <t>Caterers</t>
        </is>
      </c>
      <c r="E5" s="4" t="inlineStr"/>
      <c r="F5" s="6" t="n">
        <v>0</v>
      </c>
    </row>
    <row r="6">
      <c r="A6" s="4" t="inlineStr">
        <is>
          <t>Tulja Bhavani Mandap</t>
        </is>
      </c>
      <c r="B6" s="4" t="inlineStr">
        <is>
          <t>Sanju Khoje</t>
        </is>
      </c>
      <c r="C6" s="5" t="inlineStr"/>
      <c r="D6" s="5" t="inlineStr">
        <is>
          <t>Mandap</t>
        </is>
      </c>
      <c r="E6" s="4" t="inlineStr">
        <is>
          <t>तुळजा भवानी मंडप</t>
        </is>
      </c>
      <c r="F6" s="6" t="n">
        <v>0</v>
      </c>
    </row>
    <row r="7">
      <c r="A7" s="4" t="inlineStr">
        <is>
          <t>Abhiman Kharat</t>
        </is>
      </c>
      <c r="B7" s="4" t="inlineStr">
        <is>
          <t>Abhiman Kharat</t>
        </is>
      </c>
      <c r="C7" s="5" t="inlineStr"/>
      <c r="D7" s="5" t="inlineStr">
        <is>
          <t>Caterers</t>
        </is>
      </c>
      <c r="E7" s="4" t="inlineStr"/>
      <c r="F7" s="6" t="n">
        <v>0</v>
      </c>
    </row>
    <row r="8">
      <c r="A8" s="4" t="inlineStr">
        <is>
          <t>G S Event</t>
        </is>
      </c>
      <c r="B8" s="4" t="inlineStr">
        <is>
          <t>Guddu Shinde</t>
        </is>
      </c>
      <c r="C8" s="5" t="inlineStr"/>
      <c r="D8" s="5" t="inlineStr">
        <is>
          <t>Mandap</t>
        </is>
      </c>
      <c r="E8" s="4" t="inlineStr">
        <is>
          <t>गुड्डू शिंदे</t>
        </is>
      </c>
      <c r="F8" s="6" t="n">
        <v>0</v>
      </c>
    </row>
    <row r="9">
      <c r="A9" s="4" t="inlineStr">
        <is>
          <t>Jay Hari Mandap</t>
        </is>
      </c>
      <c r="B9" s="4" t="inlineStr">
        <is>
          <t>Krushna Panchal</t>
        </is>
      </c>
      <c r="C9" s="5" t="inlineStr"/>
      <c r="D9" s="5" t="inlineStr">
        <is>
          <t>Mandap</t>
        </is>
      </c>
      <c r="E9" s="4" t="inlineStr">
        <is>
          <t>पांचाळ महाराज</t>
        </is>
      </c>
      <c r="F9" s="6" t="n">
        <v>0</v>
      </c>
    </row>
    <row r="10">
      <c r="A10" s="4" t="inlineStr">
        <is>
          <t>Maitri Mandap</t>
        </is>
      </c>
      <c r="B10" s="4" t="inlineStr">
        <is>
          <t>Sanket Yeole</t>
        </is>
      </c>
      <c r="C10" s="5" t="inlineStr"/>
      <c r="D10" s="5" t="inlineStr">
        <is>
          <t>Mandap</t>
        </is>
      </c>
      <c r="E10" s="4" t="inlineStr">
        <is>
          <t>संकेत येवले</t>
        </is>
      </c>
      <c r="F10" s="6" t="n">
        <v>0</v>
      </c>
    </row>
    <row r="11">
      <c r="A11" s="4" t="inlineStr">
        <is>
          <t>Pruthviraj Mandap</t>
        </is>
      </c>
      <c r="B11" s="4" t="inlineStr">
        <is>
          <t>Kishor Bhalerao</t>
        </is>
      </c>
      <c r="C11" s="5" t="inlineStr"/>
      <c r="D11" s="5" t="inlineStr">
        <is>
          <t>Mandap</t>
        </is>
      </c>
      <c r="E11" s="4" t="inlineStr">
        <is>
          <t>पृथ्वीराज मंडप</t>
        </is>
      </c>
      <c r="F11" s="6" t="n">
        <v>0</v>
      </c>
    </row>
    <row r="12">
      <c r="A12" s="4" t="inlineStr">
        <is>
          <t>Ankit bajaj</t>
        </is>
      </c>
      <c r="B12" s="4" t="inlineStr">
        <is>
          <t>Ankit bajaj</t>
        </is>
      </c>
      <c r="C12" s="5" t="inlineStr"/>
      <c r="D12" s="5" t="inlineStr">
        <is>
          <t>Mandap</t>
        </is>
      </c>
      <c r="E12" s="4" t="inlineStr"/>
      <c r="F12" s="6" t="n">
        <v>0</v>
      </c>
    </row>
    <row r="13">
      <c r="A13" s="4" t="inlineStr">
        <is>
          <t>Saileela Caterers</t>
        </is>
      </c>
      <c r="B13" s="4" t="inlineStr">
        <is>
          <t>Sandeep Sontakke</t>
        </is>
      </c>
      <c r="C13" s="5" t="inlineStr"/>
      <c r="D13" s="5" t="inlineStr">
        <is>
          <t>Caterers</t>
        </is>
      </c>
      <c r="E13" s="4" t="inlineStr">
        <is>
          <t>संदीप सोनटक्के</t>
        </is>
      </c>
      <c r="F13" s="6" t="n">
        <v>0</v>
      </c>
    </row>
    <row r="14">
      <c r="A14" s="4" t="inlineStr">
        <is>
          <t>Sant Shiromani Mandap</t>
        </is>
      </c>
      <c r="B14" s="4" t="inlineStr">
        <is>
          <t>Babasaheb Dabhade</t>
        </is>
      </c>
      <c r="C14" s="5" t="inlineStr"/>
      <c r="D14" s="5" t="inlineStr">
        <is>
          <t>Mandap</t>
        </is>
      </c>
      <c r="E14" s="4" t="inlineStr">
        <is>
          <t>संत शिरोमणी मंडप</t>
        </is>
      </c>
      <c r="F14" s="6" t="n">
        <v>0</v>
      </c>
    </row>
    <row r="15">
      <c r="A15" s="4" t="inlineStr">
        <is>
          <t>Ajay Mandap</t>
        </is>
      </c>
      <c r="B15" s="4" t="inlineStr">
        <is>
          <t>Ajay Kharat</t>
        </is>
      </c>
      <c r="C15" s="5" t="inlineStr"/>
      <c r="D15" s="5" t="inlineStr">
        <is>
          <t>Mandap</t>
        </is>
      </c>
      <c r="E15" s="4" t="inlineStr">
        <is>
          <t>अजय खरात</t>
        </is>
      </c>
      <c r="F15" s="6" t="n">
        <v>0</v>
      </c>
    </row>
    <row r="16">
      <c r="A16" s="4" t="inlineStr">
        <is>
          <t>Sai Pooja Caterers</t>
        </is>
      </c>
      <c r="B16" s="4" t="inlineStr">
        <is>
          <t>Sunil Nayar</t>
        </is>
      </c>
      <c r="C16" s="5" t="inlineStr"/>
      <c r="D16" s="5" t="inlineStr">
        <is>
          <t>Caterers</t>
        </is>
      </c>
      <c r="E16" s="4" t="inlineStr">
        <is>
          <t>सुनील नायर</t>
        </is>
      </c>
      <c r="F16" s="6" t="n">
        <v>0</v>
      </c>
    </row>
    <row r="17">
      <c r="A17" s="4" t="inlineStr">
        <is>
          <t>Pathare Mandap</t>
        </is>
      </c>
      <c r="B17" s="4" t="inlineStr">
        <is>
          <t>Sachin Pathare</t>
        </is>
      </c>
      <c r="C17" s="5" t="inlineStr"/>
      <c r="D17" s="5" t="inlineStr">
        <is>
          <t>Mandap</t>
        </is>
      </c>
      <c r="E17" s="4" t="inlineStr">
        <is>
          <t>पठारे मंडप</t>
        </is>
      </c>
      <c r="F17" s="6" t="n">
        <v>0</v>
      </c>
    </row>
    <row r="18">
      <c r="A18" s="4" t="inlineStr">
        <is>
          <t>Golden Mandap</t>
        </is>
      </c>
      <c r="B18" s="4" t="inlineStr">
        <is>
          <t>Altaf Patel</t>
        </is>
      </c>
      <c r="C18" s="5" t="inlineStr"/>
      <c r="D18" s="5" t="inlineStr">
        <is>
          <t>Mandap</t>
        </is>
      </c>
      <c r="E18" s="4" t="inlineStr">
        <is>
          <t>गोल्डन मंडप</t>
        </is>
      </c>
      <c r="F18" s="6" t="n">
        <v>0</v>
      </c>
    </row>
    <row r="19">
      <c r="A19" s="4" t="inlineStr">
        <is>
          <t>Hotel Ecotel</t>
        </is>
      </c>
      <c r="B19" s="4" t="inlineStr">
        <is>
          <t>Kshirsagar</t>
        </is>
      </c>
      <c r="C19" s="5" t="inlineStr"/>
      <c r="D19" s="5" t="inlineStr">
        <is>
          <t>Mandap</t>
        </is>
      </c>
      <c r="E19" s="4" t="inlineStr"/>
      <c r="F19" s="6" t="n">
        <v>0</v>
      </c>
    </row>
    <row r="20">
      <c r="A20" s="4" t="inlineStr">
        <is>
          <t>Nilesh Chaudahary</t>
        </is>
      </c>
      <c r="B20" s="4" t="inlineStr">
        <is>
          <t>Nilesh Chaudahary</t>
        </is>
      </c>
      <c r="C20" s="5" t="inlineStr"/>
      <c r="D20" s="5" t="inlineStr">
        <is>
          <t>Mandap</t>
        </is>
      </c>
      <c r="E20" s="4" t="inlineStr"/>
      <c r="F20" s="6" t="n">
        <v>0</v>
      </c>
    </row>
    <row r="21">
      <c r="A21" s="4" t="inlineStr">
        <is>
          <t>Renuka Mandap</t>
        </is>
      </c>
      <c r="B21" s="4" t="inlineStr">
        <is>
          <t>Rohidas Igve</t>
        </is>
      </c>
      <c r="C21" s="5" t="inlineStr"/>
      <c r="D21" s="5" t="inlineStr">
        <is>
          <t>Mandap</t>
        </is>
      </c>
      <c r="E21" s="4" t="inlineStr"/>
      <c r="F21" s="6" t="n">
        <v>0</v>
      </c>
    </row>
    <row r="22">
      <c r="A22" s="4" t="inlineStr">
        <is>
          <t>Gautam Kirtikar</t>
        </is>
      </c>
      <c r="B22" s="4" t="inlineStr">
        <is>
          <t>Gautam Kirtikar</t>
        </is>
      </c>
      <c r="C22" s="5" t="inlineStr"/>
      <c r="D22" s="5" t="inlineStr">
        <is>
          <t>Mandap</t>
        </is>
      </c>
      <c r="E22" s="4" t="inlineStr"/>
      <c r="F22" s="6" t="n">
        <v>0</v>
      </c>
    </row>
    <row r="23">
      <c r="A23" s="4" t="inlineStr">
        <is>
          <t>Pawan Dhakne</t>
        </is>
      </c>
      <c r="B23" s="4" t="inlineStr">
        <is>
          <t>Pawan Dhakne</t>
        </is>
      </c>
      <c r="C23" s="5" t="inlineStr"/>
      <c r="D23" s="5" t="inlineStr">
        <is>
          <t>Caterers</t>
        </is>
      </c>
      <c r="E23" s="4" t="inlineStr"/>
      <c r="F23" s="6" t="n">
        <v>0</v>
      </c>
    </row>
    <row r="24">
      <c r="A24" s="4" t="inlineStr">
        <is>
          <t>Sai Shraddha Caterers</t>
        </is>
      </c>
      <c r="B24" s="4" t="inlineStr">
        <is>
          <t>Kishor Shinde</t>
        </is>
      </c>
      <c r="C24" s="5" t="inlineStr"/>
      <c r="D24" s="5" t="inlineStr">
        <is>
          <t>Caterers</t>
        </is>
      </c>
      <c r="E24" s="4" t="inlineStr">
        <is>
          <t>किशोर शिंदे</t>
        </is>
      </c>
      <c r="F24" s="6" t="n">
        <v>0</v>
      </c>
    </row>
    <row r="25">
      <c r="A25" s="4" t="inlineStr">
        <is>
          <t>B R Mandap</t>
        </is>
      </c>
      <c r="B25" s="4" t="inlineStr">
        <is>
          <t>PArvez Shaikh</t>
        </is>
      </c>
      <c r="C25" s="5" t="inlineStr"/>
      <c r="D25" s="5" t="inlineStr">
        <is>
          <t>Mandap</t>
        </is>
      </c>
      <c r="E25" s="4" t="inlineStr">
        <is>
          <t>बि आर मंडप</t>
        </is>
      </c>
      <c r="F25" s="6" t="n">
        <v>0</v>
      </c>
    </row>
    <row r="26">
      <c r="A26" s="4" t="inlineStr">
        <is>
          <t>Abdul Rikshaw</t>
        </is>
      </c>
      <c r="B26" s="4" t="inlineStr">
        <is>
          <t>Abdul Rikshaw</t>
        </is>
      </c>
      <c r="C26" s="5" t="inlineStr"/>
      <c r="D26" s="5" t="inlineStr">
        <is>
          <t>Mandap</t>
        </is>
      </c>
      <c r="E26" s="4" t="inlineStr"/>
      <c r="F26" s="6" t="n">
        <v>0</v>
      </c>
    </row>
    <row r="27">
      <c r="A27" s="4" t="inlineStr">
        <is>
          <t>Matoshree lawns</t>
        </is>
      </c>
      <c r="B27" s="4" t="inlineStr">
        <is>
          <t>Sachin Wagh</t>
        </is>
      </c>
      <c r="C27" s="5" t="inlineStr"/>
      <c r="D27" s="5" t="inlineStr">
        <is>
          <t>Mandap</t>
        </is>
      </c>
      <c r="E27" s="4" t="inlineStr"/>
      <c r="F27" s="6" t="n">
        <v>0</v>
      </c>
    </row>
    <row r="28">
      <c r="A28" s="4" t="inlineStr">
        <is>
          <t>Dipak Nikam</t>
        </is>
      </c>
      <c r="B28" s="4" t="inlineStr">
        <is>
          <t>Dipak Nikam</t>
        </is>
      </c>
      <c r="C28" s="5" t="inlineStr"/>
      <c r="D28" s="5" t="inlineStr">
        <is>
          <t>Mandap</t>
        </is>
      </c>
      <c r="E28" s="4" t="inlineStr"/>
      <c r="F28" s="6" t="n">
        <v>0</v>
      </c>
    </row>
    <row r="29">
      <c r="A29" s="4" t="inlineStr">
        <is>
          <t>Balaji Mandap G</t>
        </is>
      </c>
      <c r="B29" s="4" t="inlineStr">
        <is>
          <t>Giriraj Uplenchwar</t>
        </is>
      </c>
      <c r="C29" s="5" t="inlineStr"/>
      <c r="D29" s="5" t="inlineStr">
        <is>
          <t>Mandap</t>
        </is>
      </c>
      <c r="E29" s="4" t="inlineStr">
        <is>
          <t>बालाजी मंडप</t>
        </is>
      </c>
      <c r="F29" s="6" t="n">
        <v>0</v>
      </c>
    </row>
    <row r="30">
      <c r="A30" s="4" t="inlineStr">
        <is>
          <t>Kishor Mandap</t>
        </is>
      </c>
      <c r="B30" s="4" t="inlineStr">
        <is>
          <t>Kishor Chaudhari</t>
        </is>
      </c>
      <c r="C30" s="5" t="inlineStr"/>
      <c r="D30" s="5" t="inlineStr">
        <is>
          <t>Mandap</t>
        </is>
      </c>
      <c r="E30" s="4" t="inlineStr"/>
      <c r="F30" s="6" t="n">
        <v>0</v>
      </c>
    </row>
    <row r="31">
      <c r="A31" s="4" t="inlineStr">
        <is>
          <t>Mahadev Umrikar</t>
        </is>
      </c>
      <c r="B31" s="4" t="inlineStr">
        <is>
          <t>Mahadev Umrikar</t>
        </is>
      </c>
      <c r="C31" s="5" t="inlineStr"/>
      <c r="D31" s="5" t="inlineStr">
        <is>
          <t>Caterers</t>
        </is>
      </c>
      <c r="E31" s="4" t="inlineStr"/>
      <c r="F31" s="6" t="n">
        <v>0</v>
      </c>
    </row>
    <row r="32">
      <c r="A32" s="4" t="inlineStr">
        <is>
          <t>Balaji Mandap K</t>
        </is>
      </c>
      <c r="B32" s="4" t="inlineStr">
        <is>
          <t>Khandre Mama</t>
        </is>
      </c>
      <c r="C32" s="5" t="inlineStr"/>
      <c r="D32" s="5" t="inlineStr">
        <is>
          <t>Mandap</t>
        </is>
      </c>
      <c r="E32" s="4" t="inlineStr"/>
      <c r="F32" s="6" t="n">
        <v>0</v>
      </c>
    </row>
    <row r="33">
      <c r="A33" s="4" t="inlineStr">
        <is>
          <t>Dashrath Caterers</t>
        </is>
      </c>
      <c r="B33" s="4" t="inlineStr">
        <is>
          <t>Babasaheb Borade</t>
        </is>
      </c>
      <c r="C33" s="5" t="inlineStr"/>
      <c r="D33" s="5" t="inlineStr">
        <is>
          <t>Caterers</t>
        </is>
      </c>
      <c r="E33" s="4" t="inlineStr"/>
      <c r="F33" s="6" t="n">
        <v>0</v>
      </c>
    </row>
    <row r="34">
      <c r="A34" s="4" t="inlineStr">
        <is>
          <t>Dip Mandap</t>
        </is>
      </c>
      <c r="B34" s="4" t="inlineStr">
        <is>
          <t>Bhagwat Pawar</t>
        </is>
      </c>
      <c r="C34" s="5" t="inlineStr"/>
      <c r="D34" s="5" t="inlineStr">
        <is>
          <t>Mandap</t>
        </is>
      </c>
      <c r="E34" s="4" t="inlineStr"/>
      <c r="F34" s="6" t="n">
        <v>0</v>
      </c>
    </row>
    <row r="35">
      <c r="A35" s="4" t="inlineStr">
        <is>
          <t>Dipak Nawale</t>
        </is>
      </c>
      <c r="B35" s="4" t="inlineStr">
        <is>
          <t>Dipak Nawale</t>
        </is>
      </c>
      <c r="C35" s="5" t="inlineStr"/>
      <c r="D35" s="5" t="inlineStr">
        <is>
          <t>Mandap</t>
        </is>
      </c>
      <c r="E35" s="4" t="inlineStr"/>
      <c r="F35" s="6" t="n">
        <v>0</v>
      </c>
    </row>
    <row r="36">
      <c r="A36" s="4" t="inlineStr">
        <is>
          <t>Ganesh Mandap K</t>
        </is>
      </c>
      <c r="B36" s="4" t="inlineStr">
        <is>
          <t>Ganesh Kale</t>
        </is>
      </c>
      <c r="C36" s="5" t="inlineStr"/>
      <c r="D36" s="5" t="inlineStr">
        <is>
          <t>Mandap</t>
        </is>
      </c>
      <c r="E36" s="4" t="inlineStr"/>
      <c r="F36" s="6" t="n">
        <v>0</v>
      </c>
    </row>
    <row r="37">
      <c r="A37" s="4" t="inlineStr">
        <is>
          <t>Kshirsagar Mandap R</t>
        </is>
      </c>
      <c r="B37" s="4" t="inlineStr">
        <is>
          <t>Raju Kshirsagar</t>
        </is>
      </c>
      <c r="C37" s="5" t="inlineStr"/>
      <c r="D37" s="5" t="inlineStr">
        <is>
          <t>Mandap</t>
        </is>
      </c>
      <c r="E37" s="4" t="inlineStr"/>
      <c r="F37" s="6" t="n">
        <v>0</v>
      </c>
    </row>
    <row r="38">
      <c r="A38" s="4" t="inlineStr">
        <is>
          <t>Kshirsagar Mandap S</t>
        </is>
      </c>
      <c r="B38" s="4" t="inlineStr">
        <is>
          <t>Shyam Kshirsagar</t>
        </is>
      </c>
      <c r="C38" s="5" t="inlineStr"/>
      <c r="D38" s="5" t="inlineStr">
        <is>
          <t>Mandap</t>
        </is>
      </c>
      <c r="E38" s="4" t="inlineStr"/>
      <c r="F38" s="6" t="n">
        <v>0</v>
      </c>
    </row>
    <row r="39">
      <c r="A39" s="4" t="inlineStr">
        <is>
          <t>Mahalakshmi Mandap</t>
        </is>
      </c>
      <c r="B39" s="4" t="inlineStr">
        <is>
          <t>Abasaheb Tawar</t>
        </is>
      </c>
      <c r="C39" s="5" t="inlineStr"/>
      <c r="D39" s="5" t="inlineStr">
        <is>
          <t>Mandap</t>
        </is>
      </c>
      <c r="E39" s="4" t="inlineStr"/>
      <c r="F39" s="6" t="n">
        <v>0</v>
      </c>
    </row>
    <row r="40">
      <c r="A40" s="4" t="inlineStr">
        <is>
          <t>Mauli Mandap</t>
        </is>
      </c>
      <c r="B40" s="4" t="inlineStr">
        <is>
          <t>Shravan Vaidya</t>
        </is>
      </c>
      <c r="C40" s="5" t="inlineStr"/>
      <c r="D40" s="5" t="inlineStr">
        <is>
          <t>Mandap</t>
        </is>
      </c>
      <c r="E40" s="4" t="inlineStr"/>
      <c r="F40" s="6" t="n">
        <v>0</v>
      </c>
    </row>
    <row r="41">
      <c r="A41" s="4" t="inlineStr">
        <is>
          <t>Sachin Mandap</t>
        </is>
      </c>
      <c r="B41" s="4" t="inlineStr">
        <is>
          <t>Jaydave Gande</t>
        </is>
      </c>
      <c r="C41" s="5" t="inlineStr"/>
      <c r="D41" s="5" t="inlineStr">
        <is>
          <t>Mandap</t>
        </is>
      </c>
      <c r="E41" s="4" t="inlineStr"/>
      <c r="F41" s="6" t="n">
        <v>0</v>
      </c>
    </row>
    <row r="42">
      <c r="A42" s="4" t="inlineStr">
        <is>
          <t>Sandip Gadge</t>
        </is>
      </c>
      <c r="B42" s="4" t="inlineStr">
        <is>
          <t>Sandip Gadge</t>
        </is>
      </c>
      <c r="C42" s="5" t="inlineStr"/>
      <c r="D42" s="5" t="inlineStr">
        <is>
          <t>Caterers</t>
        </is>
      </c>
      <c r="E42" s="4" t="inlineStr"/>
      <c r="F42" s="6" t="n">
        <v>0</v>
      </c>
    </row>
    <row r="43">
      <c r="A43" s="4" t="inlineStr">
        <is>
          <t>Shingare Mandap</t>
        </is>
      </c>
      <c r="B43" s="4" t="inlineStr">
        <is>
          <t>Amol Shingare</t>
        </is>
      </c>
      <c r="C43" s="5" t="inlineStr"/>
      <c r="D43" s="5" t="inlineStr">
        <is>
          <t>Mandap</t>
        </is>
      </c>
      <c r="E43" s="4" t="inlineStr"/>
      <c r="F43" s="6" t="n">
        <v>0</v>
      </c>
    </row>
    <row r="44">
      <c r="A44" s="4" t="inlineStr">
        <is>
          <t>Shravan Mandap</t>
        </is>
      </c>
      <c r="B44" s="4" t="inlineStr">
        <is>
          <t>Dipak Bakal</t>
        </is>
      </c>
      <c r="C44" s="5" t="inlineStr"/>
      <c r="D44" s="5" t="inlineStr">
        <is>
          <t>Mandap</t>
        </is>
      </c>
      <c r="E44" s="4" t="inlineStr"/>
      <c r="F44" s="6" t="n">
        <v>0</v>
      </c>
    </row>
    <row r="45">
      <c r="A45" s="4" t="inlineStr">
        <is>
          <t>Santosh Bhujbal</t>
        </is>
      </c>
      <c r="B45" s="4" t="inlineStr">
        <is>
          <t>Santosh Bhujbal</t>
        </is>
      </c>
      <c r="C45" s="5" t="inlineStr"/>
      <c r="D45" s="5" t="inlineStr">
        <is>
          <t>Mandap</t>
        </is>
      </c>
      <c r="E45" s="4" t="inlineStr"/>
      <c r="F45" s="6" t="n">
        <v>0</v>
      </c>
    </row>
    <row r="46">
      <c r="A46" s="4" t="inlineStr">
        <is>
          <t>Shirsath Mandap</t>
        </is>
      </c>
      <c r="B46" s="4" t="inlineStr">
        <is>
          <t>Ramesh B Shirsath</t>
        </is>
      </c>
      <c r="C46" s="5" t="inlineStr"/>
      <c r="D46" s="5" t="inlineStr">
        <is>
          <t>Mandap</t>
        </is>
      </c>
      <c r="E46" s="4" t="inlineStr"/>
      <c r="F46" s="6" t="n">
        <v>0</v>
      </c>
    </row>
    <row r="47">
      <c r="A47" s="4" t="inlineStr">
        <is>
          <t>Nagve Patil Caterers</t>
        </is>
      </c>
      <c r="B47" s="4" t="inlineStr">
        <is>
          <t>Digambar Nagve</t>
        </is>
      </c>
      <c r="C47" s="5" t="inlineStr"/>
      <c r="D47" s="5" t="inlineStr">
        <is>
          <t>Caterers</t>
        </is>
      </c>
      <c r="E47" s="4" t="inlineStr"/>
      <c r="F47" s="6" t="n">
        <v>0</v>
      </c>
    </row>
    <row r="48">
      <c r="A48" s="4" t="inlineStr">
        <is>
          <t>Vilas Bhise</t>
        </is>
      </c>
      <c r="B48" s="4" t="inlineStr">
        <is>
          <t>Vilas Bhise</t>
        </is>
      </c>
      <c r="C48" s="5" t="inlineStr"/>
      <c r="D48" s="5" t="inlineStr">
        <is>
          <t>Caterers</t>
        </is>
      </c>
      <c r="E48" s="4" t="inlineStr"/>
      <c r="F48" s="6" t="n">
        <v>0</v>
      </c>
    </row>
    <row r="49">
      <c r="A49" s="4" t="inlineStr">
        <is>
          <t>Muktai Mandap</t>
        </is>
      </c>
      <c r="B49" s="4" t="inlineStr">
        <is>
          <t>Manohar Thorat</t>
        </is>
      </c>
      <c r="C49" s="5" t="inlineStr"/>
      <c r="D49" s="5" t="inlineStr">
        <is>
          <t>Mandap</t>
        </is>
      </c>
      <c r="E49" s="4" t="inlineStr"/>
      <c r="F49" s="6" t="n">
        <v>0</v>
      </c>
    </row>
    <row r="50">
      <c r="A50" s="4" t="inlineStr">
        <is>
          <t>Shivshakti Mandap</t>
        </is>
      </c>
      <c r="B50" s="4" t="inlineStr">
        <is>
          <t>Ajay Tambe</t>
        </is>
      </c>
      <c r="C50" s="5" t="inlineStr"/>
      <c r="D50" s="5" t="inlineStr">
        <is>
          <t>Mandap</t>
        </is>
      </c>
      <c r="E50" s="4" t="inlineStr"/>
      <c r="F50" s="6" t="n">
        <v>0</v>
      </c>
    </row>
    <row r="51">
      <c r="A51" s="4" t="inlineStr">
        <is>
          <t>Sonu Wankhede</t>
        </is>
      </c>
      <c r="B51" s="4" t="inlineStr">
        <is>
          <t>Sonu Wankhede</t>
        </is>
      </c>
      <c r="C51" s="5" t="inlineStr"/>
      <c r="D51" s="5" t="inlineStr">
        <is>
          <t>Mandap</t>
        </is>
      </c>
      <c r="E51" s="4" t="inlineStr"/>
      <c r="F51" s="6" t="n">
        <v>0</v>
      </c>
    </row>
    <row r="52">
      <c r="A52" s="4" t="inlineStr">
        <is>
          <t>Saurabh Gaikwad</t>
        </is>
      </c>
      <c r="B52" s="4" t="inlineStr">
        <is>
          <t>Saurabh Gaikwad</t>
        </is>
      </c>
      <c r="C52" s="5" t="inlineStr"/>
      <c r="D52" s="5" t="inlineStr">
        <is>
          <t>Mandap</t>
        </is>
      </c>
      <c r="E52" s="4" t="inlineStr"/>
      <c r="F52" s="6" t="n">
        <v>0</v>
      </c>
    </row>
    <row r="53">
      <c r="A53" s="4" t="inlineStr">
        <is>
          <t>Krishna Thombre</t>
        </is>
      </c>
      <c r="B53" s="4" t="inlineStr">
        <is>
          <t>Krishna Thombre</t>
        </is>
      </c>
      <c r="C53" s="5" t="inlineStr"/>
      <c r="D53" s="5" t="inlineStr">
        <is>
          <t>Mandap</t>
        </is>
      </c>
      <c r="E53" s="4" t="inlineStr"/>
      <c r="F53" s="6" t="n">
        <v>0</v>
      </c>
    </row>
    <row r="54">
      <c r="A54" s="4" t="inlineStr">
        <is>
          <t>Akash Landage</t>
        </is>
      </c>
      <c r="B54" s="4" t="inlineStr">
        <is>
          <t>Akash Landage</t>
        </is>
      </c>
      <c r="C54" s="5" t="inlineStr"/>
      <c r="D54" s="5" t="inlineStr">
        <is>
          <t>Mandap</t>
        </is>
      </c>
      <c r="E54" s="4" t="inlineStr"/>
      <c r="F54" s="6" t="n">
        <v>0</v>
      </c>
    </row>
    <row r="55">
      <c r="A55" s="4" t="inlineStr">
        <is>
          <t>Vighnaharta Events</t>
        </is>
      </c>
      <c r="B55" s="4" t="inlineStr">
        <is>
          <t>Krushna Hanuwate</t>
        </is>
      </c>
      <c r="C55" s="5" t="inlineStr"/>
      <c r="D55" s="5" t="inlineStr">
        <is>
          <t>Mandap</t>
        </is>
      </c>
      <c r="E55" s="4" t="inlineStr"/>
      <c r="F55" s="6" t="n">
        <v>0</v>
      </c>
    </row>
    <row r="56">
      <c r="A56" s="4" t="inlineStr">
        <is>
          <t>Amol Prasad</t>
        </is>
      </c>
      <c r="B56" s="4" t="inlineStr">
        <is>
          <t>Amol Prasad</t>
        </is>
      </c>
      <c r="C56" s="5" t="inlineStr"/>
      <c r="D56" s="5" t="inlineStr">
        <is>
          <t>Mandap</t>
        </is>
      </c>
      <c r="E56" s="4" t="inlineStr"/>
      <c r="F56" s="6" t="n">
        <v>0</v>
      </c>
    </row>
    <row r="57">
      <c r="A57" s="4" t="inlineStr">
        <is>
          <t>Patil Events</t>
        </is>
      </c>
      <c r="B57" s="4" t="inlineStr">
        <is>
          <t>Lahu Patil</t>
        </is>
      </c>
      <c r="C57" s="5" t="inlineStr"/>
      <c r="D57" s="5" t="inlineStr">
        <is>
          <t>Mandap</t>
        </is>
      </c>
      <c r="E57" s="4" t="inlineStr"/>
      <c r="F57" s="6" t="n">
        <v>0</v>
      </c>
    </row>
    <row r="58">
      <c r="A58" s="4" t="inlineStr">
        <is>
          <t>Aryash Mandap</t>
        </is>
      </c>
      <c r="B58" s="4" t="inlineStr">
        <is>
          <t>Pawan Thorat</t>
        </is>
      </c>
      <c r="C58" s="5" t="inlineStr"/>
      <c r="D58" s="5" t="inlineStr">
        <is>
          <t>Mandap</t>
        </is>
      </c>
      <c r="E58" s="4" t="inlineStr"/>
      <c r="F58" s="6" t="n">
        <v>0</v>
      </c>
    </row>
    <row r="59">
      <c r="A59" s="4" t="inlineStr">
        <is>
          <t>Yogesh Lihinar</t>
        </is>
      </c>
      <c r="B59" s="4" t="inlineStr">
        <is>
          <t>Yogesh Lihinar</t>
        </is>
      </c>
      <c r="C59" s="5" t="inlineStr"/>
      <c r="D59" s="5" t="inlineStr">
        <is>
          <t>Caterers</t>
        </is>
      </c>
      <c r="E59" s="4" t="inlineStr"/>
      <c r="F59" s="6" t="n">
        <v>0</v>
      </c>
    </row>
    <row r="60">
      <c r="A60" s="4" t="inlineStr">
        <is>
          <t>Akshay Bankar</t>
        </is>
      </c>
      <c r="B60" s="4" t="inlineStr">
        <is>
          <t>Akshay Bankar</t>
        </is>
      </c>
      <c r="C60" s="5" t="inlineStr"/>
      <c r="D60" s="5" t="inlineStr">
        <is>
          <t>Mandap</t>
        </is>
      </c>
      <c r="E60" s="4" t="inlineStr"/>
      <c r="F60" s="6" t="n">
        <v>0</v>
      </c>
    </row>
    <row r="61">
      <c r="A61" s="4" t="inlineStr">
        <is>
          <t>Kundlik Kejgire</t>
        </is>
      </c>
      <c r="B61" s="4" t="inlineStr">
        <is>
          <t>Kundlik Kejgire</t>
        </is>
      </c>
      <c r="C61" s="5" t="inlineStr"/>
      <c r="D61" s="5" t="inlineStr">
        <is>
          <t>Mandap</t>
        </is>
      </c>
      <c r="E61" s="4" t="inlineStr"/>
      <c r="F61" s="6" t="n">
        <v>0</v>
      </c>
    </row>
    <row r="62">
      <c r="A62" s="4" t="inlineStr">
        <is>
          <t>Dipak Garad</t>
        </is>
      </c>
      <c r="B62" s="4" t="inlineStr">
        <is>
          <t>Dipak Garad</t>
        </is>
      </c>
      <c r="C62" s="5" t="inlineStr"/>
      <c r="D62" s="5" t="inlineStr">
        <is>
          <t>Mandap</t>
        </is>
      </c>
      <c r="E62" s="4" t="inlineStr"/>
      <c r="F62" s="6" t="n">
        <v>0</v>
      </c>
    </row>
    <row r="63">
      <c r="A63" s="4" t="inlineStr">
        <is>
          <t>Rahul Ambhore</t>
        </is>
      </c>
      <c r="B63" s="4" t="inlineStr">
        <is>
          <t>Rahul Ambhore</t>
        </is>
      </c>
      <c r="C63" s="5" t="inlineStr"/>
      <c r="D63" s="5" t="inlineStr">
        <is>
          <t>Mandap</t>
        </is>
      </c>
      <c r="E63" s="4" t="inlineStr"/>
      <c r="F63" s="6" t="n">
        <v>0</v>
      </c>
    </row>
    <row r="64">
      <c r="A64" s="4" t="inlineStr">
        <is>
          <t>Krushna Hotel</t>
        </is>
      </c>
      <c r="B64" s="4" t="inlineStr">
        <is>
          <t>Aniket Bakal</t>
        </is>
      </c>
      <c r="C64" s="5" t="inlineStr"/>
      <c r="D64" s="5" t="inlineStr">
        <is>
          <t>Caterers</t>
        </is>
      </c>
      <c r="E64" s="4" t="inlineStr"/>
      <c r="F64" s="6" t="n">
        <v>0</v>
      </c>
    </row>
    <row r="65">
      <c r="A65" s="4" t="inlineStr">
        <is>
          <t>Kiran Sontakke</t>
        </is>
      </c>
      <c r="B65" s="4" t="inlineStr">
        <is>
          <t>Kiran Sontakke</t>
        </is>
      </c>
      <c r="C65" s="5" t="inlineStr"/>
      <c r="D65" s="5" t="inlineStr">
        <is>
          <t>Caterers</t>
        </is>
      </c>
      <c r="E65" s="4" t="inlineStr"/>
      <c r="F65" s="6" t="n">
        <v>0</v>
      </c>
    </row>
    <row r="66">
      <c r="A66" s="4" t="inlineStr">
        <is>
          <t>Aarti Mandap</t>
        </is>
      </c>
      <c r="B66" s="4" t="inlineStr">
        <is>
          <t>Vijay Jadhav</t>
        </is>
      </c>
      <c r="C66" s="5" t="inlineStr"/>
      <c r="D66" s="5" t="inlineStr">
        <is>
          <t>Mandap</t>
        </is>
      </c>
      <c r="E66" s="4" t="inlineStr"/>
      <c r="F66" s="6" t="n">
        <v>0</v>
      </c>
    </row>
    <row r="67">
      <c r="A67" s="4" t="inlineStr">
        <is>
          <t>Dadasaheb Janjal</t>
        </is>
      </c>
      <c r="B67" s="4" t="inlineStr">
        <is>
          <t>Dadasaheb Janjal</t>
        </is>
      </c>
      <c r="C67" s="5" t="inlineStr"/>
      <c r="D67" s="5" t="inlineStr">
        <is>
          <t>Mandap</t>
        </is>
      </c>
      <c r="E67" s="4" t="inlineStr"/>
      <c r="F67" s="6" t="n">
        <v>0</v>
      </c>
    </row>
    <row r="68">
      <c r="A68" s="4" t="inlineStr">
        <is>
          <t>Amol Lihinar</t>
        </is>
      </c>
      <c r="B68" s="4" t="inlineStr">
        <is>
          <t>Amol Lihinar</t>
        </is>
      </c>
      <c r="C68" s="5" t="inlineStr"/>
      <c r="D68" s="5" t="inlineStr">
        <is>
          <t>Mandap</t>
        </is>
      </c>
      <c r="E68" s="4" t="inlineStr"/>
      <c r="F68" s="6" t="n">
        <v>0</v>
      </c>
    </row>
    <row r="69">
      <c r="A69" s="4" t="inlineStr">
        <is>
          <t>Hiwarde</t>
        </is>
      </c>
      <c r="B69" s="4" t="inlineStr">
        <is>
          <t>Hiwarde</t>
        </is>
      </c>
      <c r="C69" s="5" t="inlineStr"/>
      <c r="D69" s="5" t="inlineStr">
        <is>
          <t>Caterers</t>
        </is>
      </c>
      <c r="E69" s="4" t="inlineStr"/>
      <c r="F69" s="6" t="n">
        <v>0</v>
      </c>
    </row>
    <row r="70">
      <c r="A70" s="4" t="inlineStr">
        <is>
          <t>Altaf Pathan</t>
        </is>
      </c>
      <c r="B70" s="4" t="inlineStr">
        <is>
          <t>Altaf Pathan</t>
        </is>
      </c>
      <c r="C70" s="5" t="inlineStr"/>
      <c r="D70" s="5" t="inlineStr">
        <is>
          <t>Mandap</t>
        </is>
      </c>
      <c r="E70" s="4" t="inlineStr"/>
      <c r="F70" s="6" t="n">
        <v>0</v>
      </c>
    </row>
    <row r="71">
      <c r="A71" s="4" t="inlineStr">
        <is>
          <t>Krushna Agwan</t>
        </is>
      </c>
      <c r="B71" s="4" t="inlineStr">
        <is>
          <t>Krushna Agwan</t>
        </is>
      </c>
      <c r="C71" s="5" t="inlineStr"/>
      <c r="D71" s="5" t="inlineStr">
        <is>
          <t>Mandap</t>
        </is>
      </c>
      <c r="E71" s="4" t="inlineStr"/>
      <c r="F71" s="6" t="n">
        <v>0</v>
      </c>
    </row>
    <row r="72">
      <c r="A72" s="4" t="inlineStr">
        <is>
          <t>Ramesh Ghodke</t>
        </is>
      </c>
      <c r="B72" s="4" t="inlineStr">
        <is>
          <t>Ramesh Ghodke</t>
        </is>
      </c>
      <c r="C72" s="5" t="inlineStr"/>
      <c r="D72" s="5" t="inlineStr">
        <is>
          <t>Mandap</t>
        </is>
      </c>
      <c r="E72" s="4" t="inlineStr"/>
      <c r="F72" s="6" t="n">
        <v>0</v>
      </c>
    </row>
    <row r="73">
      <c r="A73" s="4" t="inlineStr">
        <is>
          <t>Masuraj Kambale</t>
        </is>
      </c>
      <c r="B73" s="4" t="inlineStr">
        <is>
          <t>Masuraj Kambale</t>
        </is>
      </c>
      <c r="C73" s="5" t="inlineStr"/>
      <c r="D73" s="5" t="inlineStr">
        <is>
          <t>Mandap</t>
        </is>
      </c>
      <c r="E73" s="4" t="inlineStr"/>
      <c r="F73" s="6" t="n">
        <v>0</v>
      </c>
    </row>
    <row r="74">
      <c r="A74" s="4" t="inlineStr">
        <is>
          <t>Dnyaneshwar Panchal</t>
        </is>
      </c>
      <c r="B74" s="4" t="inlineStr">
        <is>
          <t>Dnyaneshwar Panchal</t>
        </is>
      </c>
      <c r="C74" s="5" t="inlineStr"/>
      <c r="D74" s="5" t="inlineStr">
        <is>
          <t>Caterers</t>
        </is>
      </c>
      <c r="E74" s="4" t="inlineStr"/>
      <c r="F74" s="6" t="n">
        <v>0</v>
      </c>
    </row>
    <row r="75">
      <c r="A75" s="4" t="inlineStr">
        <is>
          <t>Suresh Patil</t>
        </is>
      </c>
      <c r="B75" s="4" t="inlineStr">
        <is>
          <t>Suresh Patil</t>
        </is>
      </c>
      <c r="C75" s="5" t="inlineStr"/>
      <c r="D75" s="5" t="inlineStr">
        <is>
          <t>Caterers</t>
        </is>
      </c>
      <c r="E75" s="4" t="inlineStr"/>
      <c r="F75" s="6" t="n">
        <v>0</v>
      </c>
    </row>
    <row r="76">
      <c r="A76" s="4" t="inlineStr">
        <is>
          <t>Sunil Garandwal</t>
        </is>
      </c>
      <c r="B76" s="4" t="inlineStr">
        <is>
          <t>Sunil Garandwal</t>
        </is>
      </c>
      <c r="C76" s="5" t="inlineStr"/>
      <c r="D76" s="5" t="inlineStr">
        <is>
          <t>Mandap</t>
        </is>
      </c>
      <c r="E76" s="4" t="inlineStr"/>
      <c r="F76" s="6" t="n">
        <v>0</v>
      </c>
    </row>
    <row r="77">
      <c r="A77" s="4" t="inlineStr">
        <is>
          <t>Vishva Mandap</t>
        </is>
      </c>
      <c r="B77" s="4" t="inlineStr">
        <is>
          <t>Balasaheb Raymal</t>
        </is>
      </c>
      <c r="C77" s="5" t="inlineStr"/>
      <c r="D77" s="5" t="inlineStr">
        <is>
          <t>Mandap</t>
        </is>
      </c>
      <c r="E77" s="4" t="inlineStr"/>
      <c r="F77" s="6" t="n">
        <v>0</v>
      </c>
    </row>
    <row r="78">
      <c r="A78" s="4" t="inlineStr">
        <is>
          <t>Samarth Sound</t>
        </is>
      </c>
      <c r="B78" s="4" t="inlineStr">
        <is>
          <t>Ganesh Karangale</t>
        </is>
      </c>
      <c r="C78" s="5" t="inlineStr"/>
      <c r="D78" s="5" t="inlineStr">
        <is>
          <t>Mandap</t>
        </is>
      </c>
      <c r="E78" s="4" t="inlineStr"/>
      <c r="F78" s="6" t="n">
        <v>0</v>
      </c>
    </row>
    <row r="79">
      <c r="A79" s="4" t="inlineStr">
        <is>
          <t>Atul Salve</t>
        </is>
      </c>
      <c r="B79" s="4" t="inlineStr">
        <is>
          <t>Atul Salve</t>
        </is>
      </c>
      <c r="C79" s="5" t="inlineStr"/>
      <c r="D79" s="5" t="inlineStr">
        <is>
          <t>Mandap</t>
        </is>
      </c>
      <c r="E79" s="4" t="inlineStr">
        <is>
          <t>अतुल साळवे</t>
        </is>
      </c>
      <c r="F79" s="6" t="n">
        <v>0</v>
      </c>
    </row>
    <row r="80">
      <c r="A80" s="4" t="inlineStr">
        <is>
          <t>CASH</t>
        </is>
      </c>
      <c r="B80" s="4" t="inlineStr">
        <is>
          <t>Cash Customer</t>
        </is>
      </c>
      <c r="C80" s="5" t="inlineStr"/>
      <c r="D80" s="5" t="inlineStr">
        <is>
          <t>Mandap</t>
        </is>
      </c>
      <c r="E80" s="4" t="inlineStr"/>
      <c r="F80" s="6" t="n">
        <v>0</v>
      </c>
    </row>
    <row r="81">
      <c r="A81" s="4" t="inlineStr">
        <is>
          <t>Shri Decorators</t>
        </is>
      </c>
      <c r="B81" s="4" t="inlineStr">
        <is>
          <t>Pramod Pawar</t>
        </is>
      </c>
      <c r="C81" s="5" t="inlineStr"/>
      <c r="D81" s="5" t="inlineStr">
        <is>
          <t>Mandap</t>
        </is>
      </c>
      <c r="E81" s="4" t="inlineStr"/>
      <c r="F81" s="6" t="n">
        <v>0</v>
      </c>
    </row>
    <row r="82">
      <c r="A82" s="4" t="inlineStr">
        <is>
          <t>Rajdhani Mandap</t>
        </is>
      </c>
      <c r="B82" s="4" t="inlineStr">
        <is>
          <t>Dipak Bagul</t>
        </is>
      </c>
      <c r="C82" s="5" t="inlineStr"/>
      <c r="D82" s="5" t="inlineStr">
        <is>
          <t>Mandap</t>
        </is>
      </c>
      <c r="E82" s="4" t="inlineStr"/>
      <c r="F82" s="6" t="n">
        <v>0</v>
      </c>
    </row>
    <row r="83">
      <c r="A83" s="4" t="n"/>
      <c r="B83" s="4" t="n"/>
      <c r="C83" s="5" t="n"/>
      <c r="D83" s="5" t="n"/>
      <c r="E83" s="4" t="n"/>
      <c r="F83" s="6" t="n"/>
    </row>
    <row r="84">
      <c r="A84" s="4" t="n"/>
      <c r="B84" s="4" t="n"/>
      <c r="C84" s="5" t="n"/>
      <c r="D84" s="5" t="n"/>
      <c r="E84" s="4" t="n"/>
      <c r="F84" s="6" t="n"/>
    </row>
    <row r="85">
      <c r="A85" s="4" t="n"/>
      <c r="B85" s="4" t="n"/>
      <c r="C85" s="5" t="n"/>
      <c r="D85" s="5" t="n"/>
      <c r="E85" s="4" t="n"/>
      <c r="F85" s="6" t="n"/>
    </row>
    <row r="86">
      <c r="A86" s="4" t="n"/>
      <c r="B86" s="4" t="n"/>
      <c r="C86" s="5" t="n"/>
      <c r="D86" s="5" t="n"/>
      <c r="E86" s="4" t="n"/>
      <c r="F86" s="6" t="n"/>
    </row>
    <row r="87">
      <c r="A87" s="4" t="n"/>
      <c r="B87" s="4" t="n"/>
      <c r="C87" s="5" t="n"/>
      <c r="D87" s="5" t="n"/>
      <c r="E87" s="4" t="n"/>
      <c r="F87" s="6" t="n"/>
    </row>
    <row r="88">
      <c r="A88" s="4" t="n"/>
      <c r="B88" s="4" t="n"/>
      <c r="C88" s="5" t="n"/>
      <c r="D88" s="5" t="n"/>
      <c r="E88" s="4" t="n"/>
      <c r="F88" s="6" t="n"/>
    </row>
    <row r="89">
      <c r="A89" s="4" t="n"/>
      <c r="B89" s="4" t="n"/>
      <c r="C89" s="5" t="n"/>
      <c r="D89" s="5" t="n"/>
      <c r="E89" s="4" t="n"/>
      <c r="F89" s="6" t="n"/>
    </row>
    <row r="90">
      <c r="A90" s="4" t="n"/>
      <c r="B90" s="4" t="n"/>
      <c r="C90" s="5" t="n"/>
      <c r="D90" s="5" t="n"/>
      <c r="E90" s="4" t="n"/>
      <c r="F90" s="6" t="n"/>
    </row>
    <row r="91">
      <c r="A91" s="4" t="n"/>
      <c r="B91" s="4" t="n"/>
      <c r="C91" s="5" t="n"/>
      <c r="D91" s="5" t="n"/>
      <c r="E91" s="4" t="n"/>
      <c r="F91" s="6" t="n"/>
    </row>
    <row r="92">
      <c r="A92" s="4" t="n"/>
      <c r="B92" s="4" t="n"/>
      <c r="C92" s="5" t="n"/>
      <c r="D92" s="5" t="n"/>
      <c r="E92" s="4" t="n"/>
      <c r="F92" s="6" t="n"/>
    </row>
    <row r="93">
      <c r="A93" s="4" t="n"/>
      <c r="B93" s="4" t="n"/>
      <c r="C93" s="5" t="n"/>
      <c r="D93" s="5" t="n"/>
      <c r="E93" s="4" t="n"/>
      <c r="F93" s="6" t="n"/>
    </row>
    <row r="94">
      <c r="A94" s="4" t="n"/>
      <c r="B94" s="4" t="n"/>
      <c r="C94" s="5" t="n"/>
      <c r="D94" s="5" t="n"/>
      <c r="E94" s="4" t="n"/>
      <c r="F94" s="6" t="n"/>
    </row>
    <row r="95">
      <c r="A95" s="4" t="n"/>
      <c r="B95" s="4" t="n"/>
      <c r="C95" s="5" t="n"/>
      <c r="D95" s="5" t="n"/>
      <c r="E95" s="4" t="n"/>
      <c r="F95" s="6" t="n"/>
    </row>
    <row r="96">
      <c r="A96" s="4" t="n"/>
      <c r="B96" s="4" t="n"/>
      <c r="C96" s="5" t="n"/>
      <c r="D96" s="5" t="n"/>
      <c r="E96" s="4" t="n"/>
      <c r="F96" s="6" t="n"/>
    </row>
    <row r="97">
      <c r="A97" s="4" t="n"/>
      <c r="B97" s="4" t="n"/>
      <c r="C97" s="5" t="n"/>
      <c r="D97" s="5" t="n"/>
      <c r="E97" s="4" t="n"/>
      <c r="F97" s="6" t="n"/>
    </row>
    <row r="98">
      <c r="A98" s="4" t="n"/>
      <c r="B98" s="4" t="n"/>
      <c r="C98" s="5" t="n"/>
      <c r="D98" s="5" t="n"/>
      <c r="E98" s="4" t="n"/>
      <c r="F98" s="6" t="n"/>
    </row>
    <row r="99">
      <c r="A99" s="4" t="n"/>
      <c r="B99" s="4" t="n"/>
      <c r="C99" s="5" t="n"/>
      <c r="D99" s="5" t="n"/>
      <c r="E99" s="4" t="n"/>
      <c r="F99" s="6" t="n"/>
    </row>
    <row r="100">
      <c r="A100" s="4" t="n"/>
      <c r="B100" s="4" t="n"/>
      <c r="C100" s="5" t="n"/>
      <c r="D100" s="5" t="n"/>
      <c r="E100" s="4" t="n"/>
      <c r="F100" s="6" t="n"/>
    </row>
    <row r="101">
      <c r="A101" s="4" t="n"/>
      <c r="B101" s="4" t="n"/>
      <c r="C101" s="5" t="n"/>
      <c r="D101" s="5" t="n"/>
      <c r="E101" s="4" t="n"/>
      <c r="F101" s="6" t="n"/>
    </row>
    <row r="102">
      <c r="A102" s="4" t="n"/>
      <c r="B102" s="4" t="n"/>
      <c r="C102" s="5" t="n"/>
      <c r="D102" s="5" t="n"/>
      <c r="E102" s="4" t="n"/>
      <c r="F102" s="6" t="n"/>
    </row>
    <row r="103">
      <c r="A103" s="4" t="n"/>
      <c r="B103" s="4" t="n"/>
      <c r="C103" s="5" t="n"/>
      <c r="D103" s="5" t="n"/>
      <c r="E103" s="4" t="n"/>
      <c r="F103" s="6" t="n"/>
    </row>
    <row r="104">
      <c r="A104" s="4" t="n"/>
      <c r="B104" s="4" t="n"/>
      <c r="C104" s="5" t="n"/>
      <c r="D104" s="5" t="n"/>
      <c r="E104" s="4" t="n"/>
      <c r="F104" s="6" t="n"/>
    </row>
    <row r="105">
      <c r="A105" s="4" t="n"/>
      <c r="B105" s="4" t="n"/>
      <c r="C105" s="5" t="n"/>
      <c r="D105" s="5" t="n"/>
      <c r="E105" s="4" t="n"/>
      <c r="F105" s="6" t="n"/>
    </row>
    <row r="106">
      <c r="A106" s="4" t="n"/>
      <c r="B106" s="4" t="n"/>
      <c r="C106" s="5" t="n"/>
      <c r="D106" s="5" t="n"/>
      <c r="E106" s="4" t="n"/>
      <c r="F106" s="6" t="n"/>
    </row>
    <row r="107">
      <c r="A107" s="4" t="n"/>
      <c r="B107" s="4" t="n"/>
      <c r="C107" s="5" t="n"/>
      <c r="D107" s="5" t="n"/>
      <c r="E107" s="4" t="n"/>
      <c r="F107" s="6" t="n"/>
    </row>
    <row r="108">
      <c r="A108" s="4" t="n"/>
      <c r="B108" s="4" t="n"/>
      <c r="C108" s="5" t="n"/>
      <c r="D108" s="5" t="n"/>
      <c r="E108" s="4" t="n"/>
      <c r="F108" s="6" t="n"/>
    </row>
    <row r="109">
      <c r="A109" s="4" t="n"/>
      <c r="B109" s="4" t="n"/>
      <c r="C109" s="5" t="n"/>
      <c r="D109" s="5" t="n"/>
      <c r="E109" s="4" t="n"/>
      <c r="F109" s="6" t="n"/>
    </row>
    <row r="110">
      <c r="A110" s="4" t="n"/>
      <c r="B110" s="4" t="n"/>
      <c r="C110" s="5" t="n"/>
      <c r="D110" s="5" t="n"/>
      <c r="E110" s="4" t="n"/>
      <c r="F110" s="6" t="n"/>
    </row>
    <row r="111">
      <c r="A111" s="4" t="n"/>
      <c r="B111" s="4" t="n"/>
      <c r="C111" s="5" t="n"/>
      <c r="D111" s="5" t="n"/>
      <c r="E111" s="4" t="n"/>
      <c r="F111" s="6" t="n"/>
    </row>
    <row r="112">
      <c r="A112" s="4" t="n"/>
      <c r="B112" s="4" t="n"/>
      <c r="C112" s="5" t="n"/>
      <c r="D112" s="5" t="n"/>
      <c r="E112" s="4" t="n"/>
      <c r="F112" s="6" t="n"/>
    </row>
    <row r="113">
      <c r="A113" s="4" t="n"/>
      <c r="B113" s="4" t="n"/>
      <c r="C113" s="5" t="n"/>
      <c r="D113" s="5" t="n"/>
      <c r="E113" s="4" t="n"/>
      <c r="F113" s="6" t="n"/>
    </row>
    <row r="114">
      <c r="A114" s="4" t="n"/>
      <c r="B114" s="4" t="n"/>
      <c r="C114" s="5" t="n"/>
      <c r="D114" s="5" t="n"/>
      <c r="E114" s="4" t="n"/>
      <c r="F114" s="6" t="n"/>
    </row>
    <row r="115">
      <c r="A115" s="4" t="n"/>
      <c r="B115" s="4" t="n"/>
      <c r="C115" s="5" t="n"/>
      <c r="D115" s="5" t="n"/>
      <c r="E115" s="4" t="n"/>
      <c r="F115" s="6" t="n"/>
    </row>
    <row r="116">
      <c r="A116" s="4" t="n"/>
      <c r="B116" s="4" t="n"/>
      <c r="C116" s="5" t="n"/>
      <c r="D116" s="5" t="n"/>
      <c r="E116" s="4" t="n"/>
      <c r="F116" s="6" t="n"/>
    </row>
    <row r="117">
      <c r="A117" s="4" t="n"/>
      <c r="B117" s="4" t="n"/>
      <c r="C117" s="5" t="n"/>
      <c r="D117" s="5" t="n"/>
      <c r="E117" s="4" t="n"/>
      <c r="F117" s="6" t="n"/>
    </row>
    <row r="118">
      <c r="A118" s="4" t="n"/>
      <c r="B118" s="4" t="n"/>
      <c r="C118" s="5" t="n"/>
      <c r="D118" s="5" t="n"/>
      <c r="E118" s="4" t="n"/>
      <c r="F118" s="6" t="n"/>
    </row>
    <row r="119">
      <c r="A119" s="4" t="n"/>
      <c r="B119" s="4" t="n"/>
      <c r="C119" s="5" t="n"/>
      <c r="D119" s="5" t="n"/>
      <c r="E119" s="4" t="n"/>
      <c r="F119" s="6" t="n"/>
    </row>
    <row r="120">
      <c r="A120" s="4" t="n"/>
      <c r="B120" s="4" t="n"/>
      <c r="C120" s="5" t="n"/>
      <c r="D120" s="5" t="n"/>
      <c r="E120" s="4" t="n"/>
      <c r="F120" s="6" t="n"/>
    </row>
    <row r="121">
      <c r="A121" s="4" t="n"/>
      <c r="B121" s="4" t="n"/>
      <c r="C121" s="5" t="n"/>
      <c r="D121" s="5" t="n"/>
      <c r="E121" s="4" t="n"/>
      <c r="F121" s="6" t="n"/>
    </row>
    <row r="122">
      <c r="A122" s="4" t="n"/>
      <c r="B122" s="4" t="n"/>
      <c r="C122" s="5" t="n"/>
      <c r="D122" s="5" t="n"/>
      <c r="E122" s="4" t="n"/>
      <c r="F122" s="6" t="n"/>
    </row>
    <row r="123">
      <c r="A123" s="4" t="n"/>
      <c r="B123" s="4" t="n"/>
      <c r="C123" s="5" t="n"/>
      <c r="D123" s="5" t="n"/>
      <c r="E123" s="4" t="n"/>
      <c r="F123" s="6" t="n"/>
    </row>
    <row r="124">
      <c r="A124" s="4" t="n"/>
      <c r="B124" s="4" t="n"/>
      <c r="C124" s="5" t="n"/>
      <c r="D124" s="5" t="n"/>
      <c r="E124" s="4" t="n"/>
      <c r="F124" s="6" t="n"/>
    </row>
    <row r="125">
      <c r="A125" s="4" t="n"/>
      <c r="B125" s="4" t="n"/>
      <c r="C125" s="5" t="n"/>
      <c r="D125" s="5" t="n"/>
      <c r="E125" s="4" t="n"/>
      <c r="F125" s="6" t="n"/>
    </row>
    <row r="126">
      <c r="A126" s="4" t="n"/>
      <c r="B126" s="4" t="n"/>
      <c r="C126" s="5" t="n"/>
      <c r="D126" s="5" t="n"/>
      <c r="E126" s="4" t="n"/>
      <c r="F126" s="6" t="n"/>
    </row>
    <row r="127">
      <c r="A127" s="4" t="n"/>
      <c r="B127" s="4" t="n"/>
      <c r="C127" s="5" t="n"/>
      <c r="D127" s="5" t="n"/>
      <c r="E127" s="4" t="n"/>
      <c r="F127" s="6" t="n"/>
    </row>
    <row r="128">
      <c r="A128" s="4" t="n"/>
      <c r="B128" s="4" t="n"/>
      <c r="C128" s="5" t="n"/>
      <c r="D128" s="5" t="n"/>
      <c r="E128" s="4" t="n"/>
      <c r="F128" s="6" t="n"/>
    </row>
    <row r="129">
      <c r="A129" s="4" t="n"/>
      <c r="B129" s="4" t="n"/>
      <c r="C129" s="5" t="n"/>
      <c r="D129" s="5" t="n"/>
      <c r="E129" s="4" t="n"/>
      <c r="F129" s="6" t="n"/>
    </row>
    <row r="130">
      <c r="A130" s="4" t="n"/>
      <c r="B130" s="4" t="n"/>
      <c r="C130" s="5" t="n"/>
      <c r="D130" s="5" t="n"/>
      <c r="E130" s="4" t="n"/>
      <c r="F130" s="6" t="n"/>
    </row>
    <row r="131">
      <c r="A131" s="4" t="n"/>
      <c r="B131" s="4" t="n"/>
      <c r="C131" s="5" t="n"/>
      <c r="D131" s="5" t="n"/>
      <c r="E131" s="4" t="n"/>
      <c r="F131" s="6" t="n"/>
    </row>
    <row r="132">
      <c r="A132" s="4" t="n"/>
      <c r="B132" s="4" t="n"/>
      <c r="C132" s="5" t="n"/>
      <c r="D132" s="5" t="n"/>
      <c r="E132" s="4" t="n"/>
      <c r="F132" s="6" t="n"/>
    </row>
    <row r="133">
      <c r="A133" s="4" t="n"/>
      <c r="B133" s="4" t="n"/>
      <c r="C133" s="5" t="n"/>
      <c r="D133" s="5" t="n"/>
      <c r="E133" s="4" t="n"/>
      <c r="F133" s="6" t="n"/>
    </row>
    <row r="134">
      <c r="A134" s="4" t="n"/>
      <c r="B134" s="4" t="n"/>
      <c r="C134" s="5" t="n"/>
      <c r="D134" s="5" t="n"/>
      <c r="E134" s="4" t="n"/>
      <c r="F134" s="6" t="n"/>
    </row>
    <row r="135">
      <c r="A135" s="4" t="n"/>
      <c r="B135" s="4" t="n"/>
      <c r="C135" s="5" t="n"/>
      <c r="D135" s="5" t="n"/>
      <c r="E135" s="4" t="n"/>
      <c r="F135" s="6" t="n"/>
    </row>
    <row r="136">
      <c r="A136" s="4" t="n"/>
      <c r="B136" s="4" t="n"/>
      <c r="C136" s="5" t="n"/>
      <c r="D136" s="5" t="n"/>
      <c r="E136" s="4" t="n"/>
      <c r="F136" s="6" t="n"/>
    </row>
    <row r="137">
      <c r="A137" s="4" t="n"/>
      <c r="B137" s="4" t="n"/>
      <c r="C137" s="5" t="n"/>
      <c r="D137" s="5" t="n"/>
      <c r="E137" s="4" t="n"/>
      <c r="F137" s="6" t="n"/>
    </row>
    <row r="138">
      <c r="A138" s="4" t="n"/>
      <c r="B138" s="4" t="n"/>
      <c r="C138" s="5" t="n"/>
      <c r="D138" s="5" t="n"/>
      <c r="E138" s="4" t="n"/>
      <c r="F138" s="6" t="n"/>
    </row>
    <row r="139">
      <c r="A139" s="4" t="n"/>
      <c r="B139" s="4" t="n"/>
      <c r="C139" s="5" t="n"/>
      <c r="D139" s="5" t="n"/>
      <c r="E139" s="4" t="n"/>
      <c r="F139" s="6" t="n"/>
    </row>
    <row r="140">
      <c r="A140" s="4" t="n"/>
      <c r="B140" s="4" t="n"/>
      <c r="C140" s="5" t="n"/>
      <c r="D140" s="5" t="n"/>
      <c r="E140" s="4" t="n"/>
      <c r="F140" s="6" t="n"/>
    </row>
    <row r="141">
      <c r="A141" s="4" t="n"/>
      <c r="B141" s="4" t="n"/>
      <c r="C141" s="5" t="n"/>
      <c r="D141" s="5" t="n"/>
      <c r="E141" s="4" t="n"/>
      <c r="F141" s="6" t="n"/>
    </row>
    <row r="142">
      <c r="A142" s="4" t="n"/>
      <c r="B142" s="4" t="n"/>
      <c r="C142" s="5" t="n"/>
      <c r="D142" s="5" t="n"/>
      <c r="E142" s="4" t="n"/>
      <c r="F142" s="6" t="n"/>
    </row>
    <row r="143">
      <c r="A143" s="4" t="n"/>
      <c r="B143" s="4" t="n"/>
      <c r="C143" s="5" t="n"/>
      <c r="D143" s="5" t="n"/>
      <c r="E143" s="4" t="n"/>
      <c r="F143" s="6" t="n"/>
    </row>
    <row r="144">
      <c r="A144" s="4" t="n"/>
      <c r="B144" s="4" t="n"/>
      <c r="C144" s="5" t="n"/>
      <c r="D144" s="5" t="n"/>
      <c r="E144" s="4" t="n"/>
      <c r="F144" s="6" t="n"/>
    </row>
    <row r="145">
      <c r="A145" s="4" t="n"/>
      <c r="B145" s="4" t="n"/>
      <c r="C145" s="5" t="n"/>
      <c r="D145" s="5" t="n"/>
      <c r="E145" s="4" t="n"/>
      <c r="F145" s="6" t="n"/>
    </row>
    <row r="146">
      <c r="A146" s="4" t="n"/>
      <c r="B146" s="4" t="n"/>
      <c r="C146" s="5" t="n"/>
      <c r="D146" s="5" t="n"/>
      <c r="E146" s="4" t="n"/>
      <c r="F146" s="6" t="n"/>
    </row>
    <row r="147">
      <c r="A147" s="4" t="n"/>
      <c r="B147" s="4" t="n"/>
      <c r="C147" s="5" t="n"/>
      <c r="D147" s="5" t="n"/>
      <c r="E147" s="4" t="n"/>
      <c r="F147" s="6" t="n"/>
    </row>
    <row r="148">
      <c r="A148" s="4" t="n"/>
      <c r="B148" s="4" t="n"/>
      <c r="C148" s="5" t="n"/>
      <c r="D148" s="5" t="n"/>
      <c r="E148" s="4" t="n"/>
      <c r="F148" s="6" t="n"/>
    </row>
    <row r="149">
      <c r="A149" s="4" t="n"/>
      <c r="B149" s="4" t="n"/>
      <c r="C149" s="5" t="n"/>
      <c r="D149" s="5" t="n"/>
      <c r="E149" s="4" t="n"/>
      <c r="F149" s="6" t="n"/>
    </row>
    <row r="150">
      <c r="A150" s="4" t="n"/>
      <c r="B150" s="4" t="n"/>
      <c r="C150" s="5" t="n"/>
      <c r="D150" s="5" t="n"/>
      <c r="E150" s="4" t="n"/>
      <c r="F150" s="6" t="n"/>
    </row>
    <row r="151">
      <c r="A151" s="4" t="n"/>
      <c r="B151" s="4" t="n"/>
      <c r="C151" s="5" t="n"/>
      <c r="D151" s="5" t="n"/>
      <c r="E151" s="4" t="n"/>
      <c r="F151" s="6" t="n"/>
    </row>
    <row r="152">
      <c r="A152" s="4" t="n"/>
      <c r="B152" s="4" t="n"/>
      <c r="C152" s="5" t="n"/>
      <c r="D152" s="5" t="n"/>
      <c r="E152" s="4" t="n"/>
      <c r="F152" s="6" t="n"/>
    </row>
    <row r="153">
      <c r="A153" s="4" t="n"/>
      <c r="B153" s="4" t="n"/>
      <c r="C153" s="5" t="n"/>
      <c r="D153" s="5" t="n"/>
      <c r="E153" s="4" t="n"/>
      <c r="F153" s="6" t="n"/>
    </row>
    <row r="154">
      <c r="A154" s="4" t="n"/>
      <c r="B154" s="4" t="n"/>
      <c r="C154" s="5" t="n"/>
      <c r="D154" s="5" t="n"/>
      <c r="E154" s="4" t="n"/>
      <c r="F154" s="6" t="n"/>
    </row>
    <row r="155">
      <c r="A155" s="4" t="n"/>
      <c r="B155" s="4" t="n"/>
      <c r="C155" s="5" t="n"/>
      <c r="D155" s="5" t="n"/>
      <c r="E155" s="4" t="n"/>
      <c r="F155" s="6" t="n"/>
    </row>
    <row r="156">
      <c r="A156" s="4" t="n"/>
      <c r="B156" s="4" t="n"/>
      <c r="C156" s="5" t="n"/>
      <c r="D156" s="5" t="n"/>
      <c r="E156" s="4" t="n"/>
      <c r="F156" s="6" t="n"/>
    </row>
    <row r="157">
      <c r="A157" s="4" t="n"/>
      <c r="B157" s="4" t="n"/>
      <c r="C157" s="5" t="n"/>
      <c r="D157" s="5" t="n"/>
      <c r="E157" s="4" t="n"/>
      <c r="F157" s="6" t="n"/>
    </row>
    <row r="158">
      <c r="A158" s="4" t="n"/>
      <c r="B158" s="4" t="n"/>
      <c r="C158" s="5" t="n"/>
      <c r="D158" s="5" t="n"/>
      <c r="E158" s="4" t="n"/>
      <c r="F158" s="6" t="n"/>
    </row>
    <row r="159">
      <c r="A159" s="4" t="n"/>
      <c r="B159" s="4" t="n"/>
      <c r="C159" s="5" t="n"/>
      <c r="D159" s="5" t="n"/>
      <c r="E159" s="4" t="n"/>
      <c r="F159" s="6" t="n"/>
    </row>
    <row r="160">
      <c r="A160" s="4" t="n"/>
      <c r="B160" s="4" t="n"/>
      <c r="C160" s="5" t="n"/>
      <c r="D160" s="5" t="n"/>
      <c r="E160" s="4" t="n"/>
      <c r="F160" s="6" t="n"/>
    </row>
    <row r="161">
      <c r="A161" s="4" t="n"/>
      <c r="B161" s="4" t="n"/>
      <c r="C161" s="5" t="n"/>
      <c r="D161" s="5" t="n"/>
      <c r="E161" s="4" t="n"/>
      <c r="F161" s="6" t="n"/>
    </row>
    <row r="162">
      <c r="A162" s="4" t="n"/>
      <c r="B162" s="4" t="n"/>
      <c r="C162" s="5" t="n"/>
      <c r="D162" s="5" t="n"/>
      <c r="E162" s="4" t="n"/>
      <c r="F162" s="6" t="n"/>
    </row>
    <row r="163">
      <c r="A163" s="4" t="n"/>
      <c r="B163" s="4" t="n"/>
      <c r="C163" s="5" t="n"/>
      <c r="D163" s="5" t="n"/>
      <c r="E163" s="4" t="n"/>
      <c r="F163" s="6" t="n"/>
    </row>
    <row r="164">
      <c r="A164" s="4" t="n"/>
      <c r="B164" s="4" t="n"/>
      <c r="C164" s="5" t="n"/>
      <c r="D164" s="5" t="n"/>
      <c r="E164" s="4" t="n"/>
      <c r="F164" s="6" t="n"/>
    </row>
    <row r="165">
      <c r="A165" s="4" t="n"/>
      <c r="B165" s="4" t="n"/>
      <c r="C165" s="5" t="n"/>
      <c r="D165" s="5" t="n"/>
      <c r="E165" s="4" t="n"/>
      <c r="F165" s="6" t="n"/>
    </row>
    <row r="166">
      <c r="A166" s="4" t="n"/>
      <c r="B166" s="4" t="n"/>
      <c r="C166" s="5" t="n"/>
      <c r="D166" s="5" t="n"/>
      <c r="E166" s="4" t="n"/>
      <c r="F166" s="6" t="n"/>
    </row>
    <row r="167">
      <c r="A167" s="4" t="n"/>
      <c r="B167" s="4" t="n"/>
      <c r="C167" s="5" t="n"/>
      <c r="D167" s="5" t="n"/>
      <c r="E167" s="4" t="n"/>
      <c r="F167" s="6" t="n"/>
    </row>
    <row r="168">
      <c r="A168" s="4" t="n"/>
      <c r="B168" s="4" t="n"/>
      <c r="C168" s="5" t="n"/>
      <c r="D168" s="5" t="n"/>
      <c r="E168" s="4" t="n"/>
      <c r="F168" s="6" t="n"/>
    </row>
    <row r="169">
      <c r="A169" s="4" t="n"/>
      <c r="B169" s="4" t="n"/>
      <c r="C169" s="5" t="n"/>
      <c r="D169" s="5" t="n"/>
      <c r="E169" s="4" t="n"/>
      <c r="F169" s="6" t="n"/>
    </row>
    <row r="170">
      <c r="A170" s="4" t="n"/>
      <c r="B170" s="4" t="n"/>
      <c r="C170" s="5" t="n"/>
      <c r="D170" s="5" t="n"/>
      <c r="E170" s="4" t="n"/>
      <c r="F170" s="6" t="n"/>
    </row>
    <row r="171">
      <c r="A171" s="4" t="n"/>
      <c r="B171" s="4" t="n"/>
      <c r="C171" s="5" t="n"/>
      <c r="D171" s="5" t="n"/>
      <c r="E171" s="4" t="n"/>
      <c r="F171" s="6" t="n"/>
    </row>
    <row r="172">
      <c r="A172" s="4" t="n"/>
      <c r="B172" s="4" t="n"/>
      <c r="C172" s="5" t="n"/>
      <c r="D172" s="5" t="n"/>
      <c r="E172" s="4" t="n"/>
      <c r="F172" s="6" t="n"/>
    </row>
    <row r="173">
      <c r="A173" s="4" t="n"/>
      <c r="B173" s="4" t="n"/>
      <c r="C173" s="5" t="n"/>
      <c r="D173" s="5" t="n"/>
      <c r="E173" s="4" t="n"/>
      <c r="F173" s="6" t="n"/>
    </row>
    <row r="174">
      <c r="A174" s="4" t="n"/>
      <c r="B174" s="4" t="n"/>
      <c r="C174" s="5" t="n"/>
      <c r="D174" s="5" t="n"/>
      <c r="E174" s="4" t="n"/>
      <c r="F174" s="6" t="n"/>
    </row>
    <row r="175">
      <c r="A175" s="4" t="n"/>
      <c r="B175" s="4" t="n"/>
      <c r="C175" s="5" t="n"/>
      <c r="D175" s="5" t="n"/>
      <c r="E175" s="4" t="n"/>
      <c r="F175" s="6" t="n"/>
    </row>
    <row r="176">
      <c r="A176" s="4" t="n"/>
      <c r="B176" s="4" t="n"/>
      <c r="C176" s="5" t="n"/>
      <c r="D176" s="5" t="n"/>
      <c r="E176" s="4" t="n"/>
      <c r="F176" s="6" t="n"/>
    </row>
    <row r="177">
      <c r="A177" s="4" t="n"/>
      <c r="B177" s="4" t="n"/>
      <c r="C177" s="5" t="n"/>
      <c r="D177" s="5" t="n"/>
      <c r="E177" s="4" t="n"/>
      <c r="F177" s="6" t="n"/>
    </row>
    <row r="178">
      <c r="A178" s="4" t="n"/>
      <c r="B178" s="4" t="n"/>
      <c r="C178" s="5" t="n"/>
      <c r="D178" s="5" t="n"/>
      <c r="E178" s="4" t="n"/>
      <c r="F178" s="6" t="n"/>
    </row>
    <row r="179">
      <c r="A179" s="4" t="n"/>
      <c r="B179" s="4" t="n"/>
      <c r="C179" s="5" t="n"/>
      <c r="D179" s="5" t="n"/>
      <c r="E179" s="4" t="n"/>
      <c r="F179" s="6" t="n"/>
    </row>
    <row r="180">
      <c r="A180" s="4" t="n"/>
      <c r="B180" s="4" t="n"/>
      <c r="C180" s="5" t="n"/>
      <c r="D180" s="5" t="n"/>
      <c r="E180" s="4" t="n"/>
      <c r="F180" s="6" t="n"/>
    </row>
    <row r="181">
      <c r="A181" s="4" t="n"/>
      <c r="B181" s="4" t="n"/>
      <c r="C181" s="5" t="n"/>
      <c r="D181" s="5" t="n"/>
      <c r="E181" s="4" t="n"/>
      <c r="F181" s="6" t="n"/>
    </row>
    <row r="182">
      <c r="A182" s="4" t="n"/>
      <c r="B182" s="4" t="n"/>
      <c r="C182" s="5" t="n"/>
      <c r="D182" s="5" t="n"/>
      <c r="E182" s="4" t="n"/>
      <c r="F182" s="6" t="n"/>
    </row>
    <row r="183">
      <c r="A183" s="4" t="n"/>
      <c r="B183" s="4" t="n"/>
      <c r="C183" s="5" t="n"/>
      <c r="D183" s="5" t="n"/>
      <c r="E183" s="4" t="n"/>
      <c r="F183" s="6" t="n"/>
    </row>
    <row r="184">
      <c r="A184" s="4" t="n"/>
      <c r="B184" s="4" t="n"/>
      <c r="C184" s="5" t="n"/>
      <c r="D184" s="5" t="n"/>
      <c r="E184" s="4" t="n"/>
      <c r="F184" s="6" t="n"/>
    </row>
    <row r="185">
      <c r="A185" s="4" t="n"/>
      <c r="B185" s="4" t="n"/>
      <c r="C185" s="5" t="n"/>
      <c r="D185" s="5" t="n"/>
      <c r="E185" s="4" t="n"/>
      <c r="F185" s="6" t="n"/>
    </row>
    <row r="186">
      <c r="A186" s="4" t="n"/>
      <c r="B186" s="4" t="n"/>
      <c r="C186" s="5" t="n"/>
      <c r="D186" s="5" t="n"/>
      <c r="E186" s="4" t="n"/>
      <c r="F186" s="6" t="n"/>
    </row>
    <row r="187">
      <c r="A187" s="4" t="n"/>
      <c r="B187" s="4" t="n"/>
      <c r="C187" s="5" t="n"/>
      <c r="D187" s="5" t="n"/>
      <c r="E187" s="4" t="n"/>
      <c r="F187" s="6" t="n"/>
    </row>
    <row r="188">
      <c r="A188" s="4" t="n"/>
      <c r="B188" s="4" t="n"/>
      <c r="C188" s="5" t="n"/>
      <c r="D188" s="5" t="n"/>
      <c r="E188" s="4" t="n"/>
      <c r="F188" s="6" t="n"/>
    </row>
    <row r="189">
      <c r="A189" s="4" t="n"/>
      <c r="B189" s="4" t="n"/>
      <c r="C189" s="5" t="n"/>
      <c r="D189" s="5" t="n"/>
      <c r="E189" s="4" t="n"/>
      <c r="F189" s="6" t="n"/>
    </row>
    <row r="190">
      <c r="A190" s="4" t="n"/>
      <c r="B190" s="4" t="n"/>
      <c r="C190" s="5" t="n"/>
      <c r="D190" s="5" t="n"/>
      <c r="E190" s="4" t="n"/>
      <c r="F190" s="6" t="n"/>
    </row>
    <row r="191">
      <c r="A191" s="4" t="n"/>
      <c r="B191" s="4" t="n"/>
      <c r="C191" s="5" t="n"/>
      <c r="D191" s="5" t="n"/>
      <c r="E191" s="4" t="n"/>
      <c r="F191" s="6" t="n"/>
    </row>
    <row r="192">
      <c r="A192" s="4" t="n"/>
      <c r="B192" s="4" t="n"/>
      <c r="C192" s="5" t="n"/>
      <c r="D192" s="5" t="n"/>
      <c r="E192" s="4" t="n"/>
      <c r="F192" s="6" t="n"/>
    </row>
    <row r="193">
      <c r="A193" s="4" t="n"/>
      <c r="B193" s="4" t="n"/>
      <c r="C193" s="5" t="n"/>
      <c r="D193" s="5" t="n"/>
      <c r="E193" s="4" t="n"/>
      <c r="F193" s="6" t="n"/>
    </row>
    <row r="194">
      <c r="A194" s="4" t="n"/>
      <c r="B194" s="4" t="n"/>
      <c r="C194" s="5" t="n"/>
      <c r="D194" s="5" t="n"/>
      <c r="E194" s="4" t="n"/>
      <c r="F194" s="6" t="n"/>
    </row>
    <row r="195">
      <c r="A195" s="4" t="n"/>
      <c r="B195" s="4" t="n"/>
      <c r="C195" s="5" t="n"/>
      <c r="D195" s="5" t="n"/>
      <c r="E195" s="4" t="n"/>
      <c r="F195" s="6" t="n"/>
    </row>
    <row r="196">
      <c r="A196" s="4" t="n"/>
      <c r="B196" s="4" t="n"/>
      <c r="C196" s="5" t="n"/>
      <c r="D196" s="5" t="n"/>
      <c r="E196" s="4" t="n"/>
      <c r="F196" s="6" t="n"/>
    </row>
    <row r="197">
      <c r="A197" s="4" t="n"/>
      <c r="B197" s="4" t="n"/>
      <c r="C197" s="5" t="n"/>
      <c r="D197" s="5" t="n"/>
      <c r="E197" s="4" t="n"/>
      <c r="F197" s="6" t="n"/>
    </row>
    <row r="198">
      <c r="A198" s="4" t="n"/>
      <c r="B198" s="4" t="n"/>
      <c r="C198" s="5" t="n"/>
      <c r="D198" s="5" t="n"/>
      <c r="E198" s="4" t="n"/>
      <c r="F198" s="6" t="n"/>
    </row>
    <row r="199">
      <c r="A199" s="4" t="n"/>
      <c r="B199" s="4" t="n"/>
      <c r="C199" s="5" t="n"/>
      <c r="D199" s="5" t="n"/>
      <c r="E199" s="4" t="n"/>
      <c r="F199" s="6" t="n"/>
    </row>
    <row r="200">
      <c r="A200" s="4" t="n"/>
      <c r="B200" s="4" t="n"/>
      <c r="C200" s="5" t="n"/>
      <c r="D200" s="5" t="n"/>
      <c r="E200" s="4" t="n"/>
      <c r="F200" s="6" t="n"/>
    </row>
    <row r="201">
      <c r="A201" s="4" t="n"/>
      <c r="B201" s="4" t="n"/>
      <c r="C201" s="5" t="n"/>
      <c r="D201" s="5" t="n"/>
      <c r="E201" s="4" t="n"/>
      <c r="F201" s="6" t="n"/>
    </row>
    <row r="202">
      <c r="A202" s="4" t="n"/>
      <c r="B202" s="4" t="n"/>
      <c r="C202" s="5" t="n"/>
      <c r="D202" s="5" t="n"/>
      <c r="E202" s="4" t="n"/>
      <c r="F202" s="6" t="n"/>
    </row>
  </sheetData>
  <mergeCells count="1">
    <mergeCell ref="A1:F1"/>
  </mergeCells>
  <dataValidations count="1">
    <dataValidation sqref="D3:D202" showDropDown="0" showInputMessage="0" showErrorMessage="0" allowBlank="1" type="list">
      <formula1>"Mandap,Caterers,Walk-in,Other"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6A34A"/>
    <outlinePr summaryBelow="1" summaryRight="1"/>
    <pageSetUpPr fitToPage="1"/>
  </sheetPr>
  <dimension ref="A1:H41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0" customWidth="1" min="4" max="4"/>
    <col width="22" customWidth="1" min="5" max="5"/>
    <col width="22" customWidth="1" min="6" max="6"/>
    <col width="22" customWidth="1" min="7" max="7"/>
    <col width="26" customWidth="1" min="8" max="8"/>
  </cols>
  <sheetData>
    <row r="1" ht="34" customHeight="1">
      <c r="A1" s="9" t="inlineStr">
        <is>
          <t>DIPSEVA • डॅशबोर्ड • आजची स्थिती एका नजरेत</t>
        </is>
      </c>
    </row>
    <row r="2">
      <c r="A2" s="10" t="inlineStr">
        <is>
          <t>सर्व आकडे Ledger मधून auto — येथे टाइप करू नका. फक्त H2 तारीख बदला.</t>
        </is>
      </c>
      <c r="G2" s="11" t="inlineStr">
        <is>
          <t>Today / आज:</t>
        </is>
      </c>
      <c r="H2" s="12" t="n">
        <v>46218</v>
      </c>
    </row>
    <row r="3">
      <c r="A3" s="13" t="inlineStr">
        <is>
          <t>Total Billed • एकूण बिल</t>
        </is>
      </c>
      <c r="B3" s="13" t="inlineStr">
        <is>
          <t>Total Received • जमा</t>
        </is>
      </c>
      <c r="C3" s="13" t="inlineStr">
        <is>
          <t>Pending • येणे बाकी</t>
        </is>
      </c>
      <c r="E3" s="13" t="inlineStr">
        <is>
          <t>Today Collection • आजची जमा</t>
        </is>
      </c>
      <c r="F3" s="13" t="inlineStr">
        <is>
          <t>Today Billed • आजचे बिल</t>
        </is>
      </c>
      <c r="G3" s="13" t="inlineStr">
        <is>
          <t>Due Customers • थकबाकीदार</t>
        </is>
      </c>
      <c r="H3" t="inlineStr">
        <is>
          <t>Issue rows</t>
        </is>
      </c>
    </row>
    <row r="4">
      <c r="A4" s="14">
        <f>SUM(Ledger!$H$3:$H$1002)</f>
        <v/>
      </c>
      <c r="B4" s="15">
        <f>SUM(Ledger!$I$3:$I$1002)</f>
        <v/>
      </c>
      <c r="C4" s="16">
        <f>B4-C4</f>
        <v/>
      </c>
      <c r="E4" s="15">
        <f>SUMIFS(Ledger!$I$3:$I$1002,Ledger!$A$3:$A$1002,$H$2)</f>
        <v/>
      </c>
      <c r="F4" s="14">
        <f>SUMIFS(Ledger!$H$3:$H$1002,Ledger!$A$3:$A$1002,$H$2)</f>
        <v/>
      </c>
      <c r="G4" s="17">
        <f>SUMPRODUCT((Khata!$E$3:$E$202&gt;0)*(Khata!$A$3:$A$202&lt;&gt;""))</f>
        <v/>
      </c>
      <c r="H4" s="18">
        <f>COUNTIF(Ledger!$C$3:$C$1002,"Issue")</f>
        <v/>
      </c>
    </row>
    <row r="6" ht="24" customHeight="1">
      <c r="A6" s="19" t="inlineStr">
        <is>
          <t>TOP PENDING CUSTOMERS • जास्त बाकी असलेले ग्राहक</t>
        </is>
      </c>
    </row>
    <row r="7">
      <c r="A7" s="2" t="inlineStr">
        <is>
          <t>#</t>
        </is>
      </c>
      <c r="B7" s="2" t="inlineStr">
        <is>
          <t>Customer / ग्राहक</t>
        </is>
      </c>
      <c r="C7" s="2" t="inlineStr">
        <is>
          <t>Billed</t>
        </is>
      </c>
      <c r="D7" s="2" t="inlineStr">
        <is>
          <t>Received</t>
        </is>
      </c>
      <c r="E7" s="2" t="inlineStr">
        <is>
          <t>Pending</t>
        </is>
      </c>
      <c r="F7" s="2" t="inlineStr">
        <is>
          <t>Given</t>
        </is>
      </c>
      <c r="G7" s="2" t="inlineStr">
        <is>
          <t>Returned</t>
        </is>
      </c>
      <c r="H7" s="2" t="inlineStr">
        <is>
          <t>Outside</t>
        </is>
      </c>
    </row>
    <row r="8">
      <c r="A8" s="5">
        <f>1</f>
        <v/>
      </c>
      <c r="B8" s="5">
        <f>IFERROR(INDEX(Khata!$A:$A,MATCH(LARGE(Khata!$E$3:$E$202,1),Khata!$E$3:$E$202,0)),"")</f>
        <v/>
      </c>
      <c r="C8" s="6">
        <f>IF($B8="","",SUMIFS(Ledger!$H$3:$H$1002,Ledger!$B$3:$B$1002,$B8)+XLOOKUP($B8,Customers!$A:$A,Customers!$F:$F,0))</f>
        <v/>
      </c>
      <c r="D8" s="6">
        <f>IF($B8="","",SUMIFS(Ledger!$I$3:$I$1002,Ledger!$B$3:$B$1002,$B8))</f>
        <v/>
      </c>
      <c r="E8" s="6">
        <f>IF($B8="","",$C8-$D8)</f>
        <v/>
      </c>
      <c r="F8" s="5">
        <f>IF($B8="","",SUMIFS(Ledger!$F$3:$F$1002,Ledger!$B$3:$B$1002,$B8,Ledger!$C$3:$C$1002,"Issue"))</f>
        <v/>
      </c>
      <c r="G8" s="5">
        <f>IF($B8="","",SUMIFS(Ledger!$F$3:$F$1002,Ledger!$B$3:$B$1002,$B8,Ledger!$C$3:$C$1002,"Return"))</f>
        <v/>
      </c>
      <c r="H8" s="5">
        <f>IF($B8="","",$F8-$G8)</f>
        <v/>
      </c>
    </row>
    <row r="9">
      <c r="A9" s="5">
        <f>2</f>
        <v/>
      </c>
      <c r="B9" s="5">
        <f>IFERROR(INDEX(Khata!$A:$A,MATCH(LARGE(Khata!$E$3:$E$202,2),Khata!$E$3:$E$202,0)),"")</f>
        <v/>
      </c>
      <c r="C9" s="6">
        <f>IF($B9="","",SUMIFS(Ledger!$H$3:$H$1002,Ledger!$B$3:$B$1002,$B9)+XLOOKUP($B9,Customers!$A:$A,Customers!$F:$F,0))</f>
        <v/>
      </c>
      <c r="D9" s="6">
        <f>IF($B9="","",SUMIFS(Ledger!$I$3:$I$1002,Ledger!$B$3:$B$1002,$B9))</f>
        <v/>
      </c>
      <c r="E9" s="6">
        <f>IF($B9="","",$C9-$D9)</f>
        <v/>
      </c>
      <c r="F9" s="5">
        <f>IF($B9="","",SUMIFS(Ledger!$F$3:$F$1002,Ledger!$B$3:$B$1002,$B9,Ledger!$C$3:$C$1002,"Issue"))</f>
        <v/>
      </c>
      <c r="G9" s="5">
        <f>IF($B9="","",SUMIFS(Ledger!$F$3:$F$1002,Ledger!$B$3:$B$1002,$B9,Ledger!$C$3:$C$1002,"Return"))</f>
        <v/>
      </c>
      <c r="H9" s="5">
        <f>IF($B9="","",$F9-$G9)</f>
        <v/>
      </c>
    </row>
    <row r="10">
      <c r="A10" s="5">
        <f>3</f>
        <v/>
      </c>
      <c r="B10" s="5">
        <f>IFERROR(INDEX(Khata!$A:$A,MATCH(LARGE(Khata!$E$3:$E$202,3),Khata!$E$3:$E$202,0)),"")</f>
        <v/>
      </c>
      <c r="C10" s="6">
        <f>IF($B10="","",SUMIFS(Ledger!$H$3:$H$1002,Ledger!$B$3:$B$1002,$B10)+XLOOKUP($B10,Customers!$A:$A,Customers!$F:$F,0))</f>
        <v/>
      </c>
      <c r="D10" s="6">
        <f>IF($B10="","",SUMIFS(Ledger!$I$3:$I$1002,Ledger!$B$3:$B$1002,$B10))</f>
        <v/>
      </c>
      <c r="E10" s="6">
        <f>IF($B10="","",$C10-$D10)</f>
        <v/>
      </c>
      <c r="F10" s="5">
        <f>IF($B10="","",SUMIFS(Ledger!$F$3:$F$1002,Ledger!$B$3:$B$1002,$B10,Ledger!$C$3:$C$1002,"Issue"))</f>
        <v/>
      </c>
      <c r="G10" s="5">
        <f>IF($B10="","",SUMIFS(Ledger!$F$3:$F$1002,Ledger!$B$3:$B$1002,$B10,Ledger!$C$3:$C$1002,"Return"))</f>
        <v/>
      </c>
      <c r="H10" s="5">
        <f>IF($B10="","",$F10-$G10)</f>
        <v/>
      </c>
    </row>
    <row r="11">
      <c r="A11" s="5">
        <f>4</f>
        <v/>
      </c>
      <c r="B11" s="5">
        <f>IFERROR(INDEX(Khata!$A:$A,MATCH(LARGE(Khata!$E$3:$E$202,4),Khata!$E$3:$E$202,0)),"")</f>
        <v/>
      </c>
      <c r="C11" s="6">
        <f>IF($B11="","",SUMIFS(Ledger!$H$3:$H$1002,Ledger!$B$3:$B$1002,$B11)+XLOOKUP($B11,Customers!$A:$A,Customers!$F:$F,0))</f>
        <v/>
      </c>
      <c r="D11" s="6">
        <f>IF($B11="","",SUMIFS(Ledger!$I$3:$I$1002,Ledger!$B$3:$B$1002,$B11))</f>
        <v/>
      </c>
      <c r="E11" s="6">
        <f>IF($B11="","",$C11-$D11)</f>
        <v/>
      </c>
      <c r="F11" s="5">
        <f>IF($B11="","",SUMIFS(Ledger!$F$3:$F$1002,Ledger!$B$3:$B$1002,$B11,Ledger!$C$3:$C$1002,"Issue"))</f>
        <v/>
      </c>
      <c r="G11" s="5">
        <f>IF($B11="","",SUMIFS(Ledger!$F$3:$F$1002,Ledger!$B$3:$B$1002,$B11,Ledger!$C$3:$C$1002,"Return"))</f>
        <v/>
      </c>
      <c r="H11" s="5">
        <f>IF($B11="","",$F11-$G11)</f>
        <v/>
      </c>
    </row>
    <row r="12">
      <c r="A12" s="5">
        <f>5</f>
        <v/>
      </c>
      <c r="B12" s="5">
        <f>IFERROR(INDEX(Khata!$A:$A,MATCH(LARGE(Khata!$E$3:$E$202,5),Khata!$E$3:$E$202,0)),"")</f>
        <v/>
      </c>
      <c r="C12" s="6">
        <f>IF($B12="","",SUMIFS(Ledger!$H$3:$H$1002,Ledger!$B$3:$B$1002,$B12)+XLOOKUP($B12,Customers!$A:$A,Customers!$F:$F,0))</f>
        <v/>
      </c>
      <c r="D12" s="6">
        <f>IF($B12="","",SUMIFS(Ledger!$I$3:$I$1002,Ledger!$B$3:$B$1002,$B12))</f>
        <v/>
      </c>
      <c r="E12" s="6">
        <f>IF($B12="","",$C12-$D12)</f>
        <v/>
      </c>
      <c r="F12" s="5">
        <f>IF($B12="","",SUMIFS(Ledger!$F$3:$F$1002,Ledger!$B$3:$B$1002,$B12,Ledger!$C$3:$C$1002,"Issue"))</f>
        <v/>
      </c>
      <c r="G12" s="5">
        <f>IF($B12="","",SUMIFS(Ledger!$F$3:$F$1002,Ledger!$B$3:$B$1002,$B12,Ledger!$C$3:$C$1002,"Return"))</f>
        <v/>
      </c>
      <c r="H12" s="5">
        <f>IF($B12="","",$F12-$G12)</f>
        <v/>
      </c>
    </row>
    <row r="13">
      <c r="A13" s="5">
        <f>6</f>
        <v/>
      </c>
      <c r="B13" s="5">
        <f>IFERROR(INDEX(Khata!$A:$A,MATCH(LARGE(Khata!$E$3:$E$202,6),Khata!$E$3:$E$202,0)),"")</f>
        <v/>
      </c>
      <c r="C13" s="6">
        <f>IF($B13="","",SUMIFS(Ledger!$H$3:$H$1002,Ledger!$B$3:$B$1002,$B13)+XLOOKUP($B13,Customers!$A:$A,Customers!$F:$F,0))</f>
        <v/>
      </c>
      <c r="D13" s="6">
        <f>IF($B13="","",SUMIFS(Ledger!$I$3:$I$1002,Ledger!$B$3:$B$1002,$B13))</f>
        <v/>
      </c>
      <c r="E13" s="6">
        <f>IF($B13="","",$C13-$D13)</f>
        <v/>
      </c>
      <c r="F13" s="5">
        <f>IF($B13="","",SUMIFS(Ledger!$F$3:$F$1002,Ledger!$B$3:$B$1002,$B13,Ledger!$C$3:$C$1002,"Issue"))</f>
        <v/>
      </c>
      <c r="G13" s="5">
        <f>IF($B13="","",SUMIFS(Ledger!$F$3:$F$1002,Ledger!$B$3:$B$1002,$B13,Ledger!$C$3:$C$1002,"Return"))</f>
        <v/>
      </c>
      <c r="H13" s="5">
        <f>IF($B13="","",$F13-$G13)</f>
        <v/>
      </c>
    </row>
    <row r="14">
      <c r="A14" s="5">
        <f>7</f>
        <v/>
      </c>
      <c r="B14" s="5">
        <f>IFERROR(INDEX(Khata!$A:$A,MATCH(LARGE(Khata!$E$3:$E$202,7),Khata!$E$3:$E$202,0)),"")</f>
        <v/>
      </c>
      <c r="C14" s="6">
        <f>IF($B14="","",SUMIFS(Ledger!$H$3:$H$1002,Ledger!$B$3:$B$1002,$B14)+XLOOKUP($B14,Customers!$A:$A,Customers!$F:$F,0))</f>
        <v/>
      </c>
      <c r="D14" s="6">
        <f>IF($B14="","",SUMIFS(Ledger!$I$3:$I$1002,Ledger!$B$3:$B$1002,$B14))</f>
        <v/>
      </c>
      <c r="E14" s="6">
        <f>IF($B14="","",$C14-$D14)</f>
        <v/>
      </c>
      <c r="F14" s="5">
        <f>IF($B14="","",SUMIFS(Ledger!$F$3:$F$1002,Ledger!$B$3:$B$1002,$B14,Ledger!$C$3:$C$1002,"Issue"))</f>
        <v/>
      </c>
      <c r="G14" s="5">
        <f>IF($B14="","",SUMIFS(Ledger!$F$3:$F$1002,Ledger!$B$3:$B$1002,$B14,Ledger!$C$3:$C$1002,"Return"))</f>
        <v/>
      </c>
      <c r="H14" s="5">
        <f>IF($B14="","",$F14-$G14)</f>
        <v/>
      </c>
    </row>
    <row r="15">
      <c r="A15" s="5">
        <f>8</f>
        <v/>
      </c>
      <c r="B15" s="5">
        <f>IFERROR(INDEX(Khata!$A:$A,MATCH(LARGE(Khata!$E$3:$E$202,8),Khata!$E$3:$E$202,0)),"")</f>
        <v/>
      </c>
      <c r="C15" s="6">
        <f>IF($B15="","",SUMIFS(Ledger!$H$3:$H$1002,Ledger!$B$3:$B$1002,$B15)+XLOOKUP($B15,Customers!$A:$A,Customers!$F:$F,0))</f>
        <v/>
      </c>
      <c r="D15" s="6">
        <f>IF($B15="","",SUMIFS(Ledger!$I$3:$I$1002,Ledger!$B$3:$B$1002,$B15))</f>
        <v/>
      </c>
      <c r="E15" s="6">
        <f>IF($B15="","",$C15-$D15)</f>
        <v/>
      </c>
      <c r="F15" s="5">
        <f>IF($B15="","",SUMIFS(Ledger!$F$3:$F$1002,Ledger!$B$3:$B$1002,$B15,Ledger!$C$3:$C$1002,"Issue"))</f>
        <v/>
      </c>
      <c r="G15" s="5">
        <f>IF($B15="","",SUMIFS(Ledger!$F$3:$F$1002,Ledger!$B$3:$B$1002,$B15,Ledger!$C$3:$C$1002,"Return"))</f>
        <v/>
      </c>
      <c r="H15" s="5">
        <f>IF($B15="","",$F15-$G15)</f>
        <v/>
      </c>
    </row>
    <row r="16">
      <c r="A16" s="5">
        <f>9</f>
        <v/>
      </c>
      <c r="B16" s="5">
        <f>IFERROR(INDEX(Khata!$A:$A,MATCH(LARGE(Khata!$E$3:$E$202,9),Khata!$E$3:$E$202,0)),"")</f>
        <v/>
      </c>
      <c r="C16" s="6">
        <f>IF($B16="","",SUMIFS(Ledger!$H$3:$H$1002,Ledger!$B$3:$B$1002,$B16)+XLOOKUP($B16,Customers!$A:$A,Customers!$F:$F,0))</f>
        <v/>
      </c>
      <c r="D16" s="6">
        <f>IF($B16="","",SUMIFS(Ledger!$I$3:$I$1002,Ledger!$B$3:$B$1002,$B16))</f>
        <v/>
      </c>
      <c r="E16" s="6">
        <f>IF($B16="","",$C16-$D16)</f>
        <v/>
      </c>
      <c r="F16" s="5">
        <f>IF($B16="","",SUMIFS(Ledger!$F$3:$F$1002,Ledger!$B$3:$B$1002,$B16,Ledger!$C$3:$C$1002,"Issue"))</f>
        <v/>
      </c>
      <c r="G16" s="5">
        <f>IF($B16="","",SUMIFS(Ledger!$F$3:$F$1002,Ledger!$B$3:$B$1002,$B16,Ledger!$C$3:$C$1002,"Return"))</f>
        <v/>
      </c>
      <c r="H16" s="5">
        <f>IF($B16="","",$F16-$G16)</f>
        <v/>
      </c>
    </row>
    <row r="17">
      <c r="A17" s="5">
        <f>10</f>
        <v/>
      </c>
      <c r="B17" s="5">
        <f>IFERROR(INDEX(Khata!$A:$A,MATCH(LARGE(Khata!$E$3:$E$202,10),Khata!$E$3:$E$202,0)),"")</f>
        <v/>
      </c>
      <c r="C17" s="6">
        <f>IF($B17="","",SUMIFS(Ledger!$H$3:$H$1002,Ledger!$B$3:$B$1002,$B17)+XLOOKUP($B17,Customers!$A:$A,Customers!$F:$F,0))</f>
        <v/>
      </c>
      <c r="D17" s="6">
        <f>IF($B17="","",SUMIFS(Ledger!$I$3:$I$1002,Ledger!$B$3:$B$1002,$B17))</f>
        <v/>
      </c>
      <c r="E17" s="6">
        <f>IF($B17="","",$C17-$D17)</f>
        <v/>
      </c>
      <c r="F17" s="5">
        <f>IF($B17="","",SUMIFS(Ledger!$F$3:$F$1002,Ledger!$B$3:$B$1002,$B17,Ledger!$C$3:$C$1002,"Issue"))</f>
        <v/>
      </c>
      <c r="G17" s="5">
        <f>IF($B17="","",SUMIFS(Ledger!$F$3:$F$1002,Ledger!$B$3:$B$1002,$B17,Ledger!$C$3:$C$1002,"Return"))</f>
        <v/>
      </c>
      <c r="H17" s="5">
        <f>IF($B17="","",$F17-$G17)</f>
        <v/>
      </c>
    </row>
    <row r="19" ht="24" customHeight="1">
      <c r="A19" s="20" t="inlineStr">
        <is>
          <t>LOW STOCK • कमी माल</t>
        </is>
      </c>
    </row>
    <row r="20">
      <c r="A20" s="2" t="inlineStr">
        <is>
          <t>Item ID</t>
        </is>
      </c>
      <c r="B20" s="2" t="inlineStr">
        <is>
          <t>Item</t>
        </is>
      </c>
      <c r="C20" s="2" t="inlineStr">
        <is>
          <t>Opening</t>
        </is>
      </c>
      <c r="D20" s="2" t="inlineStr">
        <is>
          <t>Given</t>
        </is>
      </c>
      <c r="E20" s="2" t="inlineStr">
        <is>
          <t>Returned</t>
        </is>
      </c>
      <c r="F20" s="2" t="inlineStr">
        <is>
          <t>In Hand</t>
        </is>
      </c>
      <c r="G20" s="2" t="inlineStr">
        <is>
          <t>Min</t>
        </is>
      </c>
      <c r="H20" s="2" t="inlineStr">
        <is>
          <t>Status</t>
        </is>
      </c>
    </row>
    <row r="21">
      <c r="A21" s="5">
        <f>IFERROR(INDEX(Stock!$A:$A,1+2),"")</f>
        <v/>
      </c>
      <c r="B21" s="5">
        <f>IF($A21="","",XLOOKUP($A21,Items!$A:$A,Items!$B:$B))</f>
        <v/>
      </c>
      <c r="C21" s="5">
        <f>IF($A21="","",XLOOKUP($A21,Stock!$A:$A,Stock!$B:$B))</f>
        <v/>
      </c>
      <c r="D21" s="5">
        <f>IF($A21="","",XLOOKUP($A21,Stock!$A:$A,Stock!$C:$C))</f>
        <v/>
      </c>
      <c r="E21" s="5">
        <f>IF($A21="","",XLOOKUP($A21,Stock!$A:$A,Stock!$D:$D))</f>
        <v/>
      </c>
      <c r="F21" s="5">
        <f>IF($A21="","",XLOOKUP($A21,Stock!$A:$A,Stock!$E:$E))</f>
        <v/>
      </c>
      <c r="G21" s="5">
        <f>IF($A21="","",XLOOKUP($A21,Stock!$A:$A,Stock!$F:$F))</f>
        <v/>
      </c>
      <c r="H21" s="5">
        <f>IF($A21="","",XLOOKUP($A21,Stock!$A:$A,Stock!$H:$H))</f>
        <v/>
      </c>
    </row>
    <row r="22">
      <c r="A22" s="5">
        <f>IFERROR(INDEX(Stock!$A:$A,2+2),"")</f>
        <v/>
      </c>
      <c r="B22" s="5">
        <f>IF($A22="","",XLOOKUP($A22,Items!$A:$A,Items!$B:$B))</f>
        <v/>
      </c>
      <c r="C22" s="5">
        <f>IF($A22="","",XLOOKUP($A22,Stock!$A:$A,Stock!$B:$B))</f>
        <v/>
      </c>
      <c r="D22" s="5">
        <f>IF($A22="","",XLOOKUP($A22,Stock!$A:$A,Stock!$C:$C))</f>
        <v/>
      </c>
      <c r="E22" s="5">
        <f>IF($A22="","",XLOOKUP($A22,Stock!$A:$A,Stock!$D:$D))</f>
        <v/>
      </c>
      <c r="F22" s="5">
        <f>IF($A22="","",XLOOKUP($A22,Stock!$A:$A,Stock!$E:$E))</f>
        <v/>
      </c>
      <c r="G22" s="5">
        <f>IF($A22="","",XLOOKUP($A22,Stock!$A:$A,Stock!$F:$F))</f>
        <v/>
      </c>
      <c r="H22" s="5">
        <f>IF($A22="","",XLOOKUP($A22,Stock!$A:$A,Stock!$H:$H))</f>
        <v/>
      </c>
    </row>
    <row r="23">
      <c r="A23" s="5">
        <f>IFERROR(INDEX(Stock!$A:$A,3+2),"")</f>
        <v/>
      </c>
      <c r="B23" s="5">
        <f>IF($A23="","",XLOOKUP($A23,Items!$A:$A,Items!$B:$B))</f>
        <v/>
      </c>
      <c r="C23" s="5">
        <f>IF($A23="","",XLOOKUP($A23,Stock!$A:$A,Stock!$B:$B))</f>
        <v/>
      </c>
      <c r="D23" s="5">
        <f>IF($A23="","",XLOOKUP($A23,Stock!$A:$A,Stock!$C:$C))</f>
        <v/>
      </c>
      <c r="E23" s="5">
        <f>IF($A23="","",XLOOKUP($A23,Stock!$A:$A,Stock!$D:$D))</f>
        <v/>
      </c>
      <c r="F23" s="5">
        <f>IF($A23="","",XLOOKUP($A23,Stock!$A:$A,Stock!$E:$E))</f>
        <v/>
      </c>
      <c r="G23" s="5">
        <f>IF($A23="","",XLOOKUP($A23,Stock!$A:$A,Stock!$F:$F))</f>
        <v/>
      </c>
      <c r="H23" s="5">
        <f>IF($A23="","",XLOOKUP($A23,Stock!$A:$A,Stock!$H:$H))</f>
        <v/>
      </c>
    </row>
    <row r="24">
      <c r="A24" s="5">
        <f>IFERROR(INDEX(Stock!$A:$A,4+2),"")</f>
        <v/>
      </c>
      <c r="B24" s="5">
        <f>IF($A24="","",XLOOKUP($A24,Items!$A:$A,Items!$B:$B))</f>
        <v/>
      </c>
      <c r="C24" s="5">
        <f>IF($A24="","",XLOOKUP($A24,Stock!$A:$A,Stock!$B:$B))</f>
        <v/>
      </c>
      <c r="D24" s="5">
        <f>IF($A24="","",XLOOKUP($A24,Stock!$A:$A,Stock!$C:$C))</f>
        <v/>
      </c>
      <c r="E24" s="5">
        <f>IF($A24="","",XLOOKUP($A24,Stock!$A:$A,Stock!$D:$D))</f>
        <v/>
      </c>
      <c r="F24" s="5">
        <f>IF($A24="","",XLOOKUP($A24,Stock!$A:$A,Stock!$E:$E))</f>
        <v/>
      </c>
      <c r="G24" s="5">
        <f>IF($A24="","",XLOOKUP($A24,Stock!$A:$A,Stock!$F:$F))</f>
        <v/>
      </c>
      <c r="H24" s="5">
        <f>IF($A24="","",XLOOKUP($A24,Stock!$A:$A,Stock!$H:$H))</f>
        <v/>
      </c>
    </row>
    <row r="25">
      <c r="A25" s="5">
        <f>IFERROR(INDEX(Stock!$A:$A,5+2),"")</f>
        <v/>
      </c>
      <c r="B25" s="5">
        <f>IF($A25="","",XLOOKUP($A25,Items!$A:$A,Items!$B:$B))</f>
        <v/>
      </c>
      <c r="C25" s="5">
        <f>IF($A25="","",XLOOKUP($A25,Stock!$A:$A,Stock!$B:$B))</f>
        <v/>
      </c>
      <c r="D25" s="5">
        <f>IF($A25="","",XLOOKUP($A25,Stock!$A:$A,Stock!$C:$C))</f>
        <v/>
      </c>
      <c r="E25" s="5">
        <f>IF($A25="","",XLOOKUP($A25,Stock!$A:$A,Stock!$D:$D))</f>
        <v/>
      </c>
      <c r="F25" s="5">
        <f>IF($A25="","",XLOOKUP($A25,Stock!$A:$A,Stock!$E:$E))</f>
        <v/>
      </c>
      <c r="G25" s="5">
        <f>IF($A25="","",XLOOKUP($A25,Stock!$A:$A,Stock!$F:$F))</f>
        <v/>
      </c>
      <c r="H25" s="5">
        <f>IF($A25="","",XLOOKUP($A25,Stock!$A:$A,Stock!$H:$H))</f>
        <v/>
      </c>
    </row>
    <row r="26">
      <c r="A26" s="5">
        <f>IFERROR(INDEX(Stock!$A:$A,6+2),"")</f>
        <v/>
      </c>
      <c r="B26" s="5">
        <f>IF($A26="","",XLOOKUP($A26,Items!$A:$A,Items!$B:$B))</f>
        <v/>
      </c>
      <c r="C26" s="5">
        <f>IF($A26="","",XLOOKUP($A26,Stock!$A:$A,Stock!$B:$B))</f>
        <v/>
      </c>
      <c r="D26" s="5">
        <f>IF($A26="","",XLOOKUP($A26,Stock!$A:$A,Stock!$C:$C))</f>
        <v/>
      </c>
      <c r="E26" s="5">
        <f>IF($A26="","",XLOOKUP($A26,Stock!$A:$A,Stock!$D:$D))</f>
        <v/>
      </c>
      <c r="F26" s="5">
        <f>IF($A26="","",XLOOKUP($A26,Stock!$A:$A,Stock!$E:$E))</f>
        <v/>
      </c>
      <c r="G26" s="5">
        <f>IF($A26="","",XLOOKUP($A26,Stock!$A:$A,Stock!$F:$F))</f>
        <v/>
      </c>
      <c r="H26" s="5">
        <f>IF($A26="","",XLOOKUP($A26,Stock!$A:$A,Stock!$H:$H))</f>
        <v/>
      </c>
    </row>
    <row r="27">
      <c r="A27" s="5">
        <f>IFERROR(INDEX(Stock!$A:$A,7+2),"")</f>
        <v/>
      </c>
      <c r="B27" s="5">
        <f>IF($A27="","",XLOOKUP($A27,Items!$A:$A,Items!$B:$B))</f>
        <v/>
      </c>
      <c r="C27" s="5">
        <f>IF($A27="","",XLOOKUP($A27,Stock!$A:$A,Stock!$B:$B))</f>
        <v/>
      </c>
      <c r="D27" s="5">
        <f>IF($A27="","",XLOOKUP($A27,Stock!$A:$A,Stock!$C:$C))</f>
        <v/>
      </c>
      <c r="E27" s="5">
        <f>IF($A27="","",XLOOKUP($A27,Stock!$A:$A,Stock!$D:$D))</f>
        <v/>
      </c>
      <c r="F27" s="5">
        <f>IF($A27="","",XLOOKUP($A27,Stock!$A:$A,Stock!$E:$E))</f>
        <v/>
      </c>
      <c r="G27" s="5">
        <f>IF($A27="","",XLOOKUP($A27,Stock!$A:$A,Stock!$F:$F))</f>
        <v/>
      </c>
      <c r="H27" s="5">
        <f>IF($A27="","",XLOOKUP($A27,Stock!$A:$A,Stock!$H:$H))</f>
        <v/>
      </c>
    </row>
    <row r="28">
      <c r="A28" s="5">
        <f>IFERROR(INDEX(Stock!$A:$A,8+2),"")</f>
        <v/>
      </c>
      <c r="B28" s="5">
        <f>IF($A28="","",XLOOKUP($A28,Items!$A:$A,Items!$B:$B))</f>
        <v/>
      </c>
      <c r="C28" s="5">
        <f>IF($A28="","",XLOOKUP($A28,Stock!$A:$A,Stock!$B:$B))</f>
        <v/>
      </c>
      <c r="D28" s="5">
        <f>IF($A28="","",XLOOKUP($A28,Stock!$A:$A,Stock!$C:$C))</f>
        <v/>
      </c>
      <c r="E28" s="5">
        <f>IF($A28="","",XLOOKUP($A28,Stock!$A:$A,Stock!$D:$D))</f>
        <v/>
      </c>
      <c r="F28" s="5">
        <f>IF($A28="","",XLOOKUP($A28,Stock!$A:$A,Stock!$E:$E))</f>
        <v/>
      </c>
      <c r="G28" s="5">
        <f>IF($A28="","",XLOOKUP($A28,Stock!$A:$A,Stock!$F:$F))</f>
        <v/>
      </c>
      <c r="H28" s="5">
        <f>IF($A28="","",XLOOKUP($A28,Stock!$A:$A,Stock!$H:$H))</f>
        <v/>
      </c>
    </row>
    <row r="30" ht="24" customHeight="1">
      <c r="A30" s="21" t="inlineStr">
        <is>
          <t>LAST 10 DAYS • रोजची जमा</t>
        </is>
      </c>
    </row>
    <row r="31">
      <c r="A31" s="22" t="inlineStr">
        <is>
          <t>Date</t>
        </is>
      </c>
      <c r="B31" s="22" t="inlineStr">
        <is>
          <t>Billed</t>
        </is>
      </c>
      <c r="C31" s="22" t="inlineStr">
        <is>
          <t>Received</t>
        </is>
      </c>
      <c r="D31" s="22" t="inlineStr"/>
      <c r="E31" s="22" t="inlineStr">
        <is>
          <t>Customer</t>
        </is>
      </c>
      <c r="F31" s="22" t="inlineStr">
        <is>
          <t>Billed</t>
        </is>
      </c>
      <c r="G31" s="22" t="inlineStr">
        <is>
          <t>Received</t>
        </is>
      </c>
      <c r="H31" s="22" t="inlineStr"/>
    </row>
    <row r="32">
      <c r="A32" s="34">
        <f>$H$2-9+0</f>
        <v/>
      </c>
      <c r="B32" s="6">
        <f>SUMIFS(Ledger!$H$3:$H$1002,Ledger!$A$3:$A$1002,$A32)</f>
        <v/>
      </c>
      <c r="C32" s="6">
        <f>SUMIFS(Ledger!$I$3:$I$1002,Ledger!$A$3:$A$1002,$A32)</f>
        <v/>
      </c>
      <c r="D32" s="5" t="n"/>
      <c r="E32" s="5">
        <f>IFERROR(INDEX(Khata!$A:$A,0+3),"")</f>
        <v/>
      </c>
      <c r="F32" s="6">
        <f>IF($E32="","",SUMIFS(Ledger!$H$3:$H$1002,Ledger!$B$3:$B$1002,$E32))</f>
        <v/>
      </c>
      <c r="G32" s="6">
        <f>IF($E32="","",SUMIFS(Ledger!$I$3:$I$1002,Ledger!$B$3:$B$1002,$E32))</f>
        <v/>
      </c>
    </row>
    <row r="33">
      <c r="A33" s="34">
        <f>$H$2-9+1</f>
        <v/>
      </c>
      <c r="B33" s="6">
        <f>SUMIFS(Ledger!$H$3:$H$1002,Ledger!$A$3:$A$1002,$A33)</f>
        <v/>
      </c>
      <c r="C33" s="6">
        <f>SUMIFS(Ledger!$I$3:$I$1002,Ledger!$A$3:$A$1002,$A33)</f>
        <v/>
      </c>
      <c r="D33" s="5" t="n"/>
      <c r="E33" s="5">
        <f>IFERROR(INDEX(Khata!$A:$A,1+3),"")</f>
        <v/>
      </c>
      <c r="F33" s="6">
        <f>IF($E33="","",SUMIFS(Ledger!$H$3:$H$1002,Ledger!$B$3:$B$1002,$E33))</f>
        <v/>
      </c>
      <c r="G33" s="6">
        <f>IF($E33="","",SUMIFS(Ledger!$I$3:$I$1002,Ledger!$B$3:$B$1002,$E33))</f>
        <v/>
      </c>
    </row>
    <row r="34">
      <c r="A34" s="34">
        <f>$H$2-9+2</f>
        <v/>
      </c>
      <c r="B34" s="6">
        <f>SUMIFS(Ledger!$H$3:$H$1002,Ledger!$A$3:$A$1002,$A34)</f>
        <v/>
      </c>
      <c r="C34" s="6">
        <f>SUMIFS(Ledger!$I$3:$I$1002,Ledger!$A$3:$A$1002,$A34)</f>
        <v/>
      </c>
      <c r="D34" s="5" t="n"/>
      <c r="E34" s="5">
        <f>IFERROR(INDEX(Khata!$A:$A,2+3),"")</f>
        <v/>
      </c>
      <c r="F34" s="6">
        <f>IF($E34="","",SUMIFS(Ledger!$H$3:$H$1002,Ledger!$B$3:$B$1002,$E34))</f>
        <v/>
      </c>
      <c r="G34" s="6">
        <f>IF($E34="","",SUMIFS(Ledger!$I$3:$I$1002,Ledger!$B$3:$B$1002,$E34))</f>
        <v/>
      </c>
    </row>
    <row r="35">
      <c r="A35" s="34">
        <f>$H$2-9+3</f>
        <v/>
      </c>
      <c r="B35" s="6">
        <f>SUMIFS(Ledger!$H$3:$H$1002,Ledger!$A$3:$A$1002,$A35)</f>
        <v/>
      </c>
      <c r="C35" s="6">
        <f>SUMIFS(Ledger!$I$3:$I$1002,Ledger!$A$3:$A$1002,$A35)</f>
        <v/>
      </c>
      <c r="D35" s="5" t="n"/>
      <c r="E35" s="5">
        <f>IFERROR(INDEX(Khata!$A:$A,3+3),"")</f>
        <v/>
      </c>
      <c r="F35" s="6">
        <f>IF($E35="","",SUMIFS(Ledger!$H$3:$H$1002,Ledger!$B$3:$B$1002,$E35))</f>
        <v/>
      </c>
      <c r="G35" s="6">
        <f>IF($E35="","",SUMIFS(Ledger!$I$3:$I$1002,Ledger!$B$3:$B$1002,$E35))</f>
        <v/>
      </c>
    </row>
    <row r="36">
      <c r="A36" s="34">
        <f>$H$2-9+4</f>
        <v/>
      </c>
      <c r="B36" s="6">
        <f>SUMIFS(Ledger!$H$3:$H$1002,Ledger!$A$3:$A$1002,$A36)</f>
        <v/>
      </c>
      <c r="C36" s="6">
        <f>SUMIFS(Ledger!$I$3:$I$1002,Ledger!$A$3:$A$1002,$A36)</f>
        <v/>
      </c>
      <c r="D36" s="5" t="n"/>
      <c r="E36" s="5">
        <f>IFERROR(INDEX(Khata!$A:$A,4+3),"")</f>
        <v/>
      </c>
      <c r="F36" s="6">
        <f>IF($E36="","",SUMIFS(Ledger!$H$3:$H$1002,Ledger!$B$3:$B$1002,$E36))</f>
        <v/>
      </c>
      <c r="G36" s="6">
        <f>IF($E36="","",SUMIFS(Ledger!$I$3:$I$1002,Ledger!$B$3:$B$1002,$E36))</f>
        <v/>
      </c>
    </row>
    <row r="37">
      <c r="A37" s="34">
        <f>$H$2-9+5</f>
        <v/>
      </c>
      <c r="B37" s="6">
        <f>SUMIFS(Ledger!$H$3:$H$1002,Ledger!$A$3:$A$1002,$A37)</f>
        <v/>
      </c>
      <c r="C37" s="6">
        <f>SUMIFS(Ledger!$I$3:$I$1002,Ledger!$A$3:$A$1002,$A37)</f>
        <v/>
      </c>
      <c r="D37" s="5" t="n"/>
      <c r="E37" s="5">
        <f>IFERROR(INDEX(Khata!$A:$A,5+3),"")</f>
        <v/>
      </c>
      <c r="F37" s="6">
        <f>IF($E37="","",SUMIFS(Ledger!$H$3:$H$1002,Ledger!$B$3:$B$1002,$E37))</f>
        <v/>
      </c>
      <c r="G37" s="6">
        <f>IF($E37="","",SUMIFS(Ledger!$I$3:$I$1002,Ledger!$B$3:$B$1002,$E37))</f>
        <v/>
      </c>
    </row>
    <row r="38">
      <c r="A38" s="34">
        <f>$H$2-9+6</f>
        <v/>
      </c>
      <c r="B38" s="6">
        <f>SUMIFS(Ledger!$H$3:$H$1002,Ledger!$A$3:$A$1002,$A38)</f>
        <v/>
      </c>
      <c r="C38" s="6">
        <f>SUMIFS(Ledger!$I$3:$I$1002,Ledger!$A$3:$A$1002,$A38)</f>
        <v/>
      </c>
      <c r="D38" s="5" t="n"/>
      <c r="E38" s="5">
        <f>IFERROR(INDEX(Khata!$A:$A,6+3),"")</f>
        <v/>
      </c>
      <c r="F38" s="6">
        <f>IF($E38="","",SUMIFS(Ledger!$H$3:$H$1002,Ledger!$B$3:$B$1002,$E38))</f>
        <v/>
      </c>
      <c r="G38" s="6">
        <f>IF($E38="","",SUMIFS(Ledger!$I$3:$I$1002,Ledger!$B$3:$B$1002,$E38))</f>
        <v/>
      </c>
    </row>
    <row r="39">
      <c r="A39" s="34">
        <f>$H$2-9+7</f>
        <v/>
      </c>
      <c r="B39" s="6">
        <f>SUMIFS(Ledger!$H$3:$H$1002,Ledger!$A$3:$A$1002,$A39)</f>
        <v/>
      </c>
      <c r="C39" s="6">
        <f>SUMIFS(Ledger!$I$3:$I$1002,Ledger!$A$3:$A$1002,$A39)</f>
        <v/>
      </c>
      <c r="D39" s="5" t="n"/>
      <c r="E39" s="5">
        <f>IFERROR(INDEX(Khata!$A:$A,7+3),"")</f>
        <v/>
      </c>
      <c r="F39" s="6">
        <f>IF($E39="","",SUMIFS(Ledger!$H$3:$H$1002,Ledger!$B$3:$B$1002,$E39))</f>
        <v/>
      </c>
      <c r="G39" s="6">
        <f>IF($E39="","",SUMIFS(Ledger!$I$3:$I$1002,Ledger!$B$3:$B$1002,$E39))</f>
        <v/>
      </c>
    </row>
    <row r="40">
      <c r="A40" s="34">
        <f>$H$2-9+8</f>
        <v/>
      </c>
      <c r="B40" s="6">
        <f>SUMIFS(Ledger!$H$3:$H$1002,Ledger!$A$3:$A$1002,$A40)</f>
        <v/>
      </c>
      <c r="C40" s="6">
        <f>SUMIFS(Ledger!$I$3:$I$1002,Ledger!$A$3:$A$1002,$A40)</f>
        <v/>
      </c>
      <c r="D40" s="5" t="n"/>
      <c r="E40" s="5">
        <f>IFERROR(INDEX(Khata!$A:$A,8+3),"")</f>
        <v/>
      </c>
      <c r="F40" s="6">
        <f>IF($E40="","",SUMIFS(Ledger!$H$3:$H$1002,Ledger!$B$3:$B$1002,$E40))</f>
        <v/>
      </c>
      <c r="G40" s="6">
        <f>IF($E40="","",SUMIFS(Ledger!$I$3:$I$1002,Ledger!$B$3:$B$1002,$E40))</f>
        <v/>
      </c>
    </row>
    <row r="41">
      <c r="A41" s="34">
        <f>$H$2-9+9</f>
        <v/>
      </c>
      <c r="B41" s="6">
        <f>SUMIFS(Ledger!$H$3:$H$1002,Ledger!$A$3:$A$1002,$A41)</f>
        <v/>
      </c>
      <c r="C41" s="6">
        <f>SUMIFS(Ledger!$I$3:$I$1002,Ledger!$A$3:$A$1002,$A41)</f>
        <v/>
      </c>
      <c r="D41" s="5" t="n"/>
      <c r="E41" s="5">
        <f>IFERROR(INDEX(Khata!$A:$A,9+3),"")</f>
        <v/>
      </c>
      <c r="F41" s="6">
        <f>IF($E41="","",SUMIFS(Ledger!$H$3:$H$1002,Ledger!$B$3:$B$1002,$E41))</f>
        <v/>
      </c>
      <c r="G41" s="6">
        <f>IF($E41="","",SUMIFS(Ledger!$I$3:$I$1002,Ledger!$B$3:$B$1002,$E41))</f>
        <v/>
      </c>
    </row>
  </sheetData>
  <mergeCells count="5">
    <mergeCell ref="A2:F2"/>
    <mergeCell ref="A30:H30"/>
    <mergeCell ref="A19:H19"/>
    <mergeCell ref="A1:H1"/>
    <mergeCell ref="A6:H6"/>
  </mergeCells>
  <conditionalFormatting sqref="E8:E17">
    <cfRule type="cellIs" priority="1" operator="greaterThan" dxfId="3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97706"/>
    <outlinePr summaryBelow="1" summaryRight="1"/>
    <pageSetUpPr fitToPage="1"/>
  </sheetPr>
  <dimension ref="A1:G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4" customWidth="1" min="5" max="5"/>
    <col width="12" customWidth="1" min="6" max="6"/>
    <col width="12" customWidth="1" min="7" max="7"/>
  </cols>
  <sheetData>
    <row r="1" ht="30" customHeight="1">
      <c r="A1" s="21" t="inlineStr">
        <is>
          <t>KHATA • ग्राहक खाते • बेरीज (Yogesh: 850+900 बिल, 600 जमा = 1150 बाकी)</t>
        </is>
      </c>
    </row>
    <row r="2" ht="38" customHeight="1">
      <c r="A2" s="2" t="inlineStr">
        <is>
          <t>Customer
ग्राहक</t>
        </is>
      </c>
      <c r="B2" s="2" t="inlineStr">
        <is>
          <t>Billed ₹
एकूण बिल</t>
        </is>
      </c>
      <c r="C2" s="2" t="inlineStr">
        <is>
          <t>Received ₹
एकूण जमा</t>
        </is>
      </c>
      <c r="D2" s="2" t="inlineStr">
        <is>
          <t>Opening Due
जुनी बाकी</t>
        </is>
      </c>
      <c r="E2" s="2" t="inlineStr">
        <is>
          <t>Pending ₹
येणे बाकी</t>
        </is>
      </c>
      <c r="F2" s="2" t="inlineStr">
        <is>
          <t>Given Qty
दिलेले</t>
        </is>
      </c>
      <c r="G2" s="2" t="inlineStr">
        <is>
          <t>Outside Qty
बाहेर</t>
        </is>
      </c>
    </row>
    <row r="3">
      <c r="A3" s="4">
        <f>IF(Customers!A3="","",Customers!A3)</f>
        <v/>
      </c>
      <c r="B3" s="24">
        <f>IF($A3="","",SUMIFS(Ledger!$H$3:$H$1002,Ledger!$B$3:$B$1002,$A3))</f>
        <v/>
      </c>
      <c r="C3" s="24">
        <f>IF($A3="","",SUMIFS(Ledger!$I$3:$I$1002,Ledger!$B$3:$B$1002,$A3))</f>
        <v/>
      </c>
      <c r="D3" s="24">
        <f>IF($A3="","",IFERROR(XLOOKUP($A3,Customers!$A:$A,Customers!$F:$F),0))</f>
        <v/>
      </c>
      <c r="E3" s="24">
        <f>IF($A3="","",$B3+$D3-$C3)</f>
        <v/>
      </c>
      <c r="F3" s="24">
        <f>IF($A3="","",SUMIFS(Ledger!$F$3:$F$1002,Ledger!$B$3:$B$1002,$A3,Ledger!$C$3:$C$1002,"Issue"))</f>
        <v/>
      </c>
      <c r="G3" s="24">
        <f>IF($A3="","",SUMIFS(Ledger!$F$3:$F$1002,Ledger!$B$3:$B$1002,$A3,Ledger!$C$3:$C$1002,"Issue")-SUMIFS(Ledger!$F$3:$F$1002,Ledger!$B$3:$B$1002,$A3,Ledger!$C$3:$C$1002,"Return"))</f>
        <v/>
      </c>
    </row>
    <row r="4">
      <c r="A4" s="4">
        <f>IF(Customers!A4="","",Customers!A4)</f>
        <v/>
      </c>
      <c r="B4" s="24">
        <f>IF($A4="","",SUMIFS(Ledger!$H$3:$H$1002,Ledger!$B$3:$B$1002,$A4))</f>
        <v/>
      </c>
      <c r="C4" s="24">
        <f>IF($A4="","",SUMIFS(Ledger!$I$3:$I$1002,Ledger!$B$3:$B$1002,$A4))</f>
        <v/>
      </c>
      <c r="D4" s="24">
        <f>IF($A4="","",IFERROR(XLOOKUP($A4,Customers!$A:$A,Customers!$F:$F),0))</f>
        <v/>
      </c>
      <c r="E4" s="24">
        <f>IF($A4="","",$B4+$D4-$C4)</f>
        <v/>
      </c>
      <c r="F4" s="24">
        <f>IF($A4="","",SUMIFS(Ledger!$F$3:$F$1002,Ledger!$B$3:$B$1002,$A4,Ledger!$C$3:$C$1002,"Issue"))</f>
        <v/>
      </c>
      <c r="G4" s="24">
        <f>IF($A4="","",SUMIFS(Ledger!$F$3:$F$1002,Ledger!$B$3:$B$1002,$A4,Ledger!$C$3:$C$1002,"Issue")-SUMIFS(Ledger!$F$3:$F$1002,Ledger!$B$3:$B$1002,$A4,Ledger!$C$3:$C$1002,"Return"))</f>
        <v/>
      </c>
    </row>
    <row r="5">
      <c r="A5" s="4">
        <f>IF(Customers!A5="","",Customers!A5)</f>
        <v/>
      </c>
      <c r="B5" s="24">
        <f>IF($A5="","",SUMIFS(Ledger!$H$3:$H$1002,Ledger!$B$3:$B$1002,$A5))</f>
        <v/>
      </c>
      <c r="C5" s="24">
        <f>IF($A5="","",SUMIFS(Ledger!$I$3:$I$1002,Ledger!$B$3:$B$1002,$A5))</f>
        <v/>
      </c>
      <c r="D5" s="24">
        <f>IF($A5="","",IFERROR(XLOOKUP($A5,Customers!$A:$A,Customers!$F:$F),0))</f>
        <v/>
      </c>
      <c r="E5" s="24">
        <f>IF($A5="","",$B5+$D5-$C5)</f>
        <v/>
      </c>
      <c r="F5" s="24">
        <f>IF($A5="","",SUMIFS(Ledger!$F$3:$F$1002,Ledger!$B$3:$B$1002,$A5,Ledger!$C$3:$C$1002,"Issue"))</f>
        <v/>
      </c>
      <c r="G5" s="24">
        <f>IF($A5="","",SUMIFS(Ledger!$F$3:$F$1002,Ledger!$B$3:$B$1002,$A5,Ledger!$C$3:$C$1002,"Issue")-SUMIFS(Ledger!$F$3:$F$1002,Ledger!$B$3:$B$1002,$A5,Ledger!$C$3:$C$1002,"Return"))</f>
        <v/>
      </c>
    </row>
    <row r="6">
      <c r="A6" s="4">
        <f>IF(Customers!A6="","",Customers!A6)</f>
        <v/>
      </c>
      <c r="B6" s="24">
        <f>IF($A6="","",SUMIFS(Ledger!$H$3:$H$1002,Ledger!$B$3:$B$1002,$A6))</f>
        <v/>
      </c>
      <c r="C6" s="24">
        <f>IF($A6="","",SUMIFS(Ledger!$I$3:$I$1002,Ledger!$B$3:$B$1002,$A6))</f>
        <v/>
      </c>
      <c r="D6" s="24">
        <f>IF($A6="","",IFERROR(XLOOKUP($A6,Customers!$A:$A,Customers!$F:$F),0))</f>
        <v/>
      </c>
      <c r="E6" s="24">
        <f>IF($A6="","",$B6+$D6-$C6)</f>
        <v/>
      </c>
      <c r="F6" s="24">
        <f>IF($A6="","",SUMIFS(Ledger!$F$3:$F$1002,Ledger!$B$3:$B$1002,$A6,Ledger!$C$3:$C$1002,"Issue"))</f>
        <v/>
      </c>
      <c r="G6" s="24">
        <f>IF($A6="","",SUMIFS(Ledger!$F$3:$F$1002,Ledger!$B$3:$B$1002,$A6,Ledger!$C$3:$C$1002,"Issue")-SUMIFS(Ledger!$F$3:$F$1002,Ledger!$B$3:$B$1002,$A6,Ledger!$C$3:$C$1002,"Return"))</f>
        <v/>
      </c>
    </row>
    <row r="7">
      <c r="A7" s="4">
        <f>IF(Customers!A7="","",Customers!A7)</f>
        <v/>
      </c>
      <c r="B7" s="24">
        <f>IF($A7="","",SUMIFS(Ledger!$H$3:$H$1002,Ledger!$B$3:$B$1002,$A7))</f>
        <v/>
      </c>
      <c r="C7" s="24">
        <f>IF($A7="","",SUMIFS(Ledger!$I$3:$I$1002,Ledger!$B$3:$B$1002,$A7))</f>
        <v/>
      </c>
      <c r="D7" s="24">
        <f>IF($A7="","",IFERROR(XLOOKUP($A7,Customers!$A:$A,Customers!$F:$F),0))</f>
        <v/>
      </c>
      <c r="E7" s="24">
        <f>IF($A7="","",$B7+$D7-$C7)</f>
        <v/>
      </c>
      <c r="F7" s="24">
        <f>IF($A7="","",SUMIFS(Ledger!$F$3:$F$1002,Ledger!$B$3:$B$1002,$A7,Ledger!$C$3:$C$1002,"Issue"))</f>
        <v/>
      </c>
      <c r="G7" s="24">
        <f>IF($A7="","",SUMIFS(Ledger!$F$3:$F$1002,Ledger!$B$3:$B$1002,$A7,Ledger!$C$3:$C$1002,"Issue")-SUMIFS(Ledger!$F$3:$F$1002,Ledger!$B$3:$B$1002,$A7,Ledger!$C$3:$C$1002,"Return"))</f>
        <v/>
      </c>
    </row>
    <row r="8">
      <c r="A8" s="4">
        <f>IF(Customers!A8="","",Customers!A8)</f>
        <v/>
      </c>
      <c r="B8" s="24">
        <f>IF($A8="","",SUMIFS(Ledger!$H$3:$H$1002,Ledger!$B$3:$B$1002,$A8))</f>
        <v/>
      </c>
      <c r="C8" s="24">
        <f>IF($A8="","",SUMIFS(Ledger!$I$3:$I$1002,Ledger!$B$3:$B$1002,$A8))</f>
        <v/>
      </c>
      <c r="D8" s="24">
        <f>IF($A8="","",IFERROR(XLOOKUP($A8,Customers!$A:$A,Customers!$F:$F),0))</f>
        <v/>
      </c>
      <c r="E8" s="24">
        <f>IF($A8="","",$B8+$D8-$C8)</f>
        <v/>
      </c>
      <c r="F8" s="24">
        <f>IF($A8="","",SUMIFS(Ledger!$F$3:$F$1002,Ledger!$B$3:$B$1002,$A8,Ledger!$C$3:$C$1002,"Issue"))</f>
        <v/>
      </c>
      <c r="G8" s="24">
        <f>IF($A8="","",SUMIFS(Ledger!$F$3:$F$1002,Ledger!$B$3:$B$1002,$A8,Ledger!$C$3:$C$1002,"Issue")-SUMIFS(Ledger!$F$3:$F$1002,Ledger!$B$3:$B$1002,$A8,Ledger!$C$3:$C$1002,"Return"))</f>
        <v/>
      </c>
    </row>
    <row r="9">
      <c r="A9" s="4">
        <f>IF(Customers!A9="","",Customers!A9)</f>
        <v/>
      </c>
      <c r="B9" s="24">
        <f>IF($A9="","",SUMIFS(Ledger!$H$3:$H$1002,Ledger!$B$3:$B$1002,$A9))</f>
        <v/>
      </c>
      <c r="C9" s="24">
        <f>IF($A9="","",SUMIFS(Ledger!$I$3:$I$1002,Ledger!$B$3:$B$1002,$A9))</f>
        <v/>
      </c>
      <c r="D9" s="24">
        <f>IF($A9="","",IFERROR(XLOOKUP($A9,Customers!$A:$A,Customers!$F:$F),0))</f>
        <v/>
      </c>
      <c r="E9" s="24">
        <f>IF($A9="","",$B9+$D9-$C9)</f>
        <v/>
      </c>
      <c r="F9" s="24">
        <f>IF($A9="","",SUMIFS(Ledger!$F$3:$F$1002,Ledger!$B$3:$B$1002,$A9,Ledger!$C$3:$C$1002,"Issue"))</f>
        <v/>
      </c>
      <c r="G9" s="24">
        <f>IF($A9="","",SUMIFS(Ledger!$F$3:$F$1002,Ledger!$B$3:$B$1002,$A9,Ledger!$C$3:$C$1002,"Issue")-SUMIFS(Ledger!$F$3:$F$1002,Ledger!$B$3:$B$1002,$A9,Ledger!$C$3:$C$1002,"Return"))</f>
        <v/>
      </c>
    </row>
    <row r="10">
      <c r="A10" s="4">
        <f>IF(Customers!A10="","",Customers!A10)</f>
        <v/>
      </c>
      <c r="B10" s="24">
        <f>IF($A10="","",SUMIFS(Ledger!$H$3:$H$1002,Ledger!$B$3:$B$1002,$A10))</f>
        <v/>
      </c>
      <c r="C10" s="24">
        <f>IF($A10="","",SUMIFS(Ledger!$I$3:$I$1002,Ledger!$B$3:$B$1002,$A10))</f>
        <v/>
      </c>
      <c r="D10" s="24">
        <f>IF($A10="","",IFERROR(XLOOKUP($A10,Customers!$A:$A,Customers!$F:$F),0))</f>
        <v/>
      </c>
      <c r="E10" s="24">
        <f>IF($A10="","",$B10+$D10-$C10)</f>
        <v/>
      </c>
      <c r="F10" s="24">
        <f>IF($A10="","",SUMIFS(Ledger!$F$3:$F$1002,Ledger!$B$3:$B$1002,$A10,Ledger!$C$3:$C$1002,"Issue"))</f>
        <v/>
      </c>
      <c r="G10" s="24">
        <f>IF($A10="","",SUMIFS(Ledger!$F$3:$F$1002,Ledger!$B$3:$B$1002,$A10,Ledger!$C$3:$C$1002,"Issue")-SUMIFS(Ledger!$F$3:$F$1002,Ledger!$B$3:$B$1002,$A10,Ledger!$C$3:$C$1002,"Return"))</f>
        <v/>
      </c>
    </row>
    <row r="11">
      <c r="A11" s="4">
        <f>IF(Customers!A11="","",Customers!A11)</f>
        <v/>
      </c>
      <c r="B11" s="24">
        <f>IF($A11="","",SUMIFS(Ledger!$H$3:$H$1002,Ledger!$B$3:$B$1002,$A11))</f>
        <v/>
      </c>
      <c r="C11" s="24">
        <f>IF($A11="","",SUMIFS(Ledger!$I$3:$I$1002,Ledger!$B$3:$B$1002,$A11))</f>
        <v/>
      </c>
      <c r="D11" s="24">
        <f>IF($A11="","",IFERROR(XLOOKUP($A11,Customers!$A:$A,Customers!$F:$F),0))</f>
        <v/>
      </c>
      <c r="E11" s="24">
        <f>IF($A11="","",$B11+$D11-$C11)</f>
        <v/>
      </c>
      <c r="F11" s="24">
        <f>IF($A11="","",SUMIFS(Ledger!$F$3:$F$1002,Ledger!$B$3:$B$1002,$A11,Ledger!$C$3:$C$1002,"Issue"))</f>
        <v/>
      </c>
      <c r="G11" s="24">
        <f>IF($A11="","",SUMIFS(Ledger!$F$3:$F$1002,Ledger!$B$3:$B$1002,$A11,Ledger!$C$3:$C$1002,"Issue")-SUMIFS(Ledger!$F$3:$F$1002,Ledger!$B$3:$B$1002,$A11,Ledger!$C$3:$C$1002,"Return"))</f>
        <v/>
      </c>
    </row>
    <row r="12">
      <c r="A12" s="4">
        <f>IF(Customers!A12="","",Customers!A12)</f>
        <v/>
      </c>
      <c r="B12" s="24">
        <f>IF($A12="","",SUMIFS(Ledger!$H$3:$H$1002,Ledger!$B$3:$B$1002,$A12))</f>
        <v/>
      </c>
      <c r="C12" s="24">
        <f>IF($A12="","",SUMIFS(Ledger!$I$3:$I$1002,Ledger!$B$3:$B$1002,$A12))</f>
        <v/>
      </c>
      <c r="D12" s="24">
        <f>IF($A12="","",IFERROR(XLOOKUP($A12,Customers!$A:$A,Customers!$F:$F),0))</f>
        <v/>
      </c>
      <c r="E12" s="24">
        <f>IF($A12="","",$B12+$D12-$C12)</f>
        <v/>
      </c>
      <c r="F12" s="24">
        <f>IF($A12="","",SUMIFS(Ledger!$F$3:$F$1002,Ledger!$B$3:$B$1002,$A12,Ledger!$C$3:$C$1002,"Issue"))</f>
        <v/>
      </c>
      <c r="G12" s="24">
        <f>IF($A12="","",SUMIFS(Ledger!$F$3:$F$1002,Ledger!$B$3:$B$1002,$A12,Ledger!$C$3:$C$1002,"Issue")-SUMIFS(Ledger!$F$3:$F$1002,Ledger!$B$3:$B$1002,$A12,Ledger!$C$3:$C$1002,"Return"))</f>
        <v/>
      </c>
    </row>
    <row r="13">
      <c r="A13" s="4">
        <f>IF(Customers!A13="","",Customers!A13)</f>
        <v/>
      </c>
      <c r="B13" s="24">
        <f>IF($A13="","",SUMIFS(Ledger!$H$3:$H$1002,Ledger!$B$3:$B$1002,$A13))</f>
        <v/>
      </c>
      <c r="C13" s="24">
        <f>IF($A13="","",SUMIFS(Ledger!$I$3:$I$1002,Ledger!$B$3:$B$1002,$A13))</f>
        <v/>
      </c>
      <c r="D13" s="24">
        <f>IF($A13="","",IFERROR(XLOOKUP($A13,Customers!$A:$A,Customers!$F:$F),0))</f>
        <v/>
      </c>
      <c r="E13" s="24">
        <f>IF($A13="","",$B13+$D13-$C13)</f>
        <v/>
      </c>
      <c r="F13" s="24">
        <f>IF($A13="","",SUMIFS(Ledger!$F$3:$F$1002,Ledger!$B$3:$B$1002,$A13,Ledger!$C$3:$C$1002,"Issue"))</f>
        <v/>
      </c>
      <c r="G13" s="24">
        <f>IF($A13="","",SUMIFS(Ledger!$F$3:$F$1002,Ledger!$B$3:$B$1002,$A13,Ledger!$C$3:$C$1002,"Issue")-SUMIFS(Ledger!$F$3:$F$1002,Ledger!$B$3:$B$1002,$A13,Ledger!$C$3:$C$1002,"Return"))</f>
        <v/>
      </c>
    </row>
    <row r="14">
      <c r="A14" s="4">
        <f>IF(Customers!A14="","",Customers!A14)</f>
        <v/>
      </c>
      <c r="B14" s="24">
        <f>IF($A14="","",SUMIFS(Ledger!$H$3:$H$1002,Ledger!$B$3:$B$1002,$A14))</f>
        <v/>
      </c>
      <c r="C14" s="24">
        <f>IF($A14="","",SUMIFS(Ledger!$I$3:$I$1002,Ledger!$B$3:$B$1002,$A14))</f>
        <v/>
      </c>
      <c r="D14" s="24">
        <f>IF($A14="","",IFERROR(XLOOKUP($A14,Customers!$A:$A,Customers!$F:$F),0))</f>
        <v/>
      </c>
      <c r="E14" s="24">
        <f>IF($A14="","",$B14+$D14-$C14)</f>
        <v/>
      </c>
      <c r="F14" s="24">
        <f>IF($A14="","",SUMIFS(Ledger!$F$3:$F$1002,Ledger!$B$3:$B$1002,$A14,Ledger!$C$3:$C$1002,"Issue"))</f>
        <v/>
      </c>
      <c r="G14" s="24">
        <f>IF($A14="","",SUMIFS(Ledger!$F$3:$F$1002,Ledger!$B$3:$B$1002,$A14,Ledger!$C$3:$C$1002,"Issue")-SUMIFS(Ledger!$F$3:$F$1002,Ledger!$B$3:$B$1002,$A14,Ledger!$C$3:$C$1002,"Return"))</f>
        <v/>
      </c>
    </row>
    <row r="15">
      <c r="A15" s="4">
        <f>IF(Customers!A15="","",Customers!A15)</f>
        <v/>
      </c>
      <c r="B15" s="24">
        <f>IF($A15="","",SUMIFS(Ledger!$H$3:$H$1002,Ledger!$B$3:$B$1002,$A15))</f>
        <v/>
      </c>
      <c r="C15" s="24">
        <f>IF($A15="","",SUMIFS(Ledger!$I$3:$I$1002,Ledger!$B$3:$B$1002,$A15))</f>
        <v/>
      </c>
      <c r="D15" s="24">
        <f>IF($A15="","",IFERROR(XLOOKUP($A15,Customers!$A:$A,Customers!$F:$F),0))</f>
        <v/>
      </c>
      <c r="E15" s="24">
        <f>IF($A15="","",$B15+$D15-$C15)</f>
        <v/>
      </c>
      <c r="F15" s="24">
        <f>IF($A15="","",SUMIFS(Ledger!$F$3:$F$1002,Ledger!$B$3:$B$1002,$A15,Ledger!$C$3:$C$1002,"Issue"))</f>
        <v/>
      </c>
      <c r="G15" s="24">
        <f>IF($A15="","",SUMIFS(Ledger!$F$3:$F$1002,Ledger!$B$3:$B$1002,$A15,Ledger!$C$3:$C$1002,"Issue")-SUMIFS(Ledger!$F$3:$F$1002,Ledger!$B$3:$B$1002,$A15,Ledger!$C$3:$C$1002,"Return"))</f>
        <v/>
      </c>
    </row>
    <row r="16">
      <c r="A16" s="4">
        <f>IF(Customers!A16="","",Customers!A16)</f>
        <v/>
      </c>
      <c r="B16" s="24">
        <f>IF($A16="","",SUMIFS(Ledger!$H$3:$H$1002,Ledger!$B$3:$B$1002,$A16))</f>
        <v/>
      </c>
      <c r="C16" s="24">
        <f>IF($A16="","",SUMIFS(Ledger!$I$3:$I$1002,Ledger!$B$3:$B$1002,$A16))</f>
        <v/>
      </c>
      <c r="D16" s="24">
        <f>IF($A16="","",IFERROR(XLOOKUP($A16,Customers!$A:$A,Customers!$F:$F),0))</f>
        <v/>
      </c>
      <c r="E16" s="24">
        <f>IF($A16="","",$B16+$D16-$C16)</f>
        <v/>
      </c>
      <c r="F16" s="24">
        <f>IF($A16="","",SUMIFS(Ledger!$F$3:$F$1002,Ledger!$B$3:$B$1002,$A16,Ledger!$C$3:$C$1002,"Issue"))</f>
        <v/>
      </c>
      <c r="G16" s="24">
        <f>IF($A16="","",SUMIFS(Ledger!$F$3:$F$1002,Ledger!$B$3:$B$1002,$A16,Ledger!$C$3:$C$1002,"Issue")-SUMIFS(Ledger!$F$3:$F$1002,Ledger!$B$3:$B$1002,$A16,Ledger!$C$3:$C$1002,"Return"))</f>
        <v/>
      </c>
    </row>
    <row r="17">
      <c r="A17" s="4">
        <f>IF(Customers!A17="","",Customers!A17)</f>
        <v/>
      </c>
      <c r="B17" s="24">
        <f>IF($A17="","",SUMIFS(Ledger!$H$3:$H$1002,Ledger!$B$3:$B$1002,$A17))</f>
        <v/>
      </c>
      <c r="C17" s="24">
        <f>IF($A17="","",SUMIFS(Ledger!$I$3:$I$1002,Ledger!$B$3:$B$1002,$A17))</f>
        <v/>
      </c>
      <c r="D17" s="24">
        <f>IF($A17="","",IFERROR(XLOOKUP($A17,Customers!$A:$A,Customers!$F:$F),0))</f>
        <v/>
      </c>
      <c r="E17" s="24">
        <f>IF($A17="","",$B17+$D17-$C17)</f>
        <v/>
      </c>
      <c r="F17" s="24">
        <f>IF($A17="","",SUMIFS(Ledger!$F$3:$F$1002,Ledger!$B$3:$B$1002,$A17,Ledger!$C$3:$C$1002,"Issue"))</f>
        <v/>
      </c>
      <c r="G17" s="24">
        <f>IF($A17="","",SUMIFS(Ledger!$F$3:$F$1002,Ledger!$B$3:$B$1002,$A17,Ledger!$C$3:$C$1002,"Issue")-SUMIFS(Ledger!$F$3:$F$1002,Ledger!$B$3:$B$1002,$A17,Ledger!$C$3:$C$1002,"Return"))</f>
        <v/>
      </c>
    </row>
    <row r="18">
      <c r="A18" s="4">
        <f>IF(Customers!A18="","",Customers!A18)</f>
        <v/>
      </c>
      <c r="B18" s="24">
        <f>IF($A18="","",SUMIFS(Ledger!$H$3:$H$1002,Ledger!$B$3:$B$1002,$A18))</f>
        <v/>
      </c>
      <c r="C18" s="24">
        <f>IF($A18="","",SUMIFS(Ledger!$I$3:$I$1002,Ledger!$B$3:$B$1002,$A18))</f>
        <v/>
      </c>
      <c r="D18" s="24">
        <f>IF($A18="","",IFERROR(XLOOKUP($A18,Customers!$A:$A,Customers!$F:$F),0))</f>
        <v/>
      </c>
      <c r="E18" s="24">
        <f>IF($A18="","",$B18+$D18-$C18)</f>
        <v/>
      </c>
      <c r="F18" s="24">
        <f>IF($A18="","",SUMIFS(Ledger!$F$3:$F$1002,Ledger!$B$3:$B$1002,$A18,Ledger!$C$3:$C$1002,"Issue"))</f>
        <v/>
      </c>
      <c r="G18" s="24">
        <f>IF($A18="","",SUMIFS(Ledger!$F$3:$F$1002,Ledger!$B$3:$B$1002,$A18,Ledger!$C$3:$C$1002,"Issue")-SUMIFS(Ledger!$F$3:$F$1002,Ledger!$B$3:$B$1002,$A18,Ledger!$C$3:$C$1002,"Return"))</f>
        <v/>
      </c>
    </row>
    <row r="19">
      <c r="A19" s="4">
        <f>IF(Customers!A19="","",Customers!A19)</f>
        <v/>
      </c>
      <c r="B19" s="24">
        <f>IF($A19="","",SUMIFS(Ledger!$H$3:$H$1002,Ledger!$B$3:$B$1002,$A19))</f>
        <v/>
      </c>
      <c r="C19" s="24">
        <f>IF($A19="","",SUMIFS(Ledger!$I$3:$I$1002,Ledger!$B$3:$B$1002,$A19))</f>
        <v/>
      </c>
      <c r="D19" s="24">
        <f>IF($A19="","",IFERROR(XLOOKUP($A19,Customers!$A:$A,Customers!$F:$F),0))</f>
        <v/>
      </c>
      <c r="E19" s="24">
        <f>IF($A19="","",$B19+$D19-$C19)</f>
        <v/>
      </c>
      <c r="F19" s="24">
        <f>IF($A19="","",SUMIFS(Ledger!$F$3:$F$1002,Ledger!$B$3:$B$1002,$A19,Ledger!$C$3:$C$1002,"Issue"))</f>
        <v/>
      </c>
      <c r="G19" s="24">
        <f>IF($A19="","",SUMIFS(Ledger!$F$3:$F$1002,Ledger!$B$3:$B$1002,$A19,Ledger!$C$3:$C$1002,"Issue")-SUMIFS(Ledger!$F$3:$F$1002,Ledger!$B$3:$B$1002,$A19,Ledger!$C$3:$C$1002,"Return"))</f>
        <v/>
      </c>
    </row>
    <row r="20">
      <c r="A20" s="4">
        <f>IF(Customers!A20="","",Customers!A20)</f>
        <v/>
      </c>
      <c r="B20" s="24">
        <f>IF($A20="","",SUMIFS(Ledger!$H$3:$H$1002,Ledger!$B$3:$B$1002,$A20))</f>
        <v/>
      </c>
      <c r="C20" s="24">
        <f>IF($A20="","",SUMIFS(Ledger!$I$3:$I$1002,Ledger!$B$3:$B$1002,$A20))</f>
        <v/>
      </c>
      <c r="D20" s="24">
        <f>IF($A20="","",IFERROR(XLOOKUP($A20,Customers!$A:$A,Customers!$F:$F),0))</f>
        <v/>
      </c>
      <c r="E20" s="24">
        <f>IF($A20="","",$B20+$D20-$C20)</f>
        <v/>
      </c>
      <c r="F20" s="24">
        <f>IF($A20="","",SUMIFS(Ledger!$F$3:$F$1002,Ledger!$B$3:$B$1002,$A20,Ledger!$C$3:$C$1002,"Issue"))</f>
        <v/>
      </c>
      <c r="G20" s="24">
        <f>IF($A20="","",SUMIFS(Ledger!$F$3:$F$1002,Ledger!$B$3:$B$1002,$A20,Ledger!$C$3:$C$1002,"Issue")-SUMIFS(Ledger!$F$3:$F$1002,Ledger!$B$3:$B$1002,$A20,Ledger!$C$3:$C$1002,"Return"))</f>
        <v/>
      </c>
    </row>
    <row r="21">
      <c r="A21" s="4">
        <f>IF(Customers!A21="","",Customers!A21)</f>
        <v/>
      </c>
      <c r="B21" s="24">
        <f>IF($A21="","",SUMIFS(Ledger!$H$3:$H$1002,Ledger!$B$3:$B$1002,$A21))</f>
        <v/>
      </c>
      <c r="C21" s="24">
        <f>IF($A21="","",SUMIFS(Ledger!$I$3:$I$1002,Ledger!$B$3:$B$1002,$A21))</f>
        <v/>
      </c>
      <c r="D21" s="24">
        <f>IF($A21="","",IFERROR(XLOOKUP($A21,Customers!$A:$A,Customers!$F:$F),0))</f>
        <v/>
      </c>
      <c r="E21" s="24">
        <f>IF($A21="","",$B21+$D21-$C21)</f>
        <v/>
      </c>
      <c r="F21" s="24">
        <f>IF($A21="","",SUMIFS(Ledger!$F$3:$F$1002,Ledger!$B$3:$B$1002,$A21,Ledger!$C$3:$C$1002,"Issue"))</f>
        <v/>
      </c>
      <c r="G21" s="24">
        <f>IF($A21="","",SUMIFS(Ledger!$F$3:$F$1002,Ledger!$B$3:$B$1002,$A21,Ledger!$C$3:$C$1002,"Issue")-SUMIFS(Ledger!$F$3:$F$1002,Ledger!$B$3:$B$1002,$A21,Ledger!$C$3:$C$1002,"Return"))</f>
        <v/>
      </c>
    </row>
    <row r="22">
      <c r="A22" s="4">
        <f>IF(Customers!A22="","",Customers!A22)</f>
        <v/>
      </c>
      <c r="B22" s="24">
        <f>IF($A22="","",SUMIFS(Ledger!$H$3:$H$1002,Ledger!$B$3:$B$1002,$A22))</f>
        <v/>
      </c>
      <c r="C22" s="24">
        <f>IF($A22="","",SUMIFS(Ledger!$I$3:$I$1002,Ledger!$B$3:$B$1002,$A22))</f>
        <v/>
      </c>
      <c r="D22" s="24">
        <f>IF($A22="","",IFERROR(XLOOKUP($A22,Customers!$A:$A,Customers!$F:$F),0))</f>
        <v/>
      </c>
      <c r="E22" s="24">
        <f>IF($A22="","",$B22+$D22-$C22)</f>
        <v/>
      </c>
      <c r="F22" s="24">
        <f>IF($A22="","",SUMIFS(Ledger!$F$3:$F$1002,Ledger!$B$3:$B$1002,$A22,Ledger!$C$3:$C$1002,"Issue"))</f>
        <v/>
      </c>
      <c r="G22" s="24">
        <f>IF($A22="","",SUMIFS(Ledger!$F$3:$F$1002,Ledger!$B$3:$B$1002,$A22,Ledger!$C$3:$C$1002,"Issue")-SUMIFS(Ledger!$F$3:$F$1002,Ledger!$B$3:$B$1002,$A22,Ledger!$C$3:$C$1002,"Return"))</f>
        <v/>
      </c>
    </row>
    <row r="23">
      <c r="A23" s="4">
        <f>IF(Customers!A23="","",Customers!A23)</f>
        <v/>
      </c>
      <c r="B23" s="24">
        <f>IF($A23="","",SUMIFS(Ledger!$H$3:$H$1002,Ledger!$B$3:$B$1002,$A23))</f>
        <v/>
      </c>
      <c r="C23" s="24">
        <f>IF($A23="","",SUMIFS(Ledger!$I$3:$I$1002,Ledger!$B$3:$B$1002,$A23))</f>
        <v/>
      </c>
      <c r="D23" s="24">
        <f>IF($A23="","",IFERROR(XLOOKUP($A23,Customers!$A:$A,Customers!$F:$F),0))</f>
        <v/>
      </c>
      <c r="E23" s="24">
        <f>IF($A23="","",$B23+$D23-$C23)</f>
        <v/>
      </c>
      <c r="F23" s="24">
        <f>IF($A23="","",SUMIFS(Ledger!$F$3:$F$1002,Ledger!$B$3:$B$1002,$A23,Ledger!$C$3:$C$1002,"Issue"))</f>
        <v/>
      </c>
      <c r="G23" s="24">
        <f>IF($A23="","",SUMIFS(Ledger!$F$3:$F$1002,Ledger!$B$3:$B$1002,$A23,Ledger!$C$3:$C$1002,"Issue")-SUMIFS(Ledger!$F$3:$F$1002,Ledger!$B$3:$B$1002,$A23,Ledger!$C$3:$C$1002,"Return"))</f>
        <v/>
      </c>
    </row>
    <row r="24">
      <c r="A24" s="4">
        <f>IF(Customers!A24="","",Customers!A24)</f>
        <v/>
      </c>
      <c r="B24" s="24">
        <f>IF($A24="","",SUMIFS(Ledger!$H$3:$H$1002,Ledger!$B$3:$B$1002,$A24))</f>
        <v/>
      </c>
      <c r="C24" s="24">
        <f>IF($A24="","",SUMIFS(Ledger!$I$3:$I$1002,Ledger!$B$3:$B$1002,$A24))</f>
        <v/>
      </c>
      <c r="D24" s="24">
        <f>IF($A24="","",IFERROR(XLOOKUP($A24,Customers!$A:$A,Customers!$F:$F),0))</f>
        <v/>
      </c>
      <c r="E24" s="24">
        <f>IF($A24="","",$B24+$D24-$C24)</f>
        <v/>
      </c>
      <c r="F24" s="24">
        <f>IF($A24="","",SUMIFS(Ledger!$F$3:$F$1002,Ledger!$B$3:$B$1002,$A24,Ledger!$C$3:$C$1002,"Issue"))</f>
        <v/>
      </c>
      <c r="G24" s="24">
        <f>IF($A24="","",SUMIFS(Ledger!$F$3:$F$1002,Ledger!$B$3:$B$1002,$A24,Ledger!$C$3:$C$1002,"Issue")-SUMIFS(Ledger!$F$3:$F$1002,Ledger!$B$3:$B$1002,$A24,Ledger!$C$3:$C$1002,"Return"))</f>
        <v/>
      </c>
    </row>
    <row r="25">
      <c r="A25" s="4">
        <f>IF(Customers!A25="","",Customers!A25)</f>
        <v/>
      </c>
      <c r="B25" s="24">
        <f>IF($A25="","",SUMIFS(Ledger!$H$3:$H$1002,Ledger!$B$3:$B$1002,$A25))</f>
        <v/>
      </c>
      <c r="C25" s="24">
        <f>IF($A25="","",SUMIFS(Ledger!$I$3:$I$1002,Ledger!$B$3:$B$1002,$A25))</f>
        <v/>
      </c>
      <c r="D25" s="24">
        <f>IF($A25="","",IFERROR(XLOOKUP($A25,Customers!$A:$A,Customers!$F:$F),0))</f>
        <v/>
      </c>
      <c r="E25" s="24">
        <f>IF($A25="","",$B25+$D25-$C25)</f>
        <v/>
      </c>
      <c r="F25" s="24">
        <f>IF($A25="","",SUMIFS(Ledger!$F$3:$F$1002,Ledger!$B$3:$B$1002,$A25,Ledger!$C$3:$C$1002,"Issue"))</f>
        <v/>
      </c>
      <c r="G25" s="24">
        <f>IF($A25="","",SUMIFS(Ledger!$F$3:$F$1002,Ledger!$B$3:$B$1002,$A25,Ledger!$C$3:$C$1002,"Issue")-SUMIFS(Ledger!$F$3:$F$1002,Ledger!$B$3:$B$1002,$A25,Ledger!$C$3:$C$1002,"Return"))</f>
        <v/>
      </c>
    </row>
    <row r="26">
      <c r="A26" s="4">
        <f>IF(Customers!A26="","",Customers!A26)</f>
        <v/>
      </c>
      <c r="B26" s="24">
        <f>IF($A26="","",SUMIFS(Ledger!$H$3:$H$1002,Ledger!$B$3:$B$1002,$A26))</f>
        <v/>
      </c>
      <c r="C26" s="24">
        <f>IF($A26="","",SUMIFS(Ledger!$I$3:$I$1002,Ledger!$B$3:$B$1002,$A26))</f>
        <v/>
      </c>
      <c r="D26" s="24">
        <f>IF($A26="","",IFERROR(XLOOKUP($A26,Customers!$A:$A,Customers!$F:$F),0))</f>
        <v/>
      </c>
      <c r="E26" s="24">
        <f>IF($A26="","",$B26+$D26-$C26)</f>
        <v/>
      </c>
      <c r="F26" s="24">
        <f>IF($A26="","",SUMIFS(Ledger!$F$3:$F$1002,Ledger!$B$3:$B$1002,$A26,Ledger!$C$3:$C$1002,"Issue"))</f>
        <v/>
      </c>
      <c r="G26" s="24">
        <f>IF($A26="","",SUMIFS(Ledger!$F$3:$F$1002,Ledger!$B$3:$B$1002,$A26,Ledger!$C$3:$C$1002,"Issue")-SUMIFS(Ledger!$F$3:$F$1002,Ledger!$B$3:$B$1002,$A26,Ledger!$C$3:$C$1002,"Return"))</f>
        <v/>
      </c>
    </row>
    <row r="27">
      <c r="A27" s="4">
        <f>IF(Customers!A27="","",Customers!A27)</f>
        <v/>
      </c>
      <c r="B27" s="24">
        <f>IF($A27="","",SUMIFS(Ledger!$H$3:$H$1002,Ledger!$B$3:$B$1002,$A27))</f>
        <v/>
      </c>
      <c r="C27" s="24">
        <f>IF($A27="","",SUMIFS(Ledger!$I$3:$I$1002,Ledger!$B$3:$B$1002,$A27))</f>
        <v/>
      </c>
      <c r="D27" s="24">
        <f>IF($A27="","",IFERROR(XLOOKUP($A27,Customers!$A:$A,Customers!$F:$F),0))</f>
        <v/>
      </c>
      <c r="E27" s="24">
        <f>IF($A27="","",$B27+$D27-$C27)</f>
        <v/>
      </c>
      <c r="F27" s="24">
        <f>IF($A27="","",SUMIFS(Ledger!$F$3:$F$1002,Ledger!$B$3:$B$1002,$A27,Ledger!$C$3:$C$1002,"Issue"))</f>
        <v/>
      </c>
      <c r="G27" s="24">
        <f>IF($A27="","",SUMIFS(Ledger!$F$3:$F$1002,Ledger!$B$3:$B$1002,$A27,Ledger!$C$3:$C$1002,"Issue")-SUMIFS(Ledger!$F$3:$F$1002,Ledger!$B$3:$B$1002,$A27,Ledger!$C$3:$C$1002,"Return"))</f>
        <v/>
      </c>
    </row>
    <row r="28">
      <c r="A28" s="4">
        <f>IF(Customers!A28="","",Customers!A28)</f>
        <v/>
      </c>
      <c r="B28" s="24">
        <f>IF($A28="","",SUMIFS(Ledger!$H$3:$H$1002,Ledger!$B$3:$B$1002,$A28))</f>
        <v/>
      </c>
      <c r="C28" s="24">
        <f>IF($A28="","",SUMIFS(Ledger!$I$3:$I$1002,Ledger!$B$3:$B$1002,$A28))</f>
        <v/>
      </c>
      <c r="D28" s="24">
        <f>IF($A28="","",IFERROR(XLOOKUP($A28,Customers!$A:$A,Customers!$F:$F),0))</f>
        <v/>
      </c>
      <c r="E28" s="24">
        <f>IF($A28="","",$B28+$D28-$C28)</f>
        <v/>
      </c>
      <c r="F28" s="24">
        <f>IF($A28="","",SUMIFS(Ledger!$F$3:$F$1002,Ledger!$B$3:$B$1002,$A28,Ledger!$C$3:$C$1002,"Issue"))</f>
        <v/>
      </c>
      <c r="G28" s="24">
        <f>IF($A28="","",SUMIFS(Ledger!$F$3:$F$1002,Ledger!$B$3:$B$1002,$A28,Ledger!$C$3:$C$1002,"Issue")-SUMIFS(Ledger!$F$3:$F$1002,Ledger!$B$3:$B$1002,$A28,Ledger!$C$3:$C$1002,"Return"))</f>
        <v/>
      </c>
    </row>
    <row r="29">
      <c r="A29" s="4">
        <f>IF(Customers!A29="","",Customers!A29)</f>
        <v/>
      </c>
      <c r="B29" s="24">
        <f>IF($A29="","",SUMIFS(Ledger!$H$3:$H$1002,Ledger!$B$3:$B$1002,$A29))</f>
        <v/>
      </c>
      <c r="C29" s="24">
        <f>IF($A29="","",SUMIFS(Ledger!$I$3:$I$1002,Ledger!$B$3:$B$1002,$A29))</f>
        <v/>
      </c>
      <c r="D29" s="24">
        <f>IF($A29="","",IFERROR(XLOOKUP($A29,Customers!$A:$A,Customers!$F:$F),0))</f>
        <v/>
      </c>
      <c r="E29" s="24">
        <f>IF($A29="","",$B29+$D29-$C29)</f>
        <v/>
      </c>
      <c r="F29" s="24">
        <f>IF($A29="","",SUMIFS(Ledger!$F$3:$F$1002,Ledger!$B$3:$B$1002,$A29,Ledger!$C$3:$C$1002,"Issue"))</f>
        <v/>
      </c>
      <c r="G29" s="24">
        <f>IF($A29="","",SUMIFS(Ledger!$F$3:$F$1002,Ledger!$B$3:$B$1002,$A29,Ledger!$C$3:$C$1002,"Issue")-SUMIFS(Ledger!$F$3:$F$1002,Ledger!$B$3:$B$1002,$A29,Ledger!$C$3:$C$1002,"Return"))</f>
        <v/>
      </c>
    </row>
    <row r="30">
      <c r="A30" s="4">
        <f>IF(Customers!A30="","",Customers!A30)</f>
        <v/>
      </c>
      <c r="B30" s="24">
        <f>IF($A30="","",SUMIFS(Ledger!$H$3:$H$1002,Ledger!$B$3:$B$1002,$A30))</f>
        <v/>
      </c>
      <c r="C30" s="24">
        <f>IF($A30="","",SUMIFS(Ledger!$I$3:$I$1002,Ledger!$B$3:$B$1002,$A30))</f>
        <v/>
      </c>
      <c r="D30" s="24">
        <f>IF($A30="","",IFERROR(XLOOKUP($A30,Customers!$A:$A,Customers!$F:$F),0))</f>
        <v/>
      </c>
      <c r="E30" s="24">
        <f>IF($A30="","",$B30+$D30-$C30)</f>
        <v/>
      </c>
      <c r="F30" s="24">
        <f>IF($A30="","",SUMIFS(Ledger!$F$3:$F$1002,Ledger!$B$3:$B$1002,$A30,Ledger!$C$3:$C$1002,"Issue"))</f>
        <v/>
      </c>
      <c r="G30" s="24">
        <f>IF($A30="","",SUMIFS(Ledger!$F$3:$F$1002,Ledger!$B$3:$B$1002,$A30,Ledger!$C$3:$C$1002,"Issue")-SUMIFS(Ledger!$F$3:$F$1002,Ledger!$B$3:$B$1002,$A30,Ledger!$C$3:$C$1002,"Return"))</f>
        <v/>
      </c>
    </row>
    <row r="31">
      <c r="A31" s="4">
        <f>IF(Customers!A31="","",Customers!A31)</f>
        <v/>
      </c>
      <c r="B31" s="24">
        <f>IF($A31="","",SUMIFS(Ledger!$H$3:$H$1002,Ledger!$B$3:$B$1002,$A31))</f>
        <v/>
      </c>
      <c r="C31" s="24">
        <f>IF($A31="","",SUMIFS(Ledger!$I$3:$I$1002,Ledger!$B$3:$B$1002,$A31))</f>
        <v/>
      </c>
      <c r="D31" s="24">
        <f>IF($A31="","",IFERROR(XLOOKUP($A31,Customers!$A:$A,Customers!$F:$F),0))</f>
        <v/>
      </c>
      <c r="E31" s="24">
        <f>IF($A31="","",$B31+$D31-$C31)</f>
        <v/>
      </c>
      <c r="F31" s="24">
        <f>IF($A31="","",SUMIFS(Ledger!$F$3:$F$1002,Ledger!$B$3:$B$1002,$A31,Ledger!$C$3:$C$1002,"Issue"))</f>
        <v/>
      </c>
      <c r="G31" s="24">
        <f>IF($A31="","",SUMIFS(Ledger!$F$3:$F$1002,Ledger!$B$3:$B$1002,$A31,Ledger!$C$3:$C$1002,"Issue")-SUMIFS(Ledger!$F$3:$F$1002,Ledger!$B$3:$B$1002,$A31,Ledger!$C$3:$C$1002,"Return"))</f>
        <v/>
      </c>
    </row>
    <row r="32">
      <c r="A32" s="4">
        <f>IF(Customers!A32="","",Customers!A32)</f>
        <v/>
      </c>
      <c r="B32" s="24">
        <f>IF($A32="","",SUMIFS(Ledger!$H$3:$H$1002,Ledger!$B$3:$B$1002,$A32))</f>
        <v/>
      </c>
      <c r="C32" s="24">
        <f>IF($A32="","",SUMIFS(Ledger!$I$3:$I$1002,Ledger!$B$3:$B$1002,$A32))</f>
        <v/>
      </c>
      <c r="D32" s="24">
        <f>IF($A32="","",IFERROR(XLOOKUP($A32,Customers!$A:$A,Customers!$F:$F),0))</f>
        <v/>
      </c>
      <c r="E32" s="24">
        <f>IF($A32="","",$B32+$D32-$C32)</f>
        <v/>
      </c>
      <c r="F32" s="24">
        <f>IF($A32="","",SUMIFS(Ledger!$F$3:$F$1002,Ledger!$B$3:$B$1002,$A32,Ledger!$C$3:$C$1002,"Issue"))</f>
        <v/>
      </c>
      <c r="G32" s="24">
        <f>IF($A32="","",SUMIFS(Ledger!$F$3:$F$1002,Ledger!$B$3:$B$1002,$A32,Ledger!$C$3:$C$1002,"Issue")-SUMIFS(Ledger!$F$3:$F$1002,Ledger!$B$3:$B$1002,$A32,Ledger!$C$3:$C$1002,"Return"))</f>
        <v/>
      </c>
    </row>
    <row r="33">
      <c r="A33" s="4">
        <f>IF(Customers!A33="","",Customers!A33)</f>
        <v/>
      </c>
      <c r="B33" s="24">
        <f>IF($A33="","",SUMIFS(Ledger!$H$3:$H$1002,Ledger!$B$3:$B$1002,$A33))</f>
        <v/>
      </c>
      <c r="C33" s="24">
        <f>IF($A33="","",SUMIFS(Ledger!$I$3:$I$1002,Ledger!$B$3:$B$1002,$A33))</f>
        <v/>
      </c>
      <c r="D33" s="24">
        <f>IF($A33="","",IFERROR(XLOOKUP($A33,Customers!$A:$A,Customers!$F:$F),0))</f>
        <v/>
      </c>
      <c r="E33" s="24">
        <f>IF($A33="","",$B33+$D33-$C33)</f>
        <v/>
      </c>
      <c r="F33" s="24">
        <f>IF($A33="","",SUMIFS(Ledger!$F$3:$F$1002,Ledger!$B$3:$B$1002,$A33,Ledger!$C$3:$C$1002,"Issue"))</f>
        <v/>
      </c>
      <c r="G33" s="24">
        <f>IF($A33="","",SUMIFS(Ledger!$F$3:$F$1002,Ledger!$B$3:$B$1002,$A33,Ledger!$C$3:$C$1002,"Issue")-SUMIFS(Ledger!$F$3:$F$1002,Ledger!$B$3:$B$1002,$A33,Ledger!$C$3:$C$1002,"Return"))</f>
        <v/>
      </c>
    </row>
    <row r="34">
      <c r="A34" s="4">
        <f>IF(Customers!A34="","",Customers!A34)</f>
        <v/>
      </c>
      <c r="B34" s="24">
        <f>IF($A34="","",SUMIFS(Ledger!$H$3:$H$1002,Ledger!$B$3:$B$1002,$A34))</f>
        <v/>
      </c>
      <c r="C34" s="24">
        <f>IF($A34="","",SUMIFS(Ledger!$I$3:$I$1002,Ledger!$B$3:$B$1002,$A34))</f>
        <v/>
      </c>
      <c r="D34" s="24">
        <f>IF($A34="","",IFERROR(XLOOKUP($A34,Customers!$A:$A,Customers!$F:$F),0))</f>
        <v/>
      </c>
      <c r="E34" s="24">
        <f>IF($A34="","",$B34+$D34-$C34)</f>
        <v/>
      </c>
      <c r="F34" s="24">
        <f>IF($A34="","",SUMIFS(Ledger!$F$3:$F$1002,Ledger!$B$3:$B$1002,$A34,Ledger!$C$3:$C$1002,"Issue"))</f>
        <v/>
      </c>
      <c r="G34" s="24">
        <f>IF($A34="","",SUMIFS(Ledger!$F$3:$F$1002,Ledger!$B$3:$B$1002,$A34,Ledger!$C$3:$C$1002,"Issue")-SUMIFS(Ledger!$F$3:$F$1002,Ledger!$B$3:$B$1002,$A34,Ledger!$C$3:$C$1002,"Return"))</f>
        <v/>
      </c>
    </row>
    <row r="35">
      <c r="A35" s="4">
        <f>IF(Customers!A35="","",Customers!A35)</f>
        <v/>
      </c>
      <c r="B35" s="24">
        <f>IF($A35="","",SUMIFS(Ledger!$H$3:$H$1002,Ledger!$B$3:$B$1002,$A35))</f>
        <v/>
      </c>
      <c r="C35" s="24">
        <f>IF($A35="","",SUMIFS(Ledger!$I$3:$I$1002,Ledger!$B$3:$B$1002,$A35))</f>
        <v/>
      </c>
      <c r="D35" s="24">
        <f>IF($A35="","",IFERROR(XLOOKUP($A35,Customers!$A:$A,Customers!$F:$F),0))</f>
        <v/>
      </c>
      <c r="E35" s="24">
        <f>IF($A35="","",$B35+$D35-$C35)</f>
        <v/>
      </c>
      <c r="F35" s="24">
        <f>IF($A35="","",SUMIFS(Ledger!$F$3:$F$1002,Ledger!$B$3:$B$1002,$A35,Ledger!$C$3:$C$1002,"Issue"))</f>
        <v/>
      </c>
      <c r="G35" s="24">
        <f>IF($A35="","",SUMIFS(Ledger!$F$3:$F$1002,Ledger!$B$3:$B$1002,$A35,Ledger!$C$3:$C$1002,"Issue")-SUMIFS(Ledger!$F$3:$F$1002,Ledger!$B$3:$B$1002,$A35,Ledger!$C$3:$C$1002,"Return"))</f>
        <v/>
      </c>
    </row>
    <row r="36">
      <c r="A36" s="4">
        <f>IF(Customers!A36="","",Customers!A36)</f>
        <v/>
      </c>
      <c r="B36" s="24">
        <f>IF($A36="","",SUMIFS(Ledger!$H$3:$H$1002,Ledger!$B$3:$B$1002,$A36))</f>
        <v/>
      </c>
      <c r="C36" s="24">
        <f>IF($A36="","",SUMIFS(Ledger!$I$3:$I$1002,Ledger!$B$3:$B$1002,$A36))</f>
        <v/>
      </c>
      <c r="D36" s="24">
        <f>IF($A36="","",IFERROR(XLOOKUP($A36,Customers!$A:$A,Customers!$F:$F),0))</f>
        <v/>
      </c>
      <c r="E36" s="24">
        <f>IF($A36="","",$B36+$D36-$C36)</f>
        <v/>
      </c>
      <c r="F36" s="24">
        <f>IF($A36="","",SUMIFS(Ledger!$F$3:$F$1002,Ledger!$B$3:$B$1002,$A36,Ledger!$C$3:$C$1002,"Issue"))</f>
        <v/>
      </c>
      <c r="G36" s="24">
        <f>IF($A36="","",SUMIFS(Ledger!$F$3:$F$1002,Ledger!$B$3:$B$1002,$A36,Ledger!$C$3:$C$1002,"Issue")-SUMIFS(Ledger!$F$3:$F$1002,Ledger!$B$3:$B$1002,$A36,Ledger!$C$3:$C$1002,"Return"))</f>
        <v/>
      </c>
    </row>
    <row r="37">
      <c r="A37" s="4">
        <f>IF(Customers!A37="","",Customers!A37)</f>
        <v/>
      </c>
      <c r="B37" s="24">
        <f>IF($A37="","",SUMIFS(Ledger!$H$3:$H$1002,Ledger!$B$3:$B$1002,$A37))</f>
        <v/>
      </c>
      <c r="C37" s="24">
        <f>IF($A37="","",SUMIFS(Ledger!$I$3:$I$1002,Ledger!$B$3:$B$1002,$A37))</f>
        <v/>
      </c>
      <c r="D37" s="24">
        <f>IF($A37="","",IFERROR(XLOOKUP($A37,Customers!$A:$A,Customers!$F:$F),0))</f>
        <v/>
      </c>
      <c r="E37" s="24">
        <f>IF($A37="","",$B37+$D37-$C37)</f>
        <v/>
      </c>
      <c r="F37" s="24">
        <f>IF($A37="","",SUMIFS(Ledger!$F$3:$F$1002,Ledger!$B$3:$B$1002,$A37,Ledger!$C$3:$C$1002,"Issue"))</f>
        <v/>
      </c>
      <c r="G37" s="24">
        <f>IF($A37="","",SUMIFS(Ledger!$F$3:$F$1002,Ledger!$B$3:$B$1002,$A37,Ledger!$C$3:$C$1002,"Issue")-SUMIFS(Ledger!$F$3:$F$1002,Ledger!$B$3:$B$1002,$A37,Ledger!$C$3:$C$1002,"Return"))</f>
        <v/>
      </c>
    </row>
    <row r="38">
      <c r="A38" s="4">
        <f>IF(Customers!A38="","",Customers!A38)</f>
        <v/>
      </c>
      <c r="B38" s="24">
        <f>IF($A38="","",SUMIFS(Ledger!$H$3:$H$1002,Ledger!$B$3:$B$1002,$A38))</f>
        <v/>
      </c>
      <c r="C38" s="24">
        <f>IF($A38="","",SUMIFS(Ledger!$I$3:$I$1002,Ledger!$B$3:$B$1002,$A38))</f>
        <v/>
      </c>
      <c r="D38" s="24">
        <f>IF($A38="","",IFERROR(XLOOKUP($A38,Customers!$A:$A,Customers!$F:$F),0))</f>
        <v/>
      </c>
      <c r="E38" s="24">
        <f>IF($A38="","",$B38+$D38-$C38)</f>
        <v/>
      </c>
      <c r="F38" s="24">
        <f>IF($A38="","",SUMIFS(Ledger!$F$3:$F$1002,Ledger!$B$3:$B$1002,$A38,Ledger!$C$3:$C$1002,"Issue"))</f>
        <v/>
      </c>
      <c r="G38" s="24">
        <f>IF($A38="","",SUMIFS(Ledger!$F$3:$F$1002,Ledger!$B$3:$B$1002,$A38,Ledger!$C$3:$C$1002,"Issue")-SUMIFS(Ledger!$F$3:$F$1002,Ledger!$B$3:$B$1002,$A38,Ledger!$C$3:$C$1002,"Return"))</f>
        <v/>
      </c>
    </row>
    <row r="39">
      <c r="A39" s="4">
        <f>IF(Customers!A39="","",Customers!A39)</f>
        <v/>
      </c>
      <c r="B39" s="24">
        <f>IF($A39="","",SUMIFS(Ledger!$H$3:$H$1002,Ledger!$B$3:$B$1002,$A39))</f>
        <v/>
      </c>
      <c r="C39" s="24">
        <f>IF($A39="","",SUMIFS(Ledger!$I$3:$I$1002,Ledger!$B$3:$B$1002,$A39))</f>
        <v/>
      </c>
      <c r="D39" s="24">
        <f>IF($A39="","",IFERROR(XLOOKUP($A39,Customers!$A:$A,Customers!$F:$F),0))</f>
        <v/>
      </c>
      <c r="E39" s="24">
        <f>IF($A39="","",$B39+$D39-$C39)</f>
        <v/>
      </c>
      <c r="F39" s="24">
        <f>IF($A39="","",SUMIFS(Ledger!$F$3:$F$1002,Ledger!$B$3:$B$1002,$A39,Ledger!$C$3:$C$1002,"Issue"))</f>
        <v/>
      </c>
      <c r="G39" s="24">
        <f>IF($A39="","",SUMIFS(Ledger!$F$3:$F$1002,Ledger!$B$3:$B$1002,$A39,Ledger!$C$3:$C$1002,"Issue")-SUMIFS(Ledger!$F$3:$F$1002,Ledger!$B$3:$B$1002,$A39,Ledger!$C$3:$C$1002,"Return"))</f>
        <v/>
      </c>
    </row>
    <row r="40">
      <c r="A40" s="4">
        <f>IF(Customers!A40="","",Customers!A40)</f>
        <v/>
      </c>
      <c r="B40" s="24">
        <f>IF($A40="","",SUMIFS(Ledger!$H$3:$H$1002,Ledger!$B$3:$B$1002,$A40))</f>
        <v/>
      </c>
      <c r="C40" s="24">
        <f>IF($A40="","",SUMIFS(Ledger!$I$3:$I$1002,Ledger!$B$3:$B$1002,$A40))</f>
        <v/>
      </c>
      <c r="D40" s="24">
        <f>IF($A40="","",IFERROR(XLOOKUP($A40,Customers!$A:$A,Customers!$F:$F),0))</f>
        <v/>
      </c>
      <c r="E40" s="24">
        <f>IF($A40="","",$B40+$D40-$C40)</f>
        <v/>
      </c>
      <c r="F40" s="24">
        <f>IF($A40="","",SUMIFS(Ledger!$F$3:$F$1002,Ledger!$B$3:$B$1002,$A40,Ledger!$C$3:$C$1002,"Issue"))</f>
        <v/>
      </c>
      <c r="G40" s="24">
        <f>IF($A40="","",SUMIFS(Ledger!$F$3:$F$1002,Ledger!$B$3:$B$1002,$A40,Ledger!$C$3:$C$1002,"Issue")-SUMIFS(Ledger!$F$3:$F$1002,Ledger!$B$3:$B$1002,$A40,Ledger!$C$3:$C$1002,"Return"))</f>
        <v/>
      </c>
    </row>
    <row r="41">
      <c r="A41" s="4">
        <f>IF(Customers!A41="","",Customers!A41)</f>
        <v/>
      </c>
      <c r="B41" s="24">
        <f>IF($A41="","",SUMIFS(Ledger!$H$3:$H$1002,Ledger!$B$3:$B$1002,$A41))</f>
        <v/>
      </c>
      <c r="C41" s="24">
        <f>IF($A41="","",SUMIFS(Ledger!$I$3:$I$1002,Ledger!$B$3:$B$1002,$A41))</f>
        <v/>
      </c>
      <c r="D41" s="24">
        <f>IF($A41="","",IFERROR(XLOOKUP($A41,Customers!$A:$A,Customers!$F:$F),0))</f>
        <v/>
      </c>
      <c r="E41" s="24">
        <f>IF($A41="","",$B41+$D41-$C41)</f>
        <v/>
      </c>
      <c r="F41" s="24">
        <f>IF($A41="","",SUMIFS(Ledger!$F$3:$F$1002,Ledger!$B$3:$B$1002,$A41,Ledger!$C$3:$C$1002,"Issue"))</f>
        <v/>
      </c>
      <c r="G41" s="24">
        <f>IF($A41="","",SUMIFS(Ledger!$F$3:$F$1002,Ledger!$B$3:$B$1002,$A41,Ledger!$C$3:$C$1002,"Issue")-SUMIFS(Ledger!$F$3:$F$1002,Ledger!$B$3:$B$1002,$A41,Ledger!$C$3:$C$1002,"Return"))</f>
        <v/>
      </c>
    </row>
    <row r="42">
      <c r="A42" s="4">
        <f>IF(Customers!A42="","",Customers!A42)</f>
        <v/>
      </c>
      <c r="B42" s="24">
        <f>IF($A42="","",SUMIFS(Ledger!$H$3:$H$1002,Ledger!$B$3:$B$1002,$A42))</f>
        <v/>
      </c>
      <c r="C42" s="24">
        <f>IF($A42="","",SUMIFS(Ledger!$I$3:$I$1002,Ledger!$B$3:$B$1002,$A42))</f>
        <v/>
      </c>
      <c r="D42" s="24">
        <f>IF($A42="","",IFERROR(XLOOKUP($A42,Customers!$A:$A,Customers!$F:$F),0))</f>
        <v/>
      </c>
      <c r="E42" s="24">
        <f>IF($A42="","",$B42+$D42-$C42)</f>
        <v/>
      </c>
      <c r="F42" s="24">
        <f>IF($A42="","",SUMIFS(Ledger!$F$3:$F$1002,Ledger!$B$3:$B$1002,$A42,Ledger!$C$3:$C$1002,"Issue"))</f>
        <v/>
      </c>
      <c r="G42" s="24">
        <f>IF($A42="","",SUMIFS(Ledger!$F$3:$F$1002,Ledger!$B$3:$B$1002,$A42,Ledger!$C$3:$C$1002,"Issue")-SUMIFS(Ledger!$F$3:$F$1002,Ledger!$B$3:$B$1002,$A42,Ledger!$C$3:$C$1002,"Return"))</f>
        <v/>
      </c>
    </row>
    <row r="43">
      <c r="A43" s="4">
        <f>IF(Customers!A43="","",Customers!A43)</f>
        <v/>
      </c>
      <c r="B43" s="24">
        <f>IF($A43="","",SUMIFS(Ledger!$H$3:$H$1002,Ledger!$B$3:$B$1002,$A43))</f>
        <v/>
      </c>
      <c r="C43" s="24">
        <f>IF($A43="","",SUMIFS(Ledger!$I$3:$I$1002,Ledger!$B$3:$B$1002,$A43))</f>
        <v/>
      </c>
      <c r="D43" s="24">
        <f>IF($A43="","",IFERROR(XLOOKUP($A43,Customers!$A:$A,Customers!$F:$F),0))</f>
        <v/>
      </c>
      <c r="E43" s="24">
        <f>IF($A43="","",$B43+$D43-$C43)</f>
        <v/>
      </c>
      <c r="F43" s="24">
        <f>IF($A43="","",SUMIFS(Ledger!$F$3:$F$1002,Ledger!$B$3:$B$1002,$A43,Ledger!$C$3:$C$1002,"Issue"))</f>
        <v/>
      </c>
      <c r="G43" s="24">
        <f>IF($A43="","",SUMIFS(Ledger!$F$3:$F$1002,Ledger!$B$3:$B$1002,$A43,Ledger!$C$3:$C$1002,"Issue")-SUMIFS(Ledger!$F$3:$F$1002,Ledger!$B$3:$B$1002,$A43,Ledger!$C$3:$C$1002,"Return"))</f>
        <v/>
      </c>
    </row>
    <row r="44">
      <c r="A44" s="4">
        <f>IF(Customers!A44="","",Customers!A44)</f>
        <v/>
      </c>
      <c r="B44" s="24">
        <f>IF($A44="","",SUMIFS(Ledger!$H$3:$H$1002,Ledger!$B$3:$B$1002,$A44))</f>
        <v/>
      </c>
      <c r="C44" s="24">
        <f>IF($A44="","",SUMIFS(Ledger!$I$3:$I$1002,Ledger!$B$3:$B$1002,$A44))</f>
        <v/>
      </c>
      <c r="D44" s="24">
        <f>IF($A44="","",IFERROR(XLOOKUP($A44,Customers!$A:$A,Customers!$F:$F),0))</f>
        <v/>
      </c>
      <c r="E44" s="24">
        <f>IF($A44="","",$B44+$D44-$C44)</f>
        <v/>
      </c>
      <c r="F44" s="24">
        <f>IF($A44="","",SUMIFS(Ledger!$F$3:$F$1002,Ledger!$B$3:$B$1002,$A44,Ledger!$C$3:$C$1002,"Issue"))</f>
        <v/>
      </c>
      <c r="G44" s="24">
        <f>IF($A44="","",SUMIFS(Ledger!$F$3:$F$1002,Ledger!$B$3:$B$1002,$A44,Ledger!$C$3:$C$1002,"Issue")-SUMIFS(Ledger!$F$3:$F$1002,Ledger!$B$3:$B$1002,$A44,Ledger!$C$3:$C$1002,"Return"))</f>
        <v/>
      </c>
    </row>
    <row r="45">
      <c r="A45" s="4">
        <f>IF(Customers!A45="","",Customers!A45)</f>
        <v/>
      </c>
      <c r="B45" s="24">
        <f>IF($A45="","",SUMIFS(Ledger!$H$3:$H$1002,Ledger!$B$3:$B$1002,$A45))</f>
        <v/>
      </c>
      <c r="C45" s="24">
        <f>IF($A45="","",SUMIFS(Ledger!$I$3:$I$1002,Ledger!$B$3:$B$1002,$A45))</f>
        <v/>
      </c>
      <c r="D45" s="24">
        <f>IF($A45="","",IFERROR(XLOOKUP($A45,Customers!$A:$A,Customers!$F:$F),0))</f>
        <v/>
      </c>
      <c r="E45" s="24">
        <f>IF($A45="","",$B45+$D45-$C45)</f>
        <v/>
      </c>
      <c r="F45" s="24">
        <f>IF($A45="","",SUMIFS(Ledger!$F$3:$F$1002,Ledger!$B$3:$B$1002,$A45,Ledger!$C$3:$C$1002,"Issue"))</f>
        <v/>
      </c>
      <c r="G45" s="24">
        <f>IF($A45="","",SUMIFS(Ledger!$F$3:$F$1002,Ledger!$B$3:$B$1002,$A45,Ledger!$C$3:$C$1002,"Issue")-SUMIFS(Ledger!$F$3:$F$1002,Ledger!$B$3:$B$1002,$A45,Ledger!$C$3:$C$1002,"Return"))</f>
        <v/>
      </c>
    </row>
    <row r="46">
      <c r="A46" s="4">
        <f>IF(Customers!A46="","",Customers!A46)</f>
        <v/>
      </c>
      <c r="B46" s="24">
        <f>IF($A46="","",SUMIFS(Ledger!$H$3:$H$1002,Ledger!$B$3:$B$1002,$A46))</f>
        <v/>
      </c>
      <c r="C46" s="24">
        <f>IF($A46="","",SUMIFS(Ledger!$I$3:$I$1002,Ledger!$B$3:$B$1002,$A46))</f>
        <v/>
      </c>
      <c r="D46" s="24">
        <f>IF($A46="","",IFERROR(XLOOKUP($A46,Customers!$A:$A,Customers!$F:$F),0))</f>
        <v/>
      </c>
      <c r="E46" s="24">
        <f>IF($A46="","",$B46+$D46-$C46)</f>
        <v/>
      </c>
      <c r="F46" s="24">
        <f>IF($A46="","",SUMIFS(Ledger!$F$3:$F$1002,Ledger!$B$3:$B$1002,$A46,Ledger!$C$3:$C$1002,"Issue"))</f>
        <v/>
      </c>
      <c r="G46" s="24">
        <f>IF($A46="","",SUMIFS(Ledger!$F$3:$F$1002,Ledger!$B$3:$B$1002,$A46,Ledger!$C$3:$C$1002,"Issue")-SUMIFS(Ledger!$F$3:$F$1002,Ledger!$B$3:$B$1002,$A46,Ledger!$C$3:$C$1002,"Return"))</f>
        <v/>
      </c>
    </row>
    <row r="47">
      <c r="A47" s="4">
        <f>IF(Customers!A47="","",Customers!A47)</f>
        <v/>
      </c>
      <c r="B47" s="24">
        <f>IF($A47="","",SUMIFS(Ledger!$H$3:$H$1002,Ledger!$B$3:$B$1002,$A47))</f>
        <v/>
      </c>
      <c r="C47" s="24">
        <f>IF($A47="","",SUMIFS(Ledger!$I$3:$I$1002,Ledger!$B$3:$B$1002,$A47))</f>
        <v/>
      </c>
      <c r="D47" s="24">
        <f>IF($A47="","",IFERROR(XLOOKUP($A47,Customers!$A:$A,Customers!$F:$F),0))</f>
        <v/>
      </c>
      <c r="E47" s="24">
        <f>IF($A47="","",$B47+$D47-$C47)</f>
        <v/>
      </c>
      <c r="F47" s="24">
        <f>IF($A47="","",SUMIFS(Ledger!$F$3:$F$1002,Ledger!$B$3:$B$1002,$A47,Ledger!$C$3:$C$1002,"Issue"))</f>
        <v/>
      </c>
      <c r="G47" s="24">
        <f>IF($A47="","",SUMIFS(Ledger!$F$3:$F$1002,Ledger!$B$3:$B$1002,$A47,Ledger!$C$3:$C$1002,"Issue")-SUMIFS(Ledger!$F$3:$F$1002,Ledger!$B$3:$B$1002,$A47,Ledger!$C$3:$C$1002,"Return"))</f>
        <v/>
      </c>
    </row>
    <row r="48">
      <c r="A48" s="4">
        <f>IF(Customers!A48="","",Customers!A48)</f>
        <v/>
      </c>
      <c r="B48" s="24">
        <f>IF($A48="","",SUMIFS(Ledger!$H$3:$H$1002,Ledger!$B$3:$B$1002,$A48))</f>
        <v/>
      </c>
      <c r="C48" s="24">
        <f>IF($A48="","",SUMIFS(Ledger!$I$3:$I$1002,Ledger!$B$3:$B$1002,$A48))</f>
        <v/>
      </c>
      <c r="D48" s="24">
        <f>IF($A48="","",IFERROR(XLOOKUP($A48,Customers!$A:$A,Customers!$F:$F),0))</f>
        <v/>
      </c>
      <c r="E48" s="24">
        <f>IF($A48="","",$B48+$D48-$C48)</f>
        <v/>
      </c>
      <c r="F48" s="24">
        <f>IF($A48="","",SUMIFS(Ledger!$F$3:$F$1002,Ledger!$B$3:$B$1002,$A48,Ledger!$C$3:$C$1002,"Issue"))</f>
        <v/>
      </c>
      <c r="G48" s="24">
        <f>IF($A48="","",SUMIFS(Ledger!$F$3:$F$1002,Ledger!$B$3:$B$1002,$A48,Ledger!$C$3:$C$1002,"Issue")-SUMIFS(Ledger!$F$3:$F$1002,Ledger!$B$3:$B$1002,$A48,Ledger!$C$3:$C$1002,"Return"))</f>
        <v/>
      </c>
    </row>
    <row r="49">
      <c r="A49" s="4">
        <f>IF(Customers!A49="","",Customers!A49)</f>
        <v/>
      </c>
      <c r="B49" s="24">
        <f>IF($A49="","",SUMIFS(Ledger!$H$3:$H$1002,Ledger!$B$3:$B$1002,$A49))</f>
        <v/>
      </c>
      <c r="C49" s="24">
        <f>IF($A49="","",SUMIFS(Ledger!$I$3:$I$1002,Ledger!$B$3:$B$1002,$A49))</f>
        <v/>
      </c>
      <c r="D49" s="24">
        <f>IF($A49="","",IFERROR(XLOOKUP($A49,Customers!$A:$A,Customers!$F:$F),0))</f>
        <v/>
      </c>
      <c r="E49" s="24">
        <f>IF($A49="","",$B49+$D49-$C49)</f>
        <v/>
      </c>
      <c r="F49" s="24">
        <f>IF($A49="","",SUMIFS(Ledger!$F$3:$F$1002,Ledger!$B$3:$B$1002,$A49,Ledger!$C$3:$C$1002,"Issue"))</f>
        <v/>
      </c>
      <c r="G49" s="24">
        <f>IF($A49="","",SUMIFS(Ledger!$F$3:$F$1002,Ledger!$B$3:$B$1002,$A49,Ledger!$C$3:$C$1002,"Issue")-SUMIFS(Ledger!$F$3:$F$1002,Ledger!$B$3:$B$1002,$A49,Ledger!$C$3:$C$1002,"Return"))</f>
        <v/>
      </c>
    </row>
    <row r="50">
      <c r="A50" s="4">
        <f>IF(Customers!A50="","",Customers!A50)</f>
        <v/>
      </c>
      <c r="B50" s="24">
        <f>IF($A50="","",SUMIFS(Ledger!$H$3:$H$1002,Ledger!$B$3:$B$1002,$A50))</f>
        <v/>
      </c>
      <c r="C50" s="24">
        <f>IF($A50="","",SUMIFS(Ledger!$I$3:$I$1002,Ledger!$B$3:$B$1002,$A50))</f>
        <v/>
      </c>
      <c r="D50" s="24">
        <f>IF($A50="","",IFERROR(XLOOKUP($A50,Customers!$A:$A,Customers!$F:$F),0))</f>
        <v/>
      </c>
      <c r="E50" s="24">
        <f>IF($A50="","",$B50+$D50-$C50)</f>
        <v/>
      </c>
      <c r="F50" s="24">
        <f>IF($A50="","",SUMIFS(Ledger!$F$3:$F$1002,Ledger!$B$3:$B$1002,$A50,Ledger!$C$3:$C$1002,"Issue"))</f>
        <v/>
      </c>
      <c r="G50" s="24">
        <f>IF($A50="","",SUMIFS(Ledger!$F$3:$F$1002,Ledger!$B$3:$B$1002,$A50,Ledger!$C$3:$C$1002,"Issue")-SUMIFS(Ledger!$F$3:$F$1002,Ledger!$B$3:$B$1002,$A50,Ledger!$C$3:$C$1002,"Return"))</f>
        <v/>
      </c>
    </row>
    <row r="51">
      <c r="A51" s="4">
        <f>IF(Customers!A51="","",Customers!A51)</f>
        <v/>
      </c>
      <c r="B51" s="24">
        <f>IF($A51="","",SUMIFS(Ledger!$H$3:$H$1002,Ledger!$B$3:$B$1002,$A51))</f>
        <v/>
      </c>
      <c r="C51" s="24">
        <f>IF($A51="","",SUMIFS(Ledger!$I$3:$I$1002,Ledger!$B$3:$B$1002,$A51))</f>
        <v/>
      </c>
      <c r="D51" s="24">
        <f>IF($A51="","",IFERROR(XLOOKUP($A51,Customers!$A:$A,Customers!$F:$F),0))</f>
        <v/>
      </c>
      <c r="E51" s="24">
        <f>IF($A51="","",$B51+$D51-$C51)</f>
        <v/>
      </c>
      <c r="F51" s="24">
        <f>IF($A51="","",SUMIFS(Ledger!$F$3:$F$1002,Ledger!$B$3:$B$1002,$A51,Ledger!$C$3:$C$1002,"Issue"))</f>
        <v/>
      </c>
      <c r="G51" s="24">
        <f>IF($A51="","",SUMIFS(Ledger!$F$3:$F$1002,Ledger!$B$3:$B$1002,$A51,Ledger!$C$3:$C$1002,"Issue")-SUMIFS(Ledger!$F$3:$F$1002,Ledger!$B$3:$B$1002,$A51,Ledger!$C$3:$C$1002,"Return"))</f>
        <v/>
      </c>
    </row>
    <row r="52">
      <c r="A52" s="4">
        <f>IF(Customers!A52="","",Customers!A52)</f>
        <v/>
      </c>
      <c r="B52" s="24">
        <f>IF($A52="","",SUMIFS(Ledger!$H$3:$H$1002,Ledger!$B$3:$B$1002,$A52))</f>
        <v/>
      </c>
      <c r="C52" s="24">
        <f>IF($A52="","",SUMIFS(Ledger!$I$3:$I$1002,Ledger!$B$3:$B$1002,$A52))</f>
        <v/>
      </c>
      <c r="D52" s="24">
        <f>IF($A52="","",IFERROR(XLOOKUP($A52,Customers!$A:$A,Customers!$F:$F),0))</f>
        <v/>
      </c>
      <c r="E52" s="24">
        <f>IF($A52="","",$B52+$D52-$C52)</f>
        <v/>
      </c>
      <c r="F52" s="24">
        <f>IF($A52="","",SUMIFS(Ledger!$F$3:$F$1002,Ledger!$B$3:$B$1002,$A52,Ledger!$C$3:$C$1002,"Issue"))</f>
        <v/>
      </c>
      <c r="G52" s="24">
        <f>IF($A52="","",SUMIFS(Ledger!$F$3:$F$1002,Ledger!$B$3:$B$1002,$A52,Ledger!$C$3:$C$1002,"Issue")-SUMIFS(Ledger!$F$3:$F$1002,Ledger!$B$3:$B$1002,$A52,Ledger!$C$3:$C$1002,"Return"))</f>
        <v/>
      </c>
    </row>
    <row r="53">
      <c r="A53" s="4">
        <f>IF(Customers!A53="","",Customers!A53)</f>
        <v/>
      </c>
      <c r="B53" s="24">
        <f>IF($A53="","",SUMIFS(Ledger!$H$3:$H$1002,Ledger!$B$3:$B$1002,$A53))</f>
        <v/>
      </c>
      <c r="C53" s="24">
        <f>IF($A53="","",SUMIFS(Ledger!$I$3:$I$1002,Ledger!$B$3:$B$1002,$A53))</f>
        <v/>
      </c>
      <c r="D53" s="24">
        <f>IF($A53="","",IFERROR(XLOOKUP($A53,Customers!$A:$A,Customers!$F:$F),0))</f>
        <v/>
      </c>
      <c r="E53" s="24">
        <f>IF($A53="","",$B53+$D53-$C53)</f>
        <v/>
      </c>
      <c r="F53" s="24">
        <f>IF($A53="","",SUMIFS(Ledger!$F$3:$F$1002,Ledger!$B$3:$B$1002,$A53,Ledger!$C$3:$C$1002,"Issue"))</f>
        <v/>
      </c>
      <c r="G53" s="24">
        <f>IF($A53="","",SUMIFS(Ledger!$F$3:$F$1002,Ledger!$B$3:$B$1002,$A53,Ledger!$C$3:$C$1002,"Issue")-SUMIFS(Ledger!$F$3:$F$1002,Ledger!$B$3:$B$1002,$A53,Ledger!$C$3:$C$1002,"Return"))</f>
        <v/>
      </c>
    </row>
    <row r="54">
      <c r="A54" s="4">
        <f>IF(Customers!A54="","",Customers!A54)</f>
        <v/>
      </c>
      <c r="B54" s="24">
        <f>IF($A54="","",SUMIFS(Ledger!$H$3:$H$1002,Ledger!$B$3:$B$1002,$A54))</f>
        <v/>
      </c>
      <c r="C54" s="24">
        <f>IF($A54="","",SUMIFS(Ledger!$I$3:$I$1002,Ledger!$B$3:$B$1002,$A54))</f>
        <v/>
      </c>
      <c r="D54" s="24">
        <f>IF($A54="","",IFERROR(XLOOKUP($A54,Customers!$A:$A,Customers!$F:$F),0))</f>
        <v/>
      </c>
      <c r="E54" s="24">
        <f>IF($A54="","",$B54+$D54-$C54)</f>
        <v/>
      </c>
      <c r="F54" s="24">
        <f>IF($A54="","",SUMIFS(Ledger!$F$3:$F$1002,Ledger!$B$3:$B$1002,$A54,Ledger!$C$3:$C$1002,"Issue"))</f>
        <v/>
      </c>
      <c r="G54" s="24">
        <f>IF($A54="","",SUMIFS(Ledger!$F$3:$F$1002,Ledger!$B$3:$B$1002,$A54,Ledger!$C$3:$C$1002,"Issue")-SUMIFS(Ledger!$F$3:$F$1002,Ledger!$B$3:$B$1002,$A54,Ledger!$C$3:$C$1002,"Return"))</f>
        <v/>
      </c>
    </row>
    <row r="55">
      <c r="A55" s="4">
        <f>IF(Customers!A55="","",Customers!A55)</f>
        <v/>
      </c>
      <c r="B55" s="24">
        <f>IF($A55="","",SUMIFS(Ledger!$H$3:$H$1002,Ledger!$B$3:$B$1002,$A55))</f>
        <v/>
      </c>
      <c r="C55" s="24">
        <f>IF($A55="","",SUMIFS(Ledger!$I$3:$I$1002,Ledger!$B$3:$B$1002,$A55))</f>
        <v/>
      </c>
      <c r="D55" s="24">
        <f>IF($A55="","",IFERROR(XLOOKUP($A55,Customers!$A:$A,Customers!$F:$F),0))</f>
        <v/>
      </c>
      <c r="E55" s="24">
        <f>IF($A55="","",$B55+$D55-$C55)</f>
        <v/>
      </c>
      <c r="F55" s="24">
        <f>IF($A55="","",SUMIFS(Ledger!$F$3:$F$1002,Ledger!$B$3:$B$1002,$A55,Ledger!$C$3:$C$1002,"Issue"))</f>
        <v/>
      </c>
      <c r="G55" s="24">
        <f>IF($A55="","",SUMIFS(Ledger!$F$3:$F$1002,Ledger!$B$3:$B$1002,$A55,Ledger!$C$3:$C$1002,"Issue")-SUMIFS(Ledger!$F$3:$F$1002,Ledger!$B$3:$B$1002,$A55,Ledger!$C$3:$C$1002,"Return"))</f>
        <v/>
      </c>
    </row>
    <row r="56">
      <c r="A56" s="4">
        <f>IF(Customers!A56="","",Customers!A56)</f>
        <v/>
      </c>
      <c r="B56" s="24">
        <f>IF($A56="","",SUMIFS(Ledger!$H$3:$H$1002,Ledger!$B$3:$B$1002,$A56))</f>
        <v/>
      </c>
      <c r="C56" s="24">
        <f>IF($A56="","",SUMIFS(Ledger!$I$3:$I$1002,Ledger!$B$3:$B$1002,$A56))</f>
        <v/>
      </c>
      <c r="D56" s="24">
        <f>IF($A56="","",IFERROR(XLOOKUP($A56,Customers!$A:$A,Customers!$F:$F),0))</f>
        <v/>
      </c>
      <c r="E56" s="24">
        <f>IF($A56="","",$B56+$D56-$C56)</f>
        <v/>
      </c>
      <c r="F56" s="24">
        <f>IF($A56="","",SUMIFS(Ledger!$F$3:$F$1002,Ledger!$B$3:$B$1002,$A56,Ledger!$C$3:$C$1002,"Issue"))</f>
        <v/>
      </c>
      <c r="G56" s="24">
        <f>IF($A56="","",SUMIFS(Ledger!$F$3:$F$1002,Ledger!$B$3:$B$1002,$A56,Ledger!$C$3:$C$1002,"Issue")-SUMIFS(Ledger!$F$3:$F$1002,Ledger!$B$3:$B$1002,$A56,Ledger!$C$3:$C$1002,"Return"))</f>
        <v/>
      </c>
    </row>
    <row r="57">
      <c r="A57" s="4">
        <f>IF(Customers!A57="","",Customers!A57)</f>
        <v/>
      </c>
      <c r="B57" s="24">
        <f>IF($A57="","",SUMIFS(Ledger!$H$3:$H$1002,Ledger!$B$3:$B$1002,$A57))</f>
        <v/>
      </c>
      <c r="C57" s="24">
        <f>IF($A57="","",SUMIFS(Ledger!$I$3:$I$1002,Ledger!$B$3:$B$1002,$A57))</f>
        <v/>
      </c>
      <c r="D57" s="24">
        <f>IF($A57="","",IFERROR(XLOOKUP($A57,Customers!$A:$A,Customers!$F:$F),0))</f>
        <v/>
      </c>
      <c r="E57" s="24">
        <f>IF($A57="","",$B57+$D57-$C57)</f>
        <v/>
      </c>
      <c r="F57" s="24">
        <f>IF($A57="","",SUMIFS(Ledger!$F$3:$F$1002,Ledger!$B$3:$B$1002,$A57,Ledger!$C$3:$C$1002,"Issue"))</f>
        <v/>
      </c>
      <c r="G57" s="24">
        <f>IF($A57="","",SUMIFS(Ledger!$F$3:$F$1002,Ledger!$B$3:$B$1002,$A57,Ledger!$C$3:$C$1002,"Issue")-SUMIFS(Ledger!$F$3:$F$1002,Ledger!$B$3:$B$1002,$A57,Ledger!$C$3:$C$1002,"Return"))</f>
        <v/>
      </c>
    </row>
    <row r="58">
      <c r="A58" s="4">
        <f>IF(Customers!A58="","",Customers!A58)</f>
        <v/>
      </c>
      <c r="B58" s="24">
        <f>IF($A58="","",SUMIFS(Ledger!$H$3:$H$1002,Ledger!$B$3:$B$1002,$A58))</f>
        <v/>
      </c>
      <c r="C58" s="24">
        <f>IF($A58="","",SUMIFS(Ledger!$I$3:$I$1002,Ledger!$B$3:$B$1002,$A58))</f>
        <v/>
      </c>
      <c r="D58" s="24">
        <f>IF($A58="","",IFERROR(XLOOKUP($A58,Customers!$A:$A,Customers!$F:$F),0))</f>
        <v/>
      </c>
      <c r="E58" s="24">
        <f>IF($A58="","",$B58+$D58-$C58)</f>
        <v/>
      </c>
      <c r="F58" s="24">
        <f>IF($A58="","",SUMIFS(Ledger!$F$3:$F$1002,Ledger!$B$3:$B$1002,$A58,Ledger!$C$3:$C$1002,"Issue"))</f>
        <v/>
      </c>
      <c r="G58" s="24">
        <f>IF($A58="","",SUMIFS(Ledger!$F$3:$F$1002,Ledger!$B$3:$B$1002,$A58,Ledger!$C$3:$C$1002,"Issue")-SUMIFS(Ledger!$F$3:$F$1002,Ledger!$B$3:$B$1002,$A58,Ledger!$C$3:$C$1002,"Return"))</f>
        <v/>
      </c>
    </row>
    <row r="59">
      <c r="A59" s="4">
        <f>IF(Customers!A59="","",Customers!A59)</f>
        <v/>
      </c>
      <c r="B59" s="24">
        <f>IF($A59="","",SUMIFS(Ledger!$H$3:$H$1002,Ledger!$B$3:$B$1002,$A59))</f>
        <v/>
      </c>
      <c r="C59" s="24">
        <f>IF($A59="","",SUMIFS(Ledger!$I$3:$I$1002,Ledger!$B$3:$B$1002,$A59))</f>
        <v/>
      </c>
      <c r="D59" s="24">
        <f>IF($A59="","",IFERROR(XLOOKUP($A59,Customers!$A:$A,Customers!$F:$F),0))</f>
        <v/>
      </c>
      <c r="E59" s="24">
        <f>IF($A59="","",$B59+$D59-$C59)</f>
        <v/>
      </c>
      <c r="F59" s="24">
        <f>IF($A59="","",SUMIFS(Ledger!$F$3:$F$1002,Ledger!$B$3:$B$1002,$A59,Ledger!$C$3:$C$1002,"Issue"))</f>
        <v/>
      </c>
      <c r="G59" s="24">
        <f>IF($A59="","",SUMIFS(Ledger!$F$3:$F$1002,Ledger!$B$3:$B$1002,$A59,Ledger!$C$3:$C$1002,"Issue")-SUMIFS(Ledger!$F$3:$F$1002,Ledger!$B$3:$B$1002,$A59,Ledger!$C$3:$C$1002,"Return"))</f>
        <v/>
      </c>
    </row>
    <row r="60">
      <c r="A60" s="4">
        <f>IF(Customers!A60="","",Customers!A60)</f>
        <v/>
      </c>
      <c r="B60" s="24">
        <f>IF($A60="","",SUMIFS(Ledger!$H$3:$H$1002,Ledger!$B$3:$B$1002,$A60))</f>
        <v/>
      </c>
      <c r="C60" s="24">
        <f>IF($A60="","",SUMIFS(Ledger!$I$3:$I$1002,Ledger!$B$3:$B$1002,$A60))</f>
        <v/>
      </c>
      <c r="D60" s="24">
        <f>IF($A60="","",IFERROR(XLOOKUP($A60,Customers!$A:$A,Customers!$F:$F),0))</f>
        <v/>
      </c>
      <c r="E60" s="24">
        <f>IF($A60="","",$B60+$D60-$C60)</f>
        <v/>
      </c>
      <c r="F60" s="24">
        <f>IF($A60="","",SUMIFS(Ledger!$F$3:$F$1002,Ledger!$B$3:$B$1002,$A60,Ledger!$C$3:$C$1002,"Issue"))</f>
        <v/>
      </c>
      <c r="G60" s="24">
        <f>IF($A60="","",SUMIFS(Ledger!$F$3:$F$1002,Ledger!$B$3:$B$1002,$A60,Ledger!$C$3:$C$1002,"Issue")-SUMIFS(Ledger!$F$3:$F$1002,Ledger!$B$3:$B$1002,$A60,Ledger!$C$3:$C$1002,"Return"))</f>
        <v/>
      </c>
    </row>
    <row r="61">
      <c r="A61" s="4">
        <f>IF(Customers!A61="","",Customers!A61)</f>
        <v/>
      </c>
      <c r="B61" s="24">
        <f>IF($A61="","",SUMIFS(Ledger!$H$3:$H$1002,Ledger!$B$3:$B$1002,$A61))</f>
        <v/>
      </c>
      <c r="C61" s="24">
        <f>IF($A61="","",SUMIFS(Ledger!$I$3:$I$1002,Ledger!$B$3:$B$1002,$A61))</f>
        <v/>
      </c>
      <c r="D61" s="24">
        <f>IF($A61="","",IFERROR(XLOOKUP($A61,Customers!$A:$A,Customers!$F:$F),0))</f>
        <v/>
      </c>
      <c r="E61" s="24">
        <f>IF($A61="","",$B61+$D61-$C61)</f>
        <v/>
      </c>
      <c r="F61" s="24">
        <f>IF($A61="","",SUMIFS(Ledger!$F$3:$F$1002,Ledger!$B$3:$B$1002,$A61,Ledger!$C$3:$C$1002,"Issue"))</f>
        <v/>
      </c>
      <c r="G61" s="24">
        <f>IF($A61="","",SUMIFS(Ledger!$F$3:$F$1002,Ledger!$B$3:$B$1002,$A61,Ledger!$C$3:$C$1002,"Issue")-SUMIFS(Ledger!$F$3:$F$1002,Ledger!$B$3:$B$1002,$A61,Ledger!$C$3:$C$1002,"Return"))</f>
        <v/>
      </c>
    </row>
    <row r="62">
      <c r="A62" s="4">
        <f>IF(Customers!A62="","",Customers!A62)</f>
        <v/>
      </c>
      <c r="B62" s="24">
        <f>IF($A62="","",SUMIFS(Ledger!$H$3:$H$1002,Ledger!$B$3:$B$1002,$A62))</f>
        <v/>
      </c>
      <c r="C62" s="24">
        <f>IF($A62="","",SUMIFS(Ledger!$I$3:$I$1002,Ledger!$B$3:$B$1002,$A62))</f>
        <v/>
      </c>
      <c r="D62" s="24">
        <f>IF($A62="","",IFERROR(XLOOKUP($A62,Customers!$A:$A,Customers!$F:$F),0))</f>
        <v/>
      </c>
      <c r="E62" s="24">
        <f>IF($A62="","",$B62+$D62-$C62)</f>
        <v/>
      </c>
      <c r="F62" s="24">
        <f>IF($A62="","",SUMIFS(Ledger!$F$3:$F$1002,Ledger!$B$3:$B$1002,$A62,Ledger!$C$3:$C$1002,"Issue"))</f>
        <v/>
      </c>
      <c r="G62" s="24">
        <f>IF($A62="","",SUMIFS(Ledger!$F$3:$F$1002,Ledger!$B$3:$B$1002,$A62,Ledger!$C$3:$C$1002,"Issue")-SUMIFS(Ledger!$F$3:$F$1002,Ledger!$B$3:$B$1002,$A62,Ledger!$C$3:$C$1002,"Return"))</f>
        <v/>
      </c>
    </row>
    <row r="63">
      <c r="A63" s="4">
        <f>IF(Customers!A63="","",Customers!A63)</f>
        <v/>
      </c>
      <c r="B63" s="24">
        <f>IF($A63="","",SUMIFS(Ledger!$H$3:$H$1002,Ledger!$B$3:$B$1002,$A63))</f>
        <v/>
      </c>
      <c r="C63" s="24">
        <f>IF($A63="","",SUMIFS(Ledger!$I$3:$I$1002,Ledger!$B$3:$B$1002,$A63))</f>
        <v/>
      </c>
      <c r="D63" s="24">
        <f>IF($A63="","",IFERROR(XLOOKUP($A63,Customers!$A:$A,Customers!$F:$F),0))</f>
        <v/>
      </c>
      <c r="E63" s="24">
        <f>IF($A63="","",$B63+$D63-$C63)</f>
        <v/>
      </c>
      <c r="F63" s="24">
        <f>IF($A63="","",SUMIFS(Ledger!$F$3:$F$1002,Ledger!$B$3:$B$1002,$A63,Ledger!$C$3:$C$1002,"Issue"))</f>
        <v/>
      </c>
      <c r="G63" s="24">
        <f>IF($A63="","",SUMIFS(Ledger!$F$3:$F$1002,Ledger!$B$3:$B$1002,$A63,Ledger!$C$3:$C$1002,"Issue")-SUMIFS(Ledger!$F$3:$F$1002,Ledger!$B$3:$B$1002,$A63,Ledger!$C$3:$C$1002,"Return"))</f>
        <v/>
      </c>
    </row>
    <row r="64">
      <c r="A64" s="4">
        <f>IF(Customers!A64="","",Customers!A64)</f>
        <v/>
      </c>
      <c r="B64" s="24">
        <f>IF($A64="","",SUMIFS(Ledger!$H$3:$H$1002,Ledger!$B$3:$B$1002,$A64))</f>
        <v/>
      </c>
      <c r="C64" s="24">
        <f>IF($A64="","",SUMIFS(Ledger!$I$3:$I$1002,Ledger!$B$3:$B$1002,$A64))</f>
        <v/>
      </c>
      <c r="D64" s="24">
        <f>IF($A64="","",IFERROR(XLOOKUP($A64,Customers!$A:$A,Customers!$F:$F),0))</f>
        <v/>
      </c>
      <c r="E64" s="24">
        <f>IF($A64="","",$B64+$D64-$C64)</f>
        <v/>
      </c>
      <c r="F64" s="24">
        <f>IF($A64="","",SUMIFS(Ledger!$F$3:$F$1002,Ledger!$B$3:$B$1002,$A64,Ledger!$C$3:$C$1002,"Issue"))</f>
        <v/>
      </c>
      <c r="G64" s="24">
        <f>IF($A64="","",SUMIFS(Ledger!$F$3:$F$1002,Ledger!$B$3:$B$1002,$A64,Ledger!$C$3:$C$1002,"Issue")-SUMIFS(Ledger!$F$3:$F$1002,Ledger!$B$3:$B$1002,$A64,Ledger!$C$3:$C$1002,"Return"))</f>
        <v/>
      </c>
    </row>
    <row r="65">
      <c r="A65" s="4">
        <f>IF(Customers!A65="","",Customers!A65)</f>
        <v/>
      </c>
      <c r="B65" s="24">
        <f>IF($A65="","",SUMIFS(Ledger!$H$3:$H$1002,Ledger!$B$3:$B$1002,$A65))</f>
        <v/>
      </c>
      <c r="C65" s="24">
        <f>IF($A65="","",SUMIFS(Ledger!$I$3:$I$1002,Ledger!$B$3:$B$1002,$A65))</f>
        <v/>
      </c>
      <c r="D65" s="24">
        <f>IF($A65="","",IFERROR(XLOOKUP($A65,Customers!$A:$A,Customers!$F:$F),0))</f>
        <v/>
      </c>
      <c r="E65" s="24">
        <f>IF($A65="","",$B65+$D65-$C65)</f>
        <v/>
      </c>
      <c r="F65" s="24">
        <f>IF($A65="","",SUMIFS(Ledger!$F$3:$F$1002,Ledger!$B$3:$B$1002,$A65,Ledger!$C$3:$C$1002,"Issue"))</f>
        <v/>
      </c>
      <c r="G65" s="24">
        <f>IF($A65="","",SUMIFS(Ledger!$F$3:$F$1002,Ledger!$B$3:$B$1002,$A65,Ledger!$C$3:$C$1002,"Issue")-SUMIFS(Ledger!$F$3:$F$1002,Ledger!$B$3:$B$1002,$A65,Ledger!$C$3:$C$1002,"Return"))</f>
        <v/>
      </c>
    </row>
    <row r="66">
      <c r="A66" s="4">
        <f>IF(Customers!A66="","",Customers!A66)</f>
        <v/>
      </c>
      <c r="B66" s="24">
        <f>IF($A66="","",SUMIFS(Ledger!$H$3:$H$1002,Ledger!$B$3:$B$1002,$A66))</f>
        <v/>
      </c>
      <c r="C66" s="24">
        <f>IF($A66="","",SUMIFS(Ledger!$I$3:$I$1002,Ledger!$B$3:$B$1002,$A66))</f>
        <v/>
      </c>
      <c r="D66" s="24">
        <f>IF($A66="","",IFERROR(XLOOKUP($A66,Customers!$A:$A,Customers!$F:$F),0))</f>
        <v/>
      </c>
      <c r="E66" s="24">
        <f>IF($A66="","",$B66+$D66-$C66)</f>
        <v/>
      </c>
      <c r="F66" s="24">
        <f>IF($A66="","",SUMIFS(Ledger!$F$3:$F$1002,Ledger!$B$3:$B$1002,$A66,Ledger!$C$3:$C$1002,"Issue"))</f>
        <v/>
      </c>
      <c r="G66" s="24">
        <f>IF($A66="","",SUMIFS(Ledger!$F$3:$F$1002,Ledger!$B$3:$B$1002,$A66,Ledger!$C$3:$C$1002,"Issue")-SUMIFS(Ledger!$F$3:$F$1002,Ledger!$B$3:$B$1002,$A66,Ledger!$C$3:$C$1002,"Return"))</f>
        <v/>
      </c>
    </row>
    <row r="67">
      <c r="A67" s="4">
        <f>IF(Customers!A67="","",Customers!A67)</f>
        <v/>
      </c>
      <c r="B67" s="24">
        <f>IF($A67="","",SUMIFS(Ledger!$H$3:$H$1002,Ledger!$B$3:$B$1002,$A67))</f>
        <v/>
      </c>
      <c r="C67" s="24">
        <f>IF($A67="","",SUMIFS(Ledger!$I$3:$I$1002,Ledger!$B$3:$B$1002,$A67))</f>
        <v/>
      </c>
      <c r="D67" s="24">
        <f>IF($A67="","",IFERROR(XLOOKUP($A67,Customers!$A:$A,Customers!$F:$F),0))</f>
        <v/>
      </c>
      <c r="E67" s="24">
        <f>IF($A67="","",$B67+$D67-$C67)</f>
        <v/>
      </c>
      <c r="F67" s="24">
        <f>IF($A67="","",SUMIFS(Ledger!$F$3:$F$1002,Ledger!$B$3:$B$1002,$A67,Ledger!$C$3:$C$1002,"Issue"))</f>
        <v/>
      </c>
      <c r="G67" s="24">
        <f>IF($A67="","",SUMIFS(Ledger!$F$3:$F$1002,Ledger!$B$3:$B$1002,$A67,Ledger!$C$3:$C$1002,"Issue")-SUMIFS(Ledger!$F$3:$F$1002,Ledger!$B$3:$B$1002,$A67,Ledger!$C$3:$C$1002,"Return"))</f>
        <v/>
      </c>
    </row>
    <row r="68">
      <c r="A68" s="4">
        <f>IF(Customers!A68="","",Customers!A68)</f>
        <v/>
      </c>
      <c r="B68" s="24">
        <f>IF($A68="","",SUMIFS(Ledger!$H$3:$H$1002,Ledger!$B$3:$B$1002,$A68))</f>
        <v/>
      </c>
      <c r="C68" s="24">
        <f>IF($A68="","",SUMIFS(Ledger!$I$3:$I$1002,Ledger!$B$3:$B$1002,$A68))</f>
        <v/>
      </c>
      <c r="D68" s="24">
        <f>IF($A68="","",IFERROR(XLOOKUP($A68,Customers!$A:$A,Customers!$F:$F),0))</f>
        <v/>
      </c>
      <c r="E68" s="24">
        <f>IF($A68="","",$B68+$D68-$C68)</f>
        <v/>
      </c>
      <c r="F68" s="24">
        <f>IF($A68="","",SUMIFS(Ledger!$F$3:$F$1002,Ledger!$B$3:$B$1002,$A68,Ledger!$C$3:$C$1002,"Issue"))</f>
        <v/>
      </c>
      <c r="G68" s="24">
        <f>IF($A68="","",SUMIFS(Ledger!$F$3:$F$1002,Ledger!$B$3:$B$1002,$A68,Ledger!$C$3:$C$1002,"Issue")-SUMIFS(Ledger!$F$3:$F$1002,Ledger!$B$3:$B$1002,$A68,Ledger!$C$3:$C$1002,"Return"))</f>
        <v/>
      </c>
    </row>
    <row r="69">
      <c r="A69" s="4">
        <f>IF(Customers!A69="","",Customers!A69)</f>
        <v/>
      </c>
      <c r="B69" s="24">
        <f>IF($A69="","",SUMIFS(Ledger!$H$3:$H$1002,Ledger!$B$3:$B$1002,$A69))</f>
        <v/>
      </c>
      <c r="C69" s="24">
        <f>IF($A69="","",SUMIFS(Ledger!$I$3:$I$1002,Ledger!$B$3:$B$1002,$A69))</f>
        <v/>
      </c>
      <c r="D69" s="24">
        <f>IF($A69="","",IFERROR(XLOOKUP($A69,Customers!$A:$A,Customers!$F:$F),0))</f>
        <v/>
      </c>
      <c r="E69" s="24">
        <f>IF($A69="","",$B69+$D69-$C69)</f>
        <v/>
      </c>
      <c r="F69" s="24">
        <f>IF($A69="","",SUMIFS(Ledger!$F$3:$F$1002,Ledger!$B$3:$B$1002,$A69,Ledger!$C$3:$C$1002,"Issue"))</f>
        <v/>
      </c>
      <c r="G69" s="24">
        <f>IF($A69="","",SUMIFS(Ledger!$F$3:$F$1002,Ledger!$B$3:$B$1002,$A69,Ledger!$C$3:$C$1002,"Issue")-SUMIFS(Ledger!$F$3:$F$1002,Ledger!$B$3:$B$1002,$A69,Ledger!$C$3:$C$1002,"Return"))</f>
        <v/>
      </c>
    </row>
    <row r="70">
      <c r="A70" s="4">
        <f>IF(Customers!A70="","",Customers!A70)</f>
        <v/>
      </c>
      <c r="B70" s="24">
        <f>IF($A70="","",SUMIFS(Ledger!$H$3:$H$1002,Ledger!$B$3:$B$1002,$A70))</f>
        <v/>
      </c>
      <c r="C70" s="24">
        <f>IF($A70="","",SUMIFS(Ledger!$I$3:$I$1002,Ledger!$B$3:$B$1002,$A70))</f>
        <v/>
      </c>
      <c r="D70" s="24">
        <f>IF($A70="","",IFERROR(XLOOKUP($A70,Customers!$A:$A,Customers!$F:$F),0))</f>
        <v/>
      </c>
      <c r="E70" s="24">
        <f>IF($A70="","",$B70+$D70-$C70)</f>
        <v/>
      </c>
      <c r="F70" s="24">
        <f>IF($A70="","",SUMIFS(Ledger!$F$3:$F$1002,Ledger!$B$3:$B$1002,$A70,Ledger!$C$3:$C$1002,"Issue"))</f>
        <v/>
      </c>
      <c r="G70" s="24">
        <f>IF($A70="","",SUMIFS(Ledger!$F$3:$F$1002,Ledger!$B$3:$B$1002,$A70,Ledger!$C$3:$C$1002,"Issue")-SUMIFS(Ledger!$F$3:$F$1002,Ledger!$B$3:$B$1002,$A70,Ledger!$C$3:$C$1002,"Return"))</f>
        <v/>
      </c>
    </row>
    <row r="71">
      <c r="A71" s="4">
        <f>IF(Customers!A71="","",Customers!A71)</f>
        <v/>
      </c>
      <c r="B71" s="24">
        <f>IF($A71="","",SUMIFS(Ledger!$H$3:$H$1002,Ledger!$B$3:$B$1002,$A71))</f>
        <v/>
      </c>
      <c r="C71" s="24">
        <f>IF($A71="","",SUMIFS(Ledger!$I$3:$I$1002,Ledger!$B$3:$B$1002,$A71))</f>
        <v/>
      </c>
      <c r="D71" s="24">
        <f>IF($A71="","",IFERROR(XLOOKUP($A71,Customers!$A:$A,Customers!$F:$F),0))</f>
        <v/>
      </c>
      <c r="E71" s="24">
        <f>IF($A71="","",$B71+$D71-$C71)</f>
        <v/>
      </c>
      <c r="F71" s="24">
        <f>IF($A71="","",SUMIFS(Ledger!$F$3:$F$1002,Ledger!$B$3:$B$1002,$A71,Ledger!$C$3:$C$1002,"Issue"))</f>
        <v/>
      </c>
      <c r="G71" s="24">
        <f>IF($A71="","",SUMIFS(Ledger!$F$3:$F$1002,Ledger!$B$3:$B$1002,$A71,Ledger!$C$3:$C$1002,"Issue")-SUMIFS(Ledger!$F$3:$F$1002,Ledger!$B$3:$B$1002,$A71,Ledger!$C$3:$C$1002,"Return"))</f>
        <v/>
      </c>
    </row>
    <row r="72">
      <c r="A72" s="4">
        <f>IF(Customers!A72="","",Customers!A72)</f>
        <v/>
      </c>
      <c r="B72" s="24">
        <f>IF($A72="","",SUMIFS(Ledger!$H$3:$H$1002,Ledger!$B$3:$B$1002,$A72))</f>
        <v/>
      </c>
      <c r="C72" s="24">
        <f>IF($A72="","",SUMIFS(Ledger!$I$3:$I$1002,Ledger!$B$3:$B$1002,$A72))</f>
        <v/>
      </c>
      <c r="D72" s="24">
        <f>IF($A72="","",IFERROR(XLOOKUP($A72,Customers!$A:$A,Customers!$F:$F),0))</f>
        <v/>
      </c>
      <c r="E72" s="24">
        <f>IF($A72="","",$B72+$D72-$C72)</f>
        <v/>
      </c>
      <c r="F72" s="24">
        <f>IF($A72="","",SUMIFS(Ledger!$F$3:$F$1002,Ledger!$B$3:$B$1002,$A72,Ledger!$C$3:$C$1002,"Issue"))</f>
        <v/>
      </c>
      <c r="G72" s="24">
        <f>IF($A72="","",SUMIFS(Ledger!$F$3:$F$1002,Ledger!$B$3:$B$1002,$A72,Ledger!$C$3:$C$1002,"Issue")-SUMIFS(Ledger!$F$3:$F$1002,Ledger!$B$3:$B$1002,$A72,Ledger!$C$3:$C$1002,"Return"))</f>
        <v/>
      </c>
    </row>
    <row r="73">
      <c r="A73" s="4">
        <f>IF(Customers!A73="","",Customers!A73)</f>
        <v/>
      </c>
      <c r="B73" s="24">
        <f>IF($A73="","",SUMIFS(Ledger!$H$3:$H$1002,Ledger!$B$3:$B$1002,$A73))</f>
        <v/>
      </c>
      <c r="C73" s="24">
        <f>IF($A73="","",SUMIFS(Ledger!$I$3:$I$1002,Ledger!$B$3:$B$1002,$A73))</f>
        <v/>
      </c>
      <c r="D73" s="24">
        <f>IF($A73="","",IFERROR(XLOOKUP($A73,Customers!$A:$A,Customers!$F:$F),0))</f>
        <v/>
      </c>
      <c r="E73" s="24">
        <f>IF($A73="","",$B73+$D73-$C73)</f>
        <v/>
      </c>
      <c r="F73" s="24">
        <f>IF($A73="","",SUMIFS(Ledger!$F$3:$F$1002,Ledger!$B$3:$B$1002,$A73,Ledger!$C$3:$C$1002,"Issue"))</f>
        <v/>
      </c>
      <c r="G73" s="24">
        <f>IF($A73="","",SUMIFS(Ledger!$F$3:$F$1002,Ledger!$B$3:$B$1002,$A73,Ledger!$C$3:$C$1002,"Issue")-SUMIFS(Ledger!$F$3:$F$1002,Ledger!$B$3:$B$1002,$A73,Ledger!$C$3:$C$1002,"Return"))</f>
        <v/>
      </c>
    </row>
    <row r="74">
      <c r="A74" s="4">
        <f>IF(Customers!A74="","",Customers!A74)</f>
        <v/>
      </c>
      <c r="B74" s="24">
        <f>IF($A74="","",SUMIFS(Ledger!$H$3:$H$1002,Ledger!$B$3:$B$1002,$A74))</f>
        <v/>
      </c>
      <c r="C74" s="24">
        <f>IF($A74="","",SUMIFS(Ledger!$I$3:$I$1002,Ledger!$B$3:$B$1002,$A74))</f>
        <v/>
      </c>
      <c r="D74" s="24">
        <f>IF($A74="","",IFERROR(XLOOKUP($A74,Customers!$A:$A,Customers!$F:$F),0))</f>
        <v/>
      </c>
      <c r="E74" s="24">
        <f>IF($A74="","",$B74+$D74-$C74)</f>
        <v/>
      </c>
      <c r="F74" s="24">
        <f>IF($A74="","",SUMIFS(Ledger!$F$3:$F$1002,Ledger!$B$3:$B$1002,$A74,Ledger!$C$3:$C$1002,"Issue"))</f>
        <v/>
      </c>
      <c r="G74" s="24">
        <f>IF($A74="","",SUMIFS(Ledger!$F$3:$F$1002,Ledger!$B$3:$B$1002,$A74,Ledger!$C$3:$C$1002,"Issue")-SUMIFS(Ledger!$F$3:$F$1002,Ledger!$B$3:$B$1002,$A74,Ledger!$C$3:$C$1002,"Return"))</f>
        <v/>
      </c>
    </row>
    <row r="75">
      <c r="A75" s="4">
        <f>IF(Customers!A75="","",Customers!A75)</f>
        <v/>
      </c>
      <c r="B75" s="24">
        <f>IF($A75="","",SUMIFS(Ledger!$H$3:$H$1002,Ledger!$B$3:$B$1002,$A75))</f>
        <v/>
      </c>
      <c r="C75" s="24">
        <f>IF($A75="","",SUMIFS(Ledger!$I$3:$I$1002,Ledger!$B$3:$B$1002,$A75))</f>
        <v/>
      </c>
      <c r="D75" s="24">
        <f>IF($A75="","",IFERROR(XLOOKUP($A75,Customers!$A:$A,Customers!$F:$F),0))</f>
        <v/>
      </c>
      <c r="E75" s="24">
        <f>IF($A75="","",$B75+$D75-$C75)</f>
        <v/>
      </c>
      <c r="F75" s="24">
        <f>IF($A75="","",SUMIFS(Ledger!$F$3:$F$1002,Ledger!$B$3:$B$1002,$A75,Ledger!$C$3:$C$1002,"Issue"))</f>
        <v/>
      </c>
      <c r="G75" s="24">
        <f>IF($A75="","",SUMIFS(Ledger!$F$3:$F$1002,Ledger!$B$3:$B$1002,$A75,Ledger!$C$3:$C$1002,"Issue")-SUMIFS(Ledger!$F$3:$F$1002,Ledger!$B$3:$B$1002,$A75,Ledger!$C$3:$C$1002,"Return"))</f>
        <v/>
      </c>
    </row>
    <row r="76">
      <c r="A76" s="4">
        <f>IF(Customers!A76="","",Customers!A76)</f>
        <v/>
      </c>
      <c r="B76" s="24">
        <f>IF($A76="","",SUMIFS(Ledger!$H$3:$H$1002,Ledger!$B$3:$B$1002,$A76))</f>
        <v/>
      </c>
      <c r="C76" s="24">
        <f>IF($A76="","",SUMIFS(Ledger!$I$3:$I$1002,Ledger!$B$3:$B$1002,$A76))</f>
        <v/>
      </c>
      <c r="D76" s="24">
        <f>IF($A76="","",IFERROR(XLOOKUP($A76,Customers!$A:$A,Customers!$F:$F),0))</f>
        <v/>
      </c>
      <c r="E76" s="24">
        <f>IF($A76="","",$B76+$D76-$C76)</f>
        <v/>
      </c>
      <c r="F76" s="24">
        <f>IF($A76="","",SUMIFS(Ledger!$F$3:$F$1002,Ledger!$B$3:$B$1002,$A76,Ledger!$C$3:$C$1002,"Issue"))</f>
        <v/>
      </c>
      <c r="G76" s="24">
        <f>IF($A76="","",SUMIFS(Ledger!$F$3:$F$1002,Ledger!$B$3:$B$1002,$A76,Ledger!$C$3:$C$1002,"Issue")-SUMIFS(Ledger!$F$3:$F$1002,Ledger!$B$3:$B$1002,$A76,Ledger!$C$3:$C$1002,"Return"))</f>
        <v/>
      </c>
    </row>
    <row r="77">
      <c r="A77" s="4">
        <f>IF(Customers!A77="","",Customers!A77)</f>
        <v/>
      </c>
      <c r="B77" s="24">
        <f>IF($A77="","",SUMIFS(Ledger!$H$3:$H$1002,Ledger!$B$3:$B$1002,$A77))</f>
        <v/>
      </c>
      <c r="C77" s="24">
        <f>IF($A77="","",SUMIFS(Ledger!$I$3:$I$1002,Ledger!$B$3:$B$1002,$A77))</f>
        <v/>
      </c>
      <c r="D77" s="24">
        <f>IF($A77="","",IFERROR(XLOOKUP($A77,Customers!$A:$A,Customers!$F:$F),0))</f>
        <v/>
      </c>
      <c r="E77" s="24">
        <f>IF($A77="","",$B77+$D77-$C77)</f>
        <v/>
      </c>
      <c r="F77" s="24">
        <f>IF($A77="","",SUMIFS(Ledger!$F$3:$F$1002,Ledger!$B$3:$B$1002,$A77,Ledger!$C$3:$C$1002,"Issue"))</f>
        <v/>
      </c>
      <c r="G77" s="24">
        <f>IF($A77="","",SUMIFS(Ledger!$F$3:$F$1002,Ledger!$B$3:$B$1002,$A77,Ledger!$C$3:$C$1002,"Issue")-SUMIFS(Ledger!$F$3:$F$1002,Ledger!$B$3:$B$1002,$A77,Ledger!$C$3:$C$1002,"Return"))</f>
        <v/>
      </c>
    </row>
    <row r="78">
      <c r="A78" s="4">
        <f>IF(Customers!A78="","",Customers!A78)</f>
        <v/>
      </c>
      <c r="B78" s="24">
        <f>IF($A78="","",SUMIFS(Ledger!$H$3:$H$1002,Ledger!$B$3:$B$1002,$A78))</f>
        <v/>
      </c>
      <c r="C78" s="24">
        <f>IF($A78="","",SUMIFS(Ledger!$I$3:$I$1002,Ledger!$B$3:$B$1002,$A78))</f>
        <v/>
      </c>
      <c r="D78" s="24">
        <f>IF($A78="","",IFERROR(XLOOKUP($A78,Customers!$A:$A,Customers!$F:$F),0))</f>
        <v/>
      </c>
      <c r="E78" s="24">
        <f>IF($A78="","",$B78+$D78-$C78)</f>
        <v/>
      </c>
      <c r="F78" s="24">
        <f>IF($A78="","",SUMIFS(Ledger!$F$3:$F$1002,Ledger!$B$3:$B$1002,$A78,Ledger!$C$3:$C$1002,"Issue"))</f>
        <v/>
      </c>
      <c r="G78" s="24">
        <f>IF($A78="","",SUMIFS(Ledger!$F$3:$F$1002,Ledger!$B$3:$B$1002,$A78,Ledger!$C$3:$C$1002,"Issue")-SUMIFS(Ledger!$F$3:$F$1002,Ledger!$B$3:$B$1002,$A78,Ledger!$C$3:$C$1002,"Return"))</f>
        <v/>
      </c>
    </row>
    <row r="79">
      <c r="A79" s="4">
        <f>IF(Customers!A79="","",Customers!A79)</f>
        <v/>
      </c>
      <c r="B79" s="24">
        <f>IF($A79="","",SUMIFS(Ledger!$H$3:$H$1002,Ledger!$B$3:$B$1002,$A79))</f>
        <v/>
      </c>
      <c r="C79" s="24">
        <f>IF($A79="","",SUMIFS(Ledger!$I$3:$I$1002,Ledger!$B$3:$B$1002,$A79))</f>
        <v/>
      </c>
      <c r="D79" s="24">
        <f>IF($A79="","",IFERROR(XLOOKUP($A79,Customers!$A:$A,Customers!$F:$F),0))</f>
        <v/>
      </c>
      <c r="E79" s="24">
        <f>IF($A79="","",$B79+$D79-$C79)</f>
        <v/>
      </c>
      <c r="F79" s="24">
        <f>IF($A79="","",SUMIFS(Ledger!$F$3:$F$1002,Ledger!$B$3:$B$1002,$A79,Ledger!$C$3:$C$1002,"Issue"))</f>
        <v/>
      </c>
      <c r="G79" s="24">
        <f>IF($A79="","",SUMIFS(Ledger!$F$3:$F$1002,Ledger!$B$3:$B$1002,$A79,Ledger!$C$3:$C$1002,"Issue")-SUMIFS(Ledger!$F$3:$F$1002,Ledger!$B$3:$B$1002,$A79,Ledger!$C$3:$C$1002,"Return"))</f>
        <v/>
      </c>
    </row>
    <row r="80">
      <c r="A80" s="4">
        <f>IF(Customers!A80="","",Customers!A80)</f>
        <v/>
      </c>
      <c r="B80" s="24">
        <f>IF($A80="","",SUMIFS(Ledger!$H$3:$H$1002,Ledger!$B$3:$B$1002,$A80))</f>
        <v/>
      </c>
      <c r="C80" s="24">
        <f>IF($A80="","",SUMIFS(Ledger!$I$3:$I$1002,Ledger!$B$3:$B$1002,$A80))</f>
        <v/>
      </c>
      <c r="D80" s="24">
        <f>IF($A80="","",IFERROR(XLOOKUP($A80,Customers!$A:$A,Customers!$F:$F),0))</f>
        <v/>
      </c>
      <c r="E80" s="24">
        <f>IF($A80="","",$B80+$D80-$C80)</f>
        <v/>
      </c>
      <c r="F80" s="24">
        <f>IF($A80="","",SUMIFS(Ledger!$F$3:$F$1002,Ledger!$B$3:$B$1002,$A80,Ledger!$C$3:$C$1002,"Issue"))</f>
        <v/>
      </c>
      <c r="G80" s="24">
        <f>IF($A80="","",SUMIFS(Ledger!$F$3:$F$1002,Ledger!$B$3:$B$1002,$A80,Ledger!$C$3:$C$1002,"Issue")-SUMIFS(Ledger!$F$3:$F$1002,Ledger!$B$3:$B$1002,$A80,Ledger!$C$3:$C$1002,"Return"))</f>
        <v/>
      </c>
    </row>
    <row r="81">
      <c r="A81" s="4">
        <f>IF(Customers!A81="","",Customers!A81)</f>
        <v/>
      </c>
      <c r="B81" s="24">
        <f>IF($A81="","",SUMIFS(Ledger!$H$3:$H$1002,Ledger!$B$3:$B$1002,$A81))</f>
        <v/>
      </c>
      <c r="C81" s="24">
        <f>IF($A81="","",SUMIFS(Ledger!$I$3:$I$1002,Ledger!$B$3:$B$1002,$A81))</f>
        <v/>
      </c>
      <c r="D81" s="24">
        <f>IF($A81="","",IFERROR(XLOOKUP($A81,Customers!$A:$A,Customers!$F:$F),0))</f>
        <v/>
      </c>
      <c r="E81" s="24">
        <f>IF($A81="","",$B81+$D81-$C81)</f>
        <v/>
      </c>
      <c r="F81" s="24">
        <f>IF($A81="","",SUMIFS(Ledger!$F$3:$F$1002,Ledger!$B$3:$B$1002,$A81,Ledger!$C$3:$C$1002,"Issue"))</f>
        <v/>
      </c>
      <c r="G81" s="24">
        <f>IF($A81="","",SUMIFS(Ledger!$F$3:$F$1002,Ledger!$B$3:$B$1002,$A81,Ledger!$C$3:$C$1002,"Issue")-SUMIFS(Ledger!$F$3:$F$1002,Ledger!$B$3:$B$1002,$A81,Ledger!$C$3:$C$1002,"Return"))</f>
        <v/>
      </c>
    </row>
    <row r="82">
      <c r="A82" s="4">
        <f>IF(Customers!A82="","",Customers!A82)</f>
        <v/>
      </c>
      <c r="B82" s="24">
        <f>IF($A82="","",SUMIFS(Ledger!$H$3:$H$1002,Ledger!$B$3:$B$1002,$A82))</f>
        <v/>
      </c>
      <c r="C82" s="24">
        <f>IF($A82="","",SUMIFS(Ledger!$I$3:$I$1002,Ledger!$B$3:$B$1002,$A82))</f>
        <v/>
      </c>
      <c r="D82" s="24">
        <f>IF($A82="","",IFERROR(XLOOKUP($A82,Customers!$A:$A,Customers!$F:$F),0))</f>
        <v/>
      </c>
      <c r="E82" s="24">
        <f>IF($A82="","",$B82+$D82-$C82)</f>
        <v/>
      </c>
      <c r="F82" s="24">
        <f>IF($A82="","",SUMIFS(Ledger!$F$3:$F$1002,Ledger!$B$3:$B$1002,$A82,Ledger!$C$3:$C$1002,"Issue"))</f>
        <v/>
      </c>
      <c r="G82" s="24">
        <f>IF($A82="","",SUMIFS(Ledger!$F$3:$F$1002,Ledger!$B$3:$B$1002,$A82,Ledger!$C$3:$C$1002,"Issue")-SUMIFS(Ledger!$F$3:$F$1002,Ledger!$B$3:$B$1002,$A82,Ledger!$C$3:$C$1002,"Return"))</f>
        <v/>
      </c>
    </row>
    <row r="83">
      <c r="A83" s="4">
        <f>IF(Customers!A83="","",Customers!A83)</f>
        <v/>
      </c>
      <c r="B83" s="24">
        <f>IF($A83="","",SUMIFS(Ledger!$H$3:$H$1002,Ledger!$B$3:$B$1002,$A83))</f>
        <v/>
      </c>
      <c r="C83" s="24">
        <f>IF($A83="","",SUMIFS(Ledger!$I$3:$I$1002,Ledger!$B$3:$B$1002,$A83))</f>
        <v/>
      </c>
      <c r="D83" s="24">
        <f>IF($A83="","",IFERROR(XLOOKUP($A83,Customers!$A:$A,Customers!$F:$F),0))</f>
        <v/>
      </c>
      <c r="E83" s="24">
        <f>IF($A83="","",$B83+$D83-$C83)</f>
        <v/>
      </c>
      <c r="F83" s="24">
        <f>IF($A83="","",SUMIFS(Ledger!$F$3:$F$1002,Ledger!$B$3:$B$1002,$A83,Ledger!$C$3:$C$1002,"Issue"))</f>
        <v/>
      </c>
      <c r="G83" s="24">
        <f>IF($A83="","",SUMIFS(Ledger!$F$3:$F$1002,Ledger!$B$3:$B$1002,$A83,Ledger!$C$3:$C$1002,"Issue")-SUMIFS(Ledger!$F$3:$F$1002,Ledger!$B$3:$B$1002,$A83,Ledger!$C$3:$C$1002,"Return"))</f>
        <v/>
      </c>
    </row>
    <row r="84">
      <c r="A84" s="4">
        <f>IF(Customers!A84="","",Customers!A84)</f>
        <v/>
      </c>
      <c r="B84" s="24">
        <f>IF($A84="","",SUMIFS(Ledger!$H$3:$H$1002,Ledger!$B$3:$B$1002,$A84))</f>
        <v/>
      </c>
      <c r="C84" s="24">
        <f>IF($A84="","",SUMIFS(Ledger!$I$3:$I$1002,Ledger!$B$3:$B$1002,$A84))</f>
        <v/>
      </c>
      <c r="D84" s="24">
        <f>IF($A84="","",IFERROR(XLOOKUP($A84,Customers!$A:$A,Customers!$F:$F),0))</f>
        <v/>
      </c>
      <c r="E84" s="24">
        <f>IF($A84="","",$B84+$D84-$C84)</f>
        <v/>
      </c>
      <c r="F84" s="24">
        <f>IF($A84="","",SUMIFS(Ledger!$F$3:$F$1002,Ledger!$B$3:$B$1002,$A84,Ledger!$C$3:$C$1002,"Issue"))</f>
        <v/>
      </c>
      <c r="G84" s="24">
        <f>IF($A84="","",SUMIFS(Ledger!$F$3:$F$1002,Ledger!$B$3:$B$1002,$A84,Ledger!$C$3:$C$1002,"Issue")-SUMIFS(Ledger!$F$3:$F$1002,Ledger!$B$3:$B$1002,$A84,Ledger!$C$3:$C$1002,"Return"))</f>
        <v/>
      </c>
    </row>
    <row r="85">
      <c r="A85" s="4">
        <f>IF(Customers!A85="","",Customers!A85)</f>
        <v/>
      </c>
      <c r="B85" s="24">
        <f>IF($A85="","",SUMIFS(Ledger!$H$3:$H$1002,Ledger!$B$3:$B$1002,$A85))</f>
        <v/>
      </c>
      <c r="C85" s="24">
        <f>IF($A85="","",SUMIFS(Ledger!$I$3:$I$1002,Ledger!$B$3:$B$1002,$A85))</f>
        <v/>
      </c>
      <c r="D85" s="24">
        <f>IF($A85="","",IFERROR(XLOOKUP($A85,Customers!$A:$A,Customers!$F:$F),0))</f>
        <v/>
      </c>
      <c r="E85" s="24">
        <f>IF($A85="","",$B85+$D85-$C85)</f>
        <v/>
      </c>
      <c r="F85" s="24">
        <f>IF($A85="","",SUMIFS(Ledger!$F$3:$F$1002,Ledger!$B$3:$B$1002,$A85,Ledger!$C$3:$C$1002,"Issue"))</f>
        <v/>
      </c>
      <c r="G85" s="24">
        <f>IF($A85="","",SUMIFS(Ledger!$F$3:$F$1002,Ledger!$B$3:$B$1002,$A85,Ledger!$C$3:$C$1002,"Issue")-SUMIFS(Ledger!$F$3:$F$1002,Ledger!$B$3:$B$1002,$A85,Ledger!$C$3:$C$1002,"Return"))</f>
        <v/>
      </c>
    </row>
    <row r="86">
      <c r="A86" s="4">
        <f>IF(Customers!A86="","",Customers!A86)</f>
        <v/>
      </c>
      <c r="B86" s="24">
        <f>IF($A86="","",SUMIFS(Ledger!$H$3:$H$1002,Ledger!$B$3:$B$1002,$A86))</f>
        <v/>
      </c>
      <c r="C86" s="24">
        <f>IF($A86="","",SUMIFS(Ledger!$I$3:$I$1002,Ledger!$B$3:$B$1002,$A86))</f>
        <v/>
      </c>
      <c r="D86" s="24">
        <f>IF($A86="","",IFERROR(XLOOKUP($A86,Customers!$A:$A,Customers!$F:$F),0))</f>
        <v/>
      </c>
      <c r="E86" s="24">
        <f>IF($A86="","",$B86+$D86-$C86)</f>
        <v/>
      </c>
      <c r="F86" s="24">
        <f>IF($A86="","",SUMIFS(Ledger!$F$3:$F$1002,Ledger!$B$3:$B$1002,$A86,Ledger!$C$3:$C$1002,"Issue"))</f>
        <v/>
      </c>
      <c r="G86" s="24">
        <f>IF($A86="","",SUMIFS(Ledger!$F$3:$F$1002,Ledger!$B$3:$B$1002,$A86,Ledger!$C$3:$C$1002,"Issue")-SUMIFS(Ledger!$F$3:$F$1002,Ledger!$B$3:$B$1002,$A86,Ledger!$C$3:$C$1002,"Return"))</f>
        <v/>
      </c>
    </row>
    <row r="87">
      <c r="A87" s="4">
        <f>IF(Customers!A87="","",Customers!A87)</f>
        <v/>
      </c>
      <c r="B87" s="24">
        <f>IF($A87="","",SUMIFS(Ledger!$H$3:$H$1002,Ledger!$B$3:$B$1002,$A87))</f>
        <v/>
      </c>
      <c r="C87" s="24">
        <f>IF($A87="","",SUMIFS(Ledger!$I$3:$I$1002,Ledger!$B$3:$B$1002,$A87))</f>
        <v/>
      </c>
      <c r="D87" s="24">
        <f>IF($A87="","",IFERROR(XLOOKUP($A87,Customers!$A:$A,Customers!$F:$F),0))</f>
        <v/>
      </c>
      <c r="E87" s="24">
        <f>IF($A87="","",$B87+$D87-$C87)</f>
        <v/>
      </c>
      <c r="F87" s="24">
        <f>IF($A87="","",SUMIFS(Ledger!$F$3:$F$1002,Ledger!$B$3:$B$1002,$A87,Ledger!$C$3:$C$1002,"Issue"))</f>
        <v/>
      </c>
      <c r="G87" s="24">
        <f>IF($A87="","",SUMIFS(Ledger!$F$3:$F$1002,Ledger!$B$3:$B$1002,$A87,Ledger!$C$3:$C$1002,"Issue")-SUMIFS(Ledger!$F$3:$F$1002,Ledger!$B$3:$B$1002,$A87,Ledger!$C$3:$C$1002,"Return"))</f>
        <v/>
      </c>
    </row>
    <row r="88">
      <c r="A88" s="4">
        <f>IF(Customers!A88="","",Customers!A88)</f>
        <v/>
      </c>
      <c r="B88" s="24">
        <f>IF($A88="","",SUMIFS(Ledger!$H$3:$H$1002,Ledger!$B$3:$B$1002,$A88))</f>
        <v/>
      </c>
      <c r="C88" s="24">
        <f>IF($A88="","",SUMIFS(Ledger!$I$3:$I$1002,Ledger!$B$3:$B$1002,$A88))</f>
        <v/>
      </c>
      <c r="D88" s="24">
        <f>IF($A88="","",IFERROR(XLOOKUP($A88,Customers!$A:$A,Customers!$F:$F),0))</f>
        <v/>
      </c>
      <c r="E88" s="24">
        <f>IF($A88="","",$B88+$D88-$C88)</f>
        <v/>
      </c>
      <c r="F88" s="24">
        <f>IF($A88="","",SUMIFS(Ledger!$F$3:$F$1002,Ledger!$B$3:$B$1002,$A88,Ledger!$C$3:$C$1002,"Issue"))</f>
        <v/>
      </c>
      <c r="G88" s="24">
        <f>IF($A88="","",SUMIFS(Ledger!$F$3:$F$1002,Ledger!$B$3:$B$1002,$A88,Ledger!$C$3:$C$1002,"Issue")-SUMIFS(Ledger!$F$3:$F$1002,Ledger!$B$3:$B$1002,$A88,Ledger!$C$3:$C$1002,"Return"))</f>
        <v/>
      </c>
    </row>
    <row r="89">
      <c r="A89" s="4">
        <f>IF(Customers!A89="","",Customers!A89)</f>
        <v/>
      </c>
      <c r="B89" s="24">
        <f>IF($A89="","",SUMIFS(Ledger!$H$3:$H$1002,Ledger!$B$3:$B$1002,$A89))</f>
        <v/>
      </c>
      <c r="C89" s="24">
        <f>IF($A89="","",SUMIFS(Ledger!$I$3:$I$1002,Ledger!$B$3:$B$1002,$A89))</f>
        <v/>
      </c>
      <c r="D89" s="24">
        <f>IF($A89="","",IFERROR(XLOOKUP($A89,Customers!$A:$A,Customers!$F:$F),0))</f>
        <v/>
      </c>
      <c r="E89" s="24">
        <f>IF($A89="","",$B89+$D89-$C89)</f>
        <v/>
      </c>
      <c r="F89" s="24">
        <f>IF($A89="","",SUMIFS(Ledger!$F$3:$F$1002,Ledger!$B$3:$B$1002,$A89,Ledger!$C$3:$C$1002,"Issue"))</f>
        <v/>
      </c>
      <c r="G89" s="24">
        <f>IF($A89="","",SUMIFS(Ledger!$F$3:$F$1002,Ledger!$B$3:$B$1002,$A89,Ledger!$C$3:$C$1002,"Issue")-SUMIFS(Ledger!$F$3:$F$1002,Ledger!$B$3:$B$1002,$A89,Ledger!$C$3:$C$1002,"Return"))</f>
        <v/>
      </c>
    </row>
    <row r="90">
      <c r="A90" s="4">
        <f>IF(Customers!A90="","",Customers!A90)</f>
        <v/>
      </c>
      <c r="B90" s="24">
        <f>IF($A90="","",SUMIFS(Ledger!$H$3:$H$1002,Ledger!$B$3:$B$1002,$A90))</f>
        <v/>
      </c>
      <c r="C90" s="24">
        <f>IF($A90="","",SUMIFS(Ledger!$I$3:$I$1002,Ledger!$B$3:$B$1002,$A90))</f>
        <v/>
      </c>
      <c r="D90" s="24">
        <f>IF($A90="","",IFERROR(XLOOKUP($A90,Customers!$A:$A,Customers!$F:$F),0))</f>
        <v/>
      </c>
      <c r="E90" s="24">
        <f>IF($A90="","",$B90+$D90-$C90)</f>
        <v/>
      </c>
      <c r="F90" s="24">
        <f>IF($A90="","",SUMIFS(Ledger!$F$3:$F$1002,Ledger!$B$3:$B$1002,$A90,Ledger!$C$3:$C$1002,"Issue"))</f>
        <v/>
      </c>
      <c r="G90" s="24">
        <f>IF($A90="","",SUMIFS(Ledger!$F$3:$F$1002,Ledger!$B$3:$B$1002,$A90,Ledger!$C$3:$C$1002,"Issue")-SUMIFS(Ledger!$F$3:$F$1002,Ledger!$B$3:$B$1002,$A90,Ledger!$C$3:$C$1002,"Return"))</f>
        <v/>
      </c>
    </row>
    <row r="91">
      <c r="A91" s="4">
        <f>IF(Customers!A91="","",Customers!A91)</f>
        <v/>
      </c>
      <c r="B91" s="24">
        <f>IF($A91="","",SUMIFS(Ledger!$H$3:$H$1002,Ledger!$B$3:$B$1002,$A91))</f>
        <v/>
      </c>
      <c r="C91" s="24">
        <f>IF($A91="","",SUMIFS(Ledger!$I$3:$I$1002,Ledger!$B$3:$B$1002,$A91))</f>
        <v/>
      </c>
      <c r="D91" s="24">
        <f>IF($A91="","",IFERROR(XLOOKUP($A91,Customers!$A:$A,Customers!$F:$F),0))</f>
        <v/>
      </c>
      <c r="E91" s="24">
        <f>IF($A91="","",$B91+$D91-$C91)</f>
        <v/>
      </c>
      <c r="F91" s="24">
        <f>IF($A91="","",SUMIFS(Ledger!$F$3:$F$1002,Ledger!$B$3:$B$1002,$A91,Ledger!$C$3:$C$1002,"Issue"))</f>
        <v/>
      </c>
      <c r="G91" s="24">
        <f>IF($A91="","",SUMIFS(Ledger!$F$3:$F$1002,Ledger!$B$3:$B$1002,$A91,Ledger!$C$3:$C$1002,"Issue")-SUMIFS(Ledger!$F$3:$F$1002,Ledger!$B$3:$B$1002,$A91,Ledger!$C$3:$C$1002,"Return"))</f>
        <v/>
      </c>
    </row>
    <row r="92">
      <c r="A92" s="4">
        <f>IF(Customers!A92="","",Customers!A92)</f>
        <v/>
      </c>
      <c r="B92" s="24">
        <f>IF($A92="","",SUMIFS(Ledger!$H$3:$H$1002,Ledger!$B$3:$B$1002,$A92))</f>
        <v/>
      </c>
      <c r="C92" s="24">
        <f>IF($A92="","",SUMIFS(Ledger!$I$3:$I$1002,Ledger!$B$3:$B$1002,$A92))</f>
        <v/>
      </c>
      <c r="D92" s="24">
        <f>IF($A92="","",IFERROR(XLOOKUP($A92,Customers!$A:$A,Customers!$F:$F),0))</f>
        <v/>
      </c>
      <c r="E92" s="24">
        <f>IF($A92="","",$B92+$D92-$C92)</f>
        <v/>
      </c>
      <c r="F92" s="24">
        <f>IF($A92="","",SUMIFS(Ledger!$F$3:$F$1002,Ledger!$B$3:$B$1002,$A92,Ledger!$C$3:$C$1002,"Issue"))</f>
        <v/>
      </c>
      <c r="G92" s="24">
        <f>IF($A92="","",SUMIFS(Ledger!$F$3:$F$1002,Ledger!$B$3:$B$1002,$A92,Ledger!$C$3:$C$1002,"Issue")-SUMIFS(Ledger!$F$3:$F$1002,Ledger!$B$3:$B$1002,$A92,Ledger!$C$3:$C$1002,"Return"))</f>
        <v/>
      </c>
    </row>
    <row r="93">
      <c r="A93" s="4">
        <f>IF(Customers!A93="","",Customers!A93)</f>
        <v/>
      </c>
      <c r="B93" s="24">
        <f>IF($A93="","",SUMIFS(Ledger!$H$3:$H$1002,Ledger!$B$3:$B$1002,$A93))</f>
        <v/>
      </c>
      <c r="C93" s="24">
        <f>IF($A93="","",SUMIFS(Ledger!$I$3:$I$1002,Ledger!$B$3:$B$1002,$A93))</f>
        <v/>
      </c>
      <c r="D93" s="24">
        <f>IF($A93="","",IFERROR(XLOOKUP($A93,Customers!$A:$A,Customers!$F:$F),0))</f>
        <v/>
      </c>
      <c r="E93" s="24">
        <f>IF($A93="","",$B93+$D93-$C93)</f>
        <v/>
      </c>
      <c r="F93" s="24">
        <f>IF($A93="","",SUMIFS(Ledger!$F$3:$F$1002,Ledger!$B$3:$B$1002,$A93,Ledger!$C$3:$C$1002,"Issue"))</f>
        <v/>
      </c>
      <c r="G93" s="24">
        <f>IF($A93="","",SUMIFS(Ledger!$F$3:$F$1002,Ledger!$B$3:$B$1002,$A93,Ledger!$C$3:$C$1002,"Issue")-SUMIFS(Ledger!$F$3:$F$1002,Ledger!$B$3:$B$1002,$A93,Ledger!$C$3:$C$1002,"Return"))</f>
        <v/>
      </c>
    </row>
    <row r="94">
      <c r="A94" s="4">
        <f>IF(Customers!A94="","",Customers!A94)</f>
        <v/>
      </c>
      <c r="B94" s="24">
        <f>IF($A94="","",SUMIFS(Ledger!$H$3:$H$1002,Ledger!$B$3:$B$1002,$A94))</f>
        <v/>
      </c>
      <c r="C94" s="24">
        <f>IF($A94="","",SUMIFS(Ledger!$I$3:$I$1002,Ledger!$B$3:$B$1002,$A94))</f>
        <v/>
      </c>
      <c r="D94" s="24">
        <f>IF($A94="","",IFERROR(XLOOKUP($A94,Customers!$A:$A,Customers!$F:$F),0))</f>
        <v/>
      </c>
      <c r="E94" s="24">
        <f>IF($A94="","",$B94+$D94-$C94)</f>
        <v/>
      </c>
      <c r="F94" s="24">
        <f>IF($A94="","",SUMIFS(Ledger!$F$3:$F$1002,Ledger!$B$3:$B$1002,$A94,Ledger!$C$3:$C$1002,"Issue"))</f>
        <v/>
      </c>
      <c r="G94" s="24">
        <f>IF($A94="","",SUMIFS(Ledger!$F$3:$F$1002,Ledger!$B$3:$B$1002,$A94,Ledger!$C$3:$C$1002,"Issue")-SUMIFS(Ledger!$F$3:$F$1002,Ledger!$B$3:$B$1002,$A94,Ledger!$C$3:$C$1002,"Return"))</f>
        <v/>
      </c>
    </row>
    <row r="95">
      <c r="A95" s="4">
        <f>IF(Customers!A95="","",Customers!A95)</f>
        <v/>
      </c>
      <c r="B95" s="24">
        <f>IF($A95="","",SUMIFS(Ledger!$H$3:$H$1002,Ledger!$B$3:$B$1002,$A95))</f>
        <v/>
      </c>
      <c r="C95" s="24">
        <f>IF($A95="","",SUMIFS(Ledger!$I$3:$I$1002,Ledger!$B$3:$B$1002,$A95))</f>
        <v/>
      </c>
      <c r="D95" s="24">
        <f>IF($A95="","",IFERROR(XLOOKUP($A95,Customers!$A:$A,Customers!$F:$F),0))</f>
        <v/>
      </c>
      <c r="E95" s="24">
        <f>IF($A95="","",$B95+$D95-$C95)</f>
        <v/>
      </c>
      <c r="F95" s="24">
        <f>IF($A95="","",SUMIFS(Ledger!$F$3:$F$1002,Ledger!$B$3:$B$1002,$A95,Ledger!$C$3:$C$1002,"Issue"))</f>
        <v/>
      </c>
      <c r="G95" s="24">
        <f>IF($A95="","",SUMIFS(Ledger!$F$3:$F$1002,Ledger!$B$3:$B$1002,$A95,Ledger!$C$3:$C$1002,"Issue")-SUMIFS(Ledger!$F$3:$F$1002,Ledger!$B$3:$B$1002,$A95,Ledger!$C$3:$C$1002,"Return"))</f>
        <v/>
      </c>
    </row>
    <row r="96">
      <c r="A96" s="4">
        <f>IF(Customers!A96="","",Customers!A96)</f>
        <v/>
      </c>
      <c r="B96" s="24">
        <f>IF($A96="","",SUMIFS(Ledger!$H$3:$H$1002,Ledger!$B$3:$B$1002,$A96))</f>
        <v/>
      </c>
      <c r="C96" s="24">
        <f>IF($A96="","",SUMIFS(Ledger!$I$3:$I$1002,Ledger!$B$3:$B$1002,$A96))</f>
        <v/>
      </c>
      <c r="D96" s="24">
        <f>IF($A96="","",IFERROR(XLOOKUP($A96,Customers!$A:$A,Customers!$F:$F),0))</f>
        <v/>
      </c>
      <c r="E96" s="24">
        <f>IF($A96="","",$B96+$D96-$C96)</f>
        <v/>
      </c>
      <c r="F96" s="24">
        <f>IF($A96="","",SUMIFS(Ledger!$F$3:$F$1002,Ledger!$B$3:$B$1002,$A96,Ledger!$C$3:$C$1002,"Issue"))</f>
        <v/>
      </c>
      <c r="G96" s="24">
        <f>IF($A96="","",SUMIFS(Ledger!$F$3:$F$1002,Ledger!$B$3:$B$1002,$A96,Ledger!$C$3:$C$1002,"Issue")-SUMIFS(Ledger!$F$3:$F$1002,Ledger!$B$3:$B$1002,$A96,Ledger!$C$3:$C$1002,"Return"))</f>
        <v/>
      </c>
    </row>
    <row r="97">
      <c r="A97" s="4">
        <f>IF(Customers!A97="","",Customers!A97)</f>
        <v/>
      </c>
      <c r="B97" s="24">
        <f>IF($A97="","",SUMIFS(Ledger!$H$3:$H$1002,Ledger!$B$3:$B$1002,$A97))</f>
        <v/>
      </c>
      <c r="C97" s="24">
        <f>IF($A97="","",SUMIFS(Ledger!$I$3:$I$1002,Ledger!$B$3:$B$1002,$A97))</f>
        <v/>
      </c>
      <c r="D97" s="24">
        <f>IF($A97="","",IFERROR(XLOOKUP($A97,Customers!$A:$A,Customers!$F:$F),0))</f>
        <v/>
      </c>
      <c r="E97" s="24">
        <f>IF($A97="","",$B97+$D97-$C97)</f>
        <v/>
      </c>
      <c r="F97" s="24">
        <f>IF($A97="","",SUMIFS(Ledger!$F$3:$F$1002,Ledger!$B$3:$B$1002,$A97,Ledger!$C$3:$C$1002,"Issue"))</f>
        <v/>
      </c>
      <c r="G97" s="24">
        <f>IF($A97="","",SUMIFS(Ledger!$F$3:$F$1002,Ledger!$B$3:$B$1002,$A97,Ledger!$C$3:$C$1002,"Issue")-SUMIFS(Ledger!$F$3:$F$1002,Ledger!$B$3:$B$1002,$A97,Ledger!$C$3:$C$1002,"Return"))</f>
        <v/>
      </c>
    </row>
    <row r="98">
      <c r="A98" s="4">
        <f>IF(Customers!A98="","",Customers!A98)</f>
        <v/>
      </c>
      <c r="B98" s="24">
        <f>IF($A98="","",SUMIFS(Ledger!$H$3:$H$1002,Ledger!$B$3:$B$1002,$A98))</f>
        <v/>
      </c>
      <c r="C98" s="24">
        <f>IF($A98="","",SUMIFS(Ledger!$I$3:$I$1002,Ledger!$B$3:$B$1002,$A98))</f>
        <v/>
      </c>
      <c r="D98" s="24">
        <f>IF($A98="","",IFERROR(XLOOKUP($A98,Customers!$A:$A,Customers!$F:$F),0))</f>
        <v/>
      </c>
      <c r="E98" s="24">
        <f>IF($A98="","",$B98+$D98-$C98)</f>
        <v/>
      </c>
      <c r="F98" s="24">
        <f>IF($A98="","",SUMIFS(Ledger!$F$3:$F$1002,Ledger!$B$3:$B$1002,$A98,Ledger!$C$3:$C$1002,"Issue"))</f>
        <v/>
      </c>
      <c r="G98" s="24">
        <f>IF($A98="","",SUMIFS(Ledger!$F$3:$F$1002,Ledger!$B$3:$B$1002,$A98,Ledger!$C$3:$C$1002,"Issue")-SUMIFS(Ledger!$F$3:$F$1002,Ledger!$B$3:$B$1002,$A98,Ledger!$C$3:$C$1002,"Return"))</f>
        <v/>
      </c>
    </row>
    <row r="99">
      <c r="A99" s="4">
        <f>IF(Customers!A99="","",Customers!A99)</f>
        <v/>
      </c>
      <c r="B99" s="24">
        <f>IF($A99="","",SUMIFS(Ledger!$H$3:$H$1002,Ledger!$B$3:$B$1002,$A99))</f>
        <v/>
      </c>
      <c r="C99" s="24">
        <f>IF($A99="","",SUMIFS(Ledger!$I$3:$I$1002,Ledger!$B$3:$B$1002,$A99))</f>
        <v/>
      </c>
      <c r="D99" s="24">
        <f>IF($A99="","",IFERROR(XLOOKUP($A99,Customers!$A:$A,Customers!$F:$F),0))</f>
        <v/>
      </c>
      <c r="E99" s="24">
        <f>IF($A99="","",$B99+$D99-$C99)</f>
        <v/>
      </c>
      <c r="F99" s="24">
        <f>IF($A99="","",SUMIFS(Ledger!$F$3:$F$1002,Ledger!$B$3:$B$1002,$A99,Ledger!$C$3:$C$1002,"Issue"))</f>
        <v/>
      </c>
      <c r="G99" s="24">
        <f>IF($A99="","",SUMIFS(Ledger!$F$3:$F$1002,Ledger!$B$3:$B$1002,$A99,Ledger!$C$3:$C$1002,"Issue")-SUMIFS(Ledger!$F$3:$F$1002,Ledger!$B$3:$B$1002,$A99,Ledger!$C$3:$C$1002,"Return"))</f>
        <v/>
      </c>
    </row>
    <row r="100">
      <c r="A100" s="4">
        <f>IF(Customers!A100="","",Customers!A100)</f>
        <v/>
      </c>
      <c r="B100" s="24">
        <f>IF($A100="","",SUMIFS(Ledger!$H$3:$H$1002,Ledger!$B$3:$B$1002,$A100))</f>
        <v/>
      </c>
      <c r="C100" s="24">
        <f>IF($A100="","",SUMIFS(Ledger!$I$3:$I$1002,Ledger!$B$3:$B$1002,$A100))</f>
        <v/>
      </c>
      <c r="D100" s="24">
        <f>IF($A100="","",IFERROR(XLOOKUP($A100,Customers!$A:$A,Customers!$F:$F),0))</f>
        <v/>
      </c>
      <c r="E100" s="24">
        <f>IF($A100="","",$B100+$D100-$C100)</f>
        <v/>
      </c>
      <c r="F100" s="24">
        <f>IF($A100="","",SUMIFS(Ledger!$F$3:$F$1002,Ledger!$B$3:$B$1002,$A100,Ledger!$C$3:$C$1002,"Issue"))</f>
        <v/>
      </c>
      <c r="G100" s="24">
        <f>IF($A100="","",SUMIFS(Ledger!$F$3:$F$1002,Ledger!$B$3:$B$1002,$A100,Ledger!$C$3:$C$1002,"Issue")-SUMIFS(Ledger!$F$3:$F$1002,Ledger!$B$3:$B$1002,$A100,Ledger!$C$3:$C$1002,"Return"))</f>
        <v/>
      </c>
    </row>
    <row r="101">
      <c r="A101" s="4">
        <f>IF(Customers!A101="","",Customers!A101)</f>
        <v/>
      </c>
      <c r="B101" s="24">
        <f>IF($A101="","",SUMIFS(Ledger!$H$3:$H$1002,Ledger!$B$3:$B$1002,$A101))</f>
        <v/>
      </c>
      <c r="C101" s="24">
        <f>IF($A101="","",SUMIFS(Ledger!$I$3:$I$1002,Ledger!$B$3:$B$1002,$A101))</f>
        <v/>
      </c>
      <c r="D101" s="24">
        <f>IF($A101="","",IFERROR(XLOOKUP($A101,Customers!$A:$A,Customers!$F:$F),0))</f>
        <v/>
      </c>
      <c r="E101" s="24">
        <f>IF($A101="","",$B101+$D101-$C101)</f>
        <v/>
      </c>
      <c r="F101" s="24">
        <f>IF($A101="","",SUMIFS(Ledger!$F$3:$F$1002,Ledger!$B$3:$B$1002,$A101,Ledger!$C$3:$C$1002,"Issue"))</f>
        <v/>
      </c>
      <c r="G101" s="24">
        <f>IF($A101="","",SUMIFS(Ledger!$F$3:$F$1002,Ledger!$B$3:$B$1002,$A101,Ledger!$C$3:$C$1002,"Issue")-SUMIFS(Ledger!$F$3:$F$1002,Ledger!$B$3:$B$1002,$A101,Ledger!$C$3:$C$1002,"Return"))</f>
        <v/>
      </c>
    </row>
    <row r="102">
      <c r="A102" s="4">
        <f>IF(Customers!A102="","",Customers!A102)</f>
        <v/>
      </c>
      <c r="B102" s="24">
        <f>IF($A102="","",SUMIFS(Ledger!$H$3:$H$1002,Ledger!$B$3:$B$1002,$A102))</f>
        <v/>
      </c>
      <c r="C102" s="24">
        <f>IF($A102="","",SUMIFS(Ledger!$I$3:$I$1002,Ledger!$B$3:$B$1002,$A102))</f>
        <v/>
      </c>
      <c r="D102" s="24">
        <f>IF($A102="","",IFERROR(XLOOKUP($A102,Customers!$A:$A,Customers!$F:$F),0))</f>
        <v/>
      </c>
      <c r="E102" s="24">
        <f>IF($A102="","",$B102+$D102-$C102)</f>
        <v/>
      </c>
      <c r="F102" s="24">
        <f>IF($A102="","",SUMIFS(Ledger!$F$3:$F$1002,Ledger!$B$3:$B$1002,$A102,Ledger!$C$3:$C$1002,"Issue"))</f>
        <v/>
      </c>
      <c r="G102" s="24">
        <f>IF($A102="","",SUMIFS(Ledger!$F$3:$F$1002,Ledger!$B$3:$B$1002,$A102,Ledger!$C$3:$C$1002,"Issue")-SUMIFS(Ledger!$F$3:$F$1002,Ledger!$B$3:$B$1002,$A102,Ledger!$C$3:$C$1002,"Return"))</f>
        <v/>
      </c>
    </row>
    <row r="103">
      <c r="A103" s="4">
        <f>IF(Customers!A103="","",Customers!A103)</f>
        <v/>
      </c>
      <c r="B103" s="24">
        <f>IF($A103="","",SUMIFS(Ledger!$H$3:$H$1002,Ledger!$B$3:$B$1002,$A103))</f>
        <v/>
      </c>
      <c r="C103" s="24">
        <f>IF($A103="","",SUMIFS(Ledger!$I$3:$I$1002,Ledger!$B$3:$B$1002,$A103))</f>
        <v/>
      </c>
      <c r="D103" s="24">
        <f>IF($A103="","",IFERROR(XLOOKUP($A103,Customers!$A:$A,Customers!$F:$F),0))</f>
        <v/>
      </c>
      <c r="E103" s="24">
        <f>IF($A103="","",$B103+$D103-$C103)</f>
        <v/>
      </c>
      <c r="F103" s="24">
        <f>IF($A103="","",SUMIFS(Ledger!$F$3:$F$1002,Ledger!$B$3:$B$1002,$A103,Ledger!$C$3:$C$1002,"Issue"))</f>
        <v/>
      </c>
      <c r="G103" s="24">
        <f>IF($A103="","",SUMIFS(Ledger!$F$3:$F$1002,Ledger!$B$3:$B$1002,$A103,Ledger!$C$3:$C$1002,"Issue")-SUMIFS(Ledger!$F$3:$F$1002,Ledger!$B$3:$B$1002,$A103,Ledger!$C$3:$C$1002,"Return"))</f>
        <v/>
      </c>
    </row>
    <row r="104">
      <c r="A104" s="4">
        <f>IF(Customers!A104="","",Customers!A104)</f>
        <v/>
      </c>
      <c r="B104" s="24">
        <f>IF($A104="","",SUMIFS(Ledger!$H$3:$H$1002,Ledger!$B$3:$B$1002,$A104))</f>
        <v/>
      </c>
      <c r="C104" s="24">
        <f>IF($A104="","",SUMIFS(Ledger!$I$3:$I$1002,Ledger!$B$3:$B$1002,$A104))</f>
        <v/>
      </c>
      <c r="D104" s="24">
        <f>IF($A104="","",IFERROR(XLOOKUP($A104,Customers!$A:$A,Customers!$F:$F),0))</f>
        <v/>
      </c>
      <c r="E104" s="24">
        <f>IF($A104="","",$B104+$D104-$C104)</f>
        <v/>
      </c>
      <c r="F104" s="24">
        <f>IF($A104="","",SUMIFS(Ledger!$F$3:$F$1002,Ledger!$B$3:$B$1002,$A104,Ledger!$C$3:$C$1002,"Issue"))</f>
        <v/>
      </c>
      <c r="G104" s="24">
        <f>IF($A104="","",SUMIFS(Ledger!$F$3:$F$1002,Ledger!$B$3:$B$1002,$A104,Ledger!$C$3:$C$1002,"Issue")-SUMIFS(Ledger!$F$3:$F$1002,Ledger!$B$3:$B$1002,$A104,Ledger!$C$3:$C$1002,"Return"))</f>
        <v/>
      </c>
    </row>
    <row r="105">
      <c r="A105" s="4">
        <f>IF(Customers!A105="","",Customers!A105)</f>
        <v/>
      </c>
      <c r="B105" s="24">
        <f>IF($A105="","",SUMIFS(Ledger!$H$3:$H$1002,Ledger!$B$3:$B$1002,$A105))</f>
        <v/>
      </c>
      <c r="C105" s="24">
        <f>IF($A105="","",SUMIFS(Ledger!$I$3:$I$1002,Ledger!$B$3:$B$1002,$A105))</f>
        <v/>
      </c>
      <c r="D105" s="24">
        <f>IF($A105="","",IFERROR(XLOOKUP($A105,Customers!$A:$A,Customers!$F:$F),0))</f>
        <v/>
      </c>
      <c r="E105" s="24">
        <f>IF($A105="","",$B105+$D105-$C105)</f>
        <v/>
      </c>
      <c r="F105" s="24">
        <f>IF($A105="","",SUMIFS(Ledger!$F$3:$F$1002,Ledger!$B$3:$B$1002,$A105,Ledger!$C$3:$C$1002,"Issue"))</f>
        <v/>
      </c>
      <c r="G105" s="24">
        <f>IF($A105="","",SUMIFS(Ledger!$F$3:$F$1002,Ledger!$B$3:$B$1002,$A105,Ledger!$C$3:$C$1002,"Issue")-SUMIFS(Ledger!$F$3:$F$1002,Ledger!$B$3:$B$1002,$A105,Ledger!$C$3:$C$1002,"Return"))</f>
        <v/>
      </c>
    </row>
    <row r="106">
      <c r="A106" s="4">
        <f>IF(Customers!A106="","",Customers!A106)</f>
        <v/>
      </c>
      <c r="B106" s="24">
        <f>IF($A106="","",SUMIFS(Ledger!$H$3:$H$1002,Ledger!$B$3:$B$1002,$A106))</f>
        <v/>
      </c>
      <c r="C106" s="24">
        <f>IF($A106="","",SUMIFS(Ledger!$I$3:$I$1002,Ledger!$B$3:$B$1002,$A106))</f>
        <v/>
      </c>
      <c r="D106" s="24">
        <f>IF($A106="","",IFERROR(XLOOKUP($A106,Customers!$A:$A,Customers!$F:$F),0))</f>
        <v/>
      </c>
      <c r="E106" s="24">
        <f>IF($A106="","",$B106+$D106-$C106)</f>
        <v/>
      </c>
      <c r="F106" s="24">
        <f>IF($A106="","",SUMIFS(Ledger!$F$3:$F$1002,Ledger!$B$3:$B$1002,$A106,Ledger!$C$3:$C$1002,"Issue"))</f>
        <v/>
      </c>
      <c r="G106" s="24">
        <f>IF($A106="","",SUMIFS(Ledger!$F$3:$F$1002,Ledger!$B$3:$B$1002,$A106,Ledger!$C$3:$C$1002,"Issue")-SUMIFS(Ledger!$F$3:$F$1002,Ledger!$B$3:$B$1002,$A106,Ledger!$C$3:$C$1002,"Return"))</f>
        <v/>
      </c>
    </row>
    <row r="107">
      <c r="A107" s="4">
        <f>IF(Customers!A107="","",Customers!A107)</f>
        <v/>
      </c>
      <c r="B107" s="24">
        <f>IF($A107="","",SUMIFS(Ledger!$H$3:$H$1002,Ledger!$B$3:$B$1002,$A107))</f>
        <v/>
      </c>
      <c r="C107" s="24">
        <f>IF($A107="","",SUMIFS(Ledger!$I$3:$I$1002,Ledger!$B$3:$B$1002,$A107))</f>
        <v/>
      </c>
      <c r="D107" s="24">
        <f>IF($A107="","",IFERROR(XLOOKUP($A107,Customers!$A:$A,Customers!$F:$F),0))</f>
        <v/>
      </c>
      <c r="E107" s="24">
        <f>IF($A107="","",$B107+$D107-$C107)</f>
        <v/>
      </c>
      <c r="F107" s="24">
        <f>IF($A107="","",SUMIFS(Ledger!$F$3:$F$1002,Ledger!$B$3:$B$1002,$A107,Ledger!$C$3:$C$1002,"Issue"))</f>
        <v/>
      </c>
      <c r="G107" s="24">
        <f>IF($A107="","",SUMIFS(Ledger!$F$3:$F$1002,Ledger!$B$3:$B$1002,$A107,Ledger!$C$3:$C$1002,"Issue")-SUMIFS(Ledger!$F$3:$F$1002,Ledger!$B$3:$B$1002,$A107,Ledger!$C$3:$C$1002,"Return"))</f>
        <v/>
      </c>
    </row>
    <row r="108">
      <c r="A108" s="4">
        <f>IF(Customers!A108="","",Customers!A108)</f>
        <v/>
      </c>
      <c r="B108" s="24">
        <f>IF($A108="","",SUMIFS(Ledger!$H$3:$H$1002,Ledger!$B$3:$B$1002,$A108))</f>
        <v/>
      </c>
      <c r="C108" s="24">
        <f>IF($A108="","",SUMIFS(Ledger!$I$3:$I$1002,Ledger!$B$3:$B$1002,$A108))</f>
        <v/>
      </c>
      <c r="D108" s="24">
        <f>IF($A108="","",IFERROR(XLOOKUP($A108,Customers!$A:$A,Customers!$F:$F),0))</f>
        <v/>
      </c>
      <c r="E108" s="24">
        <f>IF($A108="","",$B108+$D108-$C108)</f>
        <v/>
      </c>
      <c r="F108" s="24">
        <f>IF($A108="","",SUMIFS(Ledger!$F$3:$F$1002,Ledger!$B$3:$B$1002,$A108,Ledger!$C$3:$C$1002,"Issue"))</f>
        <v/>
      </c>
      <c r="G108" s="24">
        <f>IF($A108="","",SUMIFS(Ledger!$F$3:$F$1002,Ledger!$B$3:$B$1002,$A108,Ledger!$C$3:$C$1002,"Issue")-SUMIFS(Ledger!$F$3:$F$1002,Ledger!$B$3:$B$1002,$A108,Ledger!$C$3:$C$1002,"Return"))</f>
        <v/>
      </c>
    </row>
    <row r="109">
      <c r="A109" s="4">
        <f>IF(Customers!A109="","",Customers!A109)</f>
        <v/>
      </c>
      <c r="B109" s="24">
        <f>IF($A109="","",SUMIFS(Ledger!$H$3:$H$1002,Ledger!$B$3:$B$1002,$A109))</f>
        <v/>
      </c>
      <c r="C109" s="24">
        <f>IF($A109="","",SUMIFS(Ledger!$I$3:$I$1002,Ledger!$B$3:$B$1002,$A109))</f>
        <v/>
      </c>
      <c r="D109" s="24">
        <f>IF($A109="","",IFERROR(XLOOKUP($A109,Customers!$A:$A,Customers!$F:$F),0))</f>
        <v/>
      </c>
      <c r="E109" s="24">
        <f>IF($A109="","",$B109+$D109-$C109)</f>
        <v/>
      </c>
      <c r="F109" s="24">
        <f>IF($A109="","",SUMIFS(Ledger!$F$3:$F$1002,Ledger!$B$3:$B$1002,$A109,Ledger!$C$3:$C$1002,"Issue"))</f>
        <v/>
      </c>
      <c r="G109" s="24">
        <f>IF($A109="","",SUMIFS(Ledger!$F$3:$F$1002,Ledger!$B$3:$B$1002,$A109,Ledger!$C$3:$C$1002,"Issue")-SUMIFS(Ledger!$F$3:$F$1002,Ledger!$B$3:$B$1002,$A109,Ledger!$C$3:$C$1002,"Return"))</f>
        <v/>
      </c>
    </row>
    <row r="110">
      <c r="A110" s="4">
        <f>IF(Customers!A110="","",Customers!A110)</f>
        <v/>
      </c>
      <c r="B110" s="24">
        <f>IF($A110="","",SUMIFS(Ledger!$H$3:$H$1002,Ledger!$B$3:$B$1002,$A110))</f>
        <v/>
      </c>
      <c r="C110" s="24">
        <f>IF($A110="","",SUMIFS(Ledger!$I$3:$I$1002,Ledger!$B$3:$B$1002,$A110))</f>
        <v/>
      </c>
      <c r="D110" s="24">
        <f>IF($A110="","",IFERROR(XLOOKUP($A110,Customers!$A:$A,Customers!$F:$F),0))</f>
        <v/>
      </c>
      <c r="E110" s="24">
        <f>IF($A110="","",$B110+$D110-$C110)</f>
        <v/>
      </c>
      <c r="F110" s="24">
        <f>IF($A110="","",SUMIFS(Ledger!$F$3:$F$1002,Ledger!$B$3:$B$1002,$A110,Ledger!$C$3:$C$1002,"Issue"))</f>
        <v/>
      </c>
      <c r="G110" s="24">
        <f>IF($A110="","",SUMIFS(Ledger!$F$3:$F$1002,Ledger!$B$3:$B$1002,$A110,Ledger!$C$3:$C$1002,"Issue")-SUMIFS(Ledger!$F$3:$F$1002,Ledger!$B$3:$B$1002,$A110,Ledger!$C$3:$C$1002,"Return"))</f>
        <v/>
      </c>
    </row>
    <row r="111">
      <c r="A111" s="4">
        <f>IF(Customers!A111="","",Customers!A111)</f>
        <v/>
      </c>
      <c r="B111" s="24">
        <f>IF($A111="","",SUMIFS(Ledger!$H$3:$H$1002,Ledger!$B$3:$B$1002,$A111))</f>
        <v/>
      </c>
      <c r="C111" s="24">
        <f>IF($A111="","",SUMIFS(Ledger!$I$3:$I$1002,Ledger!$B$3:$B$1002,$A111))</f>
        <v/>
      </c>
      <c r="D111" s="24">
        <f>IF($A111="","",IFERROR(XLOOKUP($A111,Customers!$A:$A,Customers!$F:$F),0))</f>
        <v/>
      </c>
      <c r="E111" s="24">
        <f>IF($A111="","",$B111+$D111-$C111)</f>
        <v/>
      </c>
      <c r="F111" s="24">
        <f>IF($A111="","",SUMIFS(Ledger!$F$3:$F$1002,Ledger!$B$3:$B$1002,$A111,Ledger!$C$3:$C$1002,"Issue"))</f>
        <v/>
      </c>
      <c r="G111" s="24">
        <f>IF($A111="","",SUMIFS(Ledger!$F$3:$F$1002,Ledger!$B$3:$B$1002,$A111,Ledger!$C$3:$C$1002,"Issue")-SUMIFS(Ledger!$F$3:$F$1002,Ledger!$B$3:$B$1002,$A111,Ledger!$C$3:$C$1002,"Return"))</f>
        <v/>
      </c>
    </row>
    <row r="112">
      <c r="A112" s="4">
        <f>IF(Customers!A112="","",Customers!A112)</f>
        <v/>
      </c>
      <c r="B112" s="24">
        <f>IF($A112="","",SUMIFS(Ledger!$H$3:$H$1002,Ledger!$B$3:$B$1002,$A112))</f>
        <v/>
      </c>
      <c r="C112" s="24">
        <f>IF($A112="","",SUMIFS(Ledger!$I$3:$I$1002,Ledger!$B$3:$B$1002,$A112))</f>
        <v/>
      </c>
      <c r="D112" s="24">
        <f>IF($A112="","",IFERROR(XLOOKUP($A112,Customers!$A:$A,Customers!$F:$F),0))</f>
        <v/>
      </c>
      <c r="E112" s="24">
        <f>IF($A112="","",$B112+$D112-$C112)</f>
        <v/>
      </c>
      <c r="F112" s="24">
        <f>IF($A112="","",SUMIFS(Ledger!$F$3:$F$1002,Ledger!$B$3:$B$1002,$A112,Ledger!$C$3:$C$1002,"Issue"))</f>
        <v/>
      </c>
      <c r="G112" s="24">
        <f>IF($A112="","",SUMIFS(Ledger!$F$3:$F$1002,Ledger!$B$3:$B$1002,$A112,Ledger!$C$3:$C$1002,"Issue")-SUMIFS(Ledger!$F$3:$F$1002,Ledger!$B$3:$B$1002,$A112,Ledger!$C$3:$C$1002,"Return"))</f>
        <v/>
      </c>
    </row>
    <row r="113">
      <c r="A113" s="4">
        <f>IF(Customers!A113="","",Customers!A113)</f>
        <v/>
      </c>
      <c r="B113" s="24">
        <f>IF($A113="","",SUMIFS(Ledger!$H$3:$H$1002,Ledger!$B$3:$B$1002,$A113))</f>
        <v/>
      </c>
      <c r="C113" s="24">
        <f>IF($A113="","",SUMIFS(Ledger!$I$3:$I$1002,Ledger!$B$3:$B$1002,$A113))</f>
        <v/>
      </c>
      <c r="D113" s="24">
        <f>IF($A113="","",IFERROR(XLOOKUP($A113,Customers!$A:$A,Customers!$F:$F),0))</f>
        <v/>
      </c>
      <c r="E113" s="24">
        <f>IF($A113="","",$B113+$D113-$C113)</f>
        <v/>
      </c>
      <c r="F113" s="24">
        <f>IF($A113="","",SUMIFS(Ledger!$F$3:$F$1002,Ledger!$B$3:$B$1002,$A113,Ledger!$C$3:$C$1002,"Issue"))</f>
        <v/>
      </c>
      <c r="G113" s="24">
        <f>IF($A113="","",SUMIFS(Ledger!$F$3:$F$1002,Ledger!$B$3:$B$1002,$A113,Ledger!$C$3:$C$1002,"Issue")-SUMIFS(Ledger!$F$3:$F$1002,Ledger!$B$3:$B$1002,$A113,Ledger!$C$3:$C$1002,"Return"))</f>
        <v/>
      </c>
    </row>
    <row r="114">
      <c r="A114" s="4">
        <f>IF(Customers!A114="","",Customers!A114)</f>
        <v/>
      </c>
      <c r="B114" s="24">
        <f>IF($A114="","",SUMIFS(Ledger!$H$3:$H$1002,Ledger!$B$3:$B$1002,$A114))</f>
        <v/>
      </c>
      <c r="C114" s="24">
        <f>IF($A114="","",SUMIFS(Ledger!$I$3:$I$1002,Ledger!$B$3:$B$1002,$A114))</f>
        <v/>
      </c>
      <c r="D114" s="24">
        <f>IF($A114="","",IFERROR(XLOOKUP($A114,Customers!$A:$A,Customers!$F:$F),0))</f>
        <v/>
      </c>
      <c r="E114" s="24">
        <f>IF($A114="","",$B114+$D114-$C114)</f>
        <v/>
      </c>
      <c r="F114" s="24">
        <f>IF($A114="","",SUMIFS(Ledger!$F$3:$F$1002,Ledger!$B$3:$B$1002,$A114,Ledger!$C$3:$C$1002,"Issue"))</f>
        <v/>
      </c>
      <c r="G114" s="24">
        <f>IF($A114="","",SUMIFS(Ledger!$F$3:$F$1002,Ledger!$B$3:$B$1002,$A114,Ledger!$C$3:$C$1002,"Issue")-SUMIFS(Ledger!$F$3:$F$1002,Ledger!$B$3:$B$1002,$A114,Ledger!$C$3:$C$1002,"Return"))</f>
        <v/>
      </c>
    </row>
    <row r="115">
      <c r="A115" s="4">
        <f>IF(Customers!A115="","",Customers!A115)</f>
        <v/>
      </c>
      <c r="B115" s="24">
        <f>IF($A115="","",SUMIFS(Ledger!$H$3:$H$1002,Ledger!$B$3:$B$1002,$A115))</f>
        <v/>
      </c>
      <c r="C115" s="24">
        <f>IF($A115="","",SUMIFS(Ledger!$I$3:$I$1002,Ledger!$B$3:$B$1002,$A115))</f>
        <v/>
      </c>
      <c r="D115" s="24">
        <f>IF($A115="","",IFERROR(XLOOKUP($A115,Customers!$A:$A,Customers!$F:$F),0))</f>
        <v/>
      </c>
      <c r="E115" s="24">
        <f>IF($A115="","",$B115+$D115-$C115)</f>
        <v/>
      </c>
      <c r="F115" s="24">
        <f>IF($A115="","",SUMIFS(Ledger!$F$3:$F$1002,Ledger!$B$3:$B$1002,$A115,Ledger!$C$3:$C$1002,"Issue"))</f>
        <v/>
      </c>
      <c r="G115" s="24">
        <f>IF($A115="","",SUMIFS(Ledger!$F$3:$F$1002,Ledger!$B$3:$B$1002,$A115,Ledger!$C$3:$C$1002,"Issue")-SUMIFS(Ledger!$F$3:$F$1002,Ledger!$B$3:$B$1002,$A115,Ledger!$C$3:$C$1002,"Return"))</f>
        <v/>
      </c>
    </row>
    <row r="116">
      <c r="A116" s="4">
        <f>IF(Customers!A116="","",Customers!A116)</f>
        <v/>
      </c>
      <c r="B116" s="24">
        <f>IF($A116="","",SUMIFS(Ledger!$H$3:$H$1002,Ledger!$B$3:$B$1002,$A116))</f>
        <v/>
      </c>
      <c r="C116" s="24">
        <f>IF($A116="","",SUMIFS(Ledger!$I$3:$I$1002,Ledger!$B$3:$B$1002,$A116))</f>
        <v/>
      </c>
      <c r="D116" s="24">
        <f>IF($A116="","",IFERROR(XLOOKUP($A116,Customers!$A:$A,Customers!$F:$F),0))</f>
        <v/>
      </c>
      <c r="E116" s="24">
        <f>IF($A116="","",$B116+$D116-$C116)</f>
        <v/>
      </c>
      <c r="F116" s="24">
        <f>IF($A116="","",SUMIFS(Ledger!$F$3:$F$1002,Ledger!$B$3:$B$1002,$A116,Ledger!$C$3:$C$1002,"Issue"))</f>
        <v/>
      </c>
      <c r="G116" s="24">
        <f>IF($A116="","",SUMIFS(Ledger!$F$3:$F$1002,Ledger!$B$3:$B$1002,$A116,Ledger!$C$3:$C$1002,"Issue")-SUMIFS(Ledger!$F$3:$F$1002,Ledger!$B$3:$B$1002,$A116,Ledger!$C$3:$C$1002,"Return"))</f>
        <v/>
      </c>
    </row>
    <row r="117">
      <c r="A117" s="4">
        <f>IF(Customers!A117="","",Customers!A117)</f>
        <v/>
      </c>
      <c r="B117" s="24">
        <f>IF($A117="","",SUMIFS(Ledger!$H$3:$H$1002,Ledger!$B$3:$B$1002,$A117))</f>
        <v/>
      </c>
      <c r="C117" s="24">
        <f>IF($A117="","",SUMIFS(Ledger!$I$3:$I$1002,Ledger!$B$3:$B$1002,$A117))</f>
        <v/>
      </c>
      <c r="D117" s="24">
        <f>IF($A117="","",IFERROR(XLOOKUP($A117,Customers!$A:$A,Customers!$F:$F),0))</f>
        <v/>
      </c>
      <c r="E117" s="24">
        <f>IF($A117="","",$B117+$D117-$C117)</f>
        <v/>
      </c>
      <c r="F117" s="24">
        <f>IF($A117="","",SUMIFS(Ledger!$F$3:$F$1002,Ledger!$B$3:$B$1002,$A117,Ledger!$C$3:$C$1002,"Issue"))</f>
        <v/>
      </c>
      <c r="G117" s="24">
        <f>IF($A117="","",SUMIFS(Ledger!$F$3:$F$1002,Ledger!$B$3:$B$1002,$A117,Ledger!$C$3:$C$1002,"Issue")-SUMIFS(Ledger!$F$3:$F$1002,Ledger!$B$3:$B$1002,$A117,Ledger!$C$3:$C$1002,"Return"))</f>
        <v/>
      </c>
    </row>
    <row r="118">
      <c r="A118" s="4">
        <f>IF(Customers!A118="","",Customers!A118)</f>
        <v/>
      </c>
      <c r="B118" s="24">
        <f>IF($A118="","",SUMIFS(Ledger!$H$3:$H$1002,Ledger!$B$3:$B$1002,$A118))</f>
        <v/>
      </c>
      <c r="C118" s="24">
        <f>IF($A118="","",SUMIFS(Ledger!$I$3:$I$1002,Ledger!$B$3:$B$1002,$A118))</f>
        <v/>
      </c>
      <c r="D118" s="24">
        <f>IF($A118="","",IFERROR(XLOOKUP($A118,Customers!$A:$A,Customers!$F:$F),0))</f>
        <v/>
      </c>
      <c r="E118" s="24">
        <f>IF($A118="","",$B118+$D118-$C118)</f>
        <v/>
      </c>
      <c r="F118" s="24">
        <f>IF($A118="","",SUMIFS(Ledger!$F$3:$F$1002,Ledger!$B$3:$B$1002,$A118,Ledger!$C$3:$C$1002,"Issue"))</f>
        <v/>
      </c>
      <c r="G118" s="24">
        <f>IF($A118="","",SUMIFS(Ledger!$F$3:$F$1002,Ledger!$B$3:$B$1002,$A118,Ledger!$C$3:$C$1002,"Issue")-SUMIFS(Ledger!$F$3:$F$1002,Ledger!$B$3:$B$1002,$A118,Ledger!$C$3:$C$1002,"Return"))</f>
        <v/>
      </c>
    </row>
    <row r="119">
      <c r="A119" s="4">
        <f>IF(Customers!A119="","",Customers!A119)</f>
        <v/>
      </c>
      <c r="B119" s="24">
        <f>IF($A119="","",SUMIFS(Ledger!$H$3:$H$1002,Ledger!$B$3:$B$1002,$A119))</f>
        <v/>
      </c>
      <c r="C119" s="24">
        <f>IF($A119="","",SUMIFS(Ledger!$I$3:$I$1002,Ledger!$B$3:$B$1002,$A119))</f>
        <v/>
      </c>
      <c r="D119" s="24">
        <f>IF($A119="","",IFERROR(XLOOKUP($A119,Customers!$A:$A,Customers!$F:$F),0))</f>
        <v/>
      </c>
      <c r="E119" s="24">
        <f>IF($A119="","",$B119+$D119-$C119)</f>
        <v/>
      </c>
      <c r="F119" s="24">
        <f>IF($A119="","",SUMIFS(Ledger!$F$3:$F$1002,Ledger!$B$3:$B$1002,$A119,Ledger!$C$3:$C$1002,"Issue"))</f>
        <v/>
      </c>
      <c r="G119" s="24">
        <f>IF($A119="","",SUMIFS(Ledger!$F$3:$F$1002,Ledger!$B$3:$B$1002,$A119,Ledger!$C$3:$C$1002,"Issue")-SUMIFS(Ledger!$F$3:$F$1002,Ledger!$B$3:$B$1002,$A119,Ledger!$C$3:$C$1002,"Return"))</f>
        <v/>
      </c>
    </row>
    <row r="120">
      <c r="A120" s="4">
        <f>IF(Customers!A120="","",Customers!A120)</f>
        <v/>
      </c>
      <c r="B120" s="24">
        <f>IF($A120="","",SUMIFS(Ledger!$H$3:$H$1002,Ledger!$B$3:$B$1002,$A120))</f>
        <v/>
      </c>
      <c r="C120" s="24">
        <f>IF($A120="","",SUMIFS(Ledger!$I$3:$I$1002,Ledger!$B$3:$B$1002,$A120))</f>
        <v/>
      </c>
      <c r="D120" s="24">
        <f>IF($A120="","",IFERROR(XLOOKUP($A120,Customers!$A:$A,Customers!$F:$F),0))</f>
        <v/>
      </c>
      <c r="E120" s="24">
        <f>IF($A120="","",$B120+$D120-$C120)</f>
        <v/>
      </c>
      <c r="F120" s="24">
        <f>IF($A120="","",SUMIFS(Ledger!$F$3:$F$1002,Ledger!$B$3:$B$1002,$A120,Ledger!$C$3:$C$1002,"Issue"))</f>
        <v/>
      </c>
      <c r="G120" s="24">
        <f>IF($A120="","",SUMIFS(Ledger!$F$3:$F$1002,Ledger!$B$3:$B$1002,$A120,Ledger!$C$3:$C$1002,"Issue")-SUMIFS(Ledger!$F$3:$F$1002,Ledger!$B$3:$B$1002,$A120,Ledger!$C$3:$C$1002,"Return"))</f>
        <v/>
      </c>
    </row>
    <row r="121">
      <c r="A121" s="4">
        <f>IF(Customers!A121="","",Customers!A121)</f>
        <v/>
      </c>
      <c r="B121" s="24">
        <f>IF($A121="","",SUMIFS(Ledger!$H$3:$H$1002,Ledger!$B$3:$B$1002,$A121))</f>
        <v/>
      </c>
      <c r="C121" s="24">
        <f>IF($A121="","",SUMIFS(Ledger!$I$3:$I$1002,Ledger!$B$3:$B$1002,$A121))</f>
        <v/>
      </c>
      <c r="D121" s="24">
        <f>IF($A121="","",IFERROR(XLOOKUP($A121,Customers!$A:$A,Customers!$F:$F),0))</f>
        <v/>
      </c>
      <c r="E121" s="24">
        <f>IF($A121="","",$B121+$D121-$C121)</f>
        <v/>
      </c>
      <c r="F121" s="24">
        <f>IF($A121="","",SUMIFS(Ledger!$F$3:$F$1002,Ledger!$B$3:$B$1002,$A121,Ledger!$C$3:$C$1002,"Issue"))</f>
        <v/>
      </c>
      <c r="G121" s="24">
        <f>IF($A121="","",SUMIFS(Ledger!$F$3:$F$1002,Ledger!$B$3:$B$1002,$A121,Ledger!$C$3:$C$1002,"Issue")-SUMIFS(Ledger!$F$3:$F$1002,Ledger!$B$3:$B$1002,$A121,Ledger!$C$3:$C$1002,"Return"))</f>
        <v/>
      </c>
    </row>
    <row r="122">
      <c r="A122" s="4">
        <f>IF(Customers!A122="","",Customers!A122)</f>
        <v/>
      </c>
      <c r="B122" s="24">
        <f>IF($A122="","",SUMIFS(Ledger!$H$3:$H$1002,Ledger!$B$3:$B$1002,$A122))</f>
        <v/>
      </c>
      <c r="C122" s="24">
        <f>IF($A122="","",SUMIFS(Ledger!$I$3:$I$1002,Ledger!$B$3:$B$1002,$A122))</f>
        <v/>
      </c>
      <c r="D122" s="24">
        <f>IF($A122="","",IFERROR(XLOOKUP($A122,Customers!$A:$A,Customers!$F:$F),0))</f>
        <v/>
      </c>
      <c r="E122" s="24">
        <f>IF($A122="","",$B122+$D122-$C122)</f>
        <v/>
      </c>
      <c r="F122" s="24">
        <f>IF($A122="","",SUMIFS(Ledger!$F$3:$F$1002,Ledger!$B$3:$B$1002,$A122,Ledger!$C$3:$C$1002,"Issue"))</f>
        <v/>
      </c>
      <c r="G122" s="24">
        <f>IF($A122="","",SUMIFS(Ledger!$F$3:$F$1002,Ledger!$B$3:$B$1002,$A122,Ledger!$C$3:$C$1002,"Issue")-SUMIFS(Ledger!$F$3:$F$1002,Ledger!$B$3:$B$1002,$A122,Ledger!$C$3:$C$1002,"Return"))</f>
        <v/>
      </c>
    </row>
    <row r="123">
      <c r="A123" s="4">
        <f>IF(Customers!A123="","",Customers!A123)</f>
        <v/>
      </c>
      <c r="B123" s="24">
        <f>IF($A123="","",SUMIFS(Ledger!$H$3:$H$1002,Ledger!$B$3:$B$1002,$A123))</f>
        <v/>
      </c>
      <c r="C123" s="24">
        <f>IF($A123="","",SUMIFS(Ledger!$I$3:$I$1002,Ledger!$B$3:$B$1002,$A123))</f>
        <v/>
      </c>
      <c r="D123" s="24">
        <f>IF($A123="","",IFERROR(XLOOKUP($A123,Customers!$A:$A,Customers!$F:$F),0))</f>
        <v/>
      </c>
      <c r="E123" s="24">
        <f>IF($A123="","",$B123+$D123-$C123)</f>
        <v/>
      </c>
      <c r="F123" s="24">
        <f>IF($A123="","",SUMIFS(Ledger!$F$3:$F$1002,Ledger!$B$3:$B$1002,$A123,Ledger!$C$3:$C$1002,"Issue"))</f>
        <v/>
      </c>
      <c r="G123" s="24">
        <f>IF($A123="","",SUMIFS(Ledger!$F$3:$F$1002,Ledger!$B$3:$B$1002,$A123,Ledger!$C$3:$C$1002,"Issue")-SUMIFS(Ledger!$F$3:$F$1002,Ledger!$B$3:$B$1002,$A123,Ledger!$C$3:$C$1002,"Return"))</f>
        <v/>
      </c>
    </row>
    <row r="124">
      <c r="A124" s="4">
        <f>IF(Customers!A124="","",Customers!A124)</f>
        <v/>
      </c>
      <c r="B124" s="24">
        <f>IF($A124="","",SUMIFS(Ledger!$H$3:$H$1002,Ledger!$B$3:$B$1002,$A124))</f>
        <v/>
      </c>
      <c r="C124" s="24">
        <f>IF($A124="","",SUMIFS(Ledger!$I$3:$I$1002,Ledger!$B$3:$B$1002,$A124))</f>
        <v/>
      </c>
      <c r="D124" s="24">
        <f>IF($A124="","",IFERROR(XLOOKUP($A124,Customers!$A:$A,Customers!$F:$F),0))</f>
        <v/>
      </c>
      <c r="E124" s="24">
        <f>IF($A124="","",$B124+$D124-$C124)</f>
        <v/>
      </c>
      <c r="F124" s="24">
        <f>IF($A124="","",SUMIFS(Ledger!$F$3:$F$1002,Ledger!$B$3:$B$1002,$A124,Ledger!$C$3:$C$1002,"Issue"))</f>
        <v/>
      </c>
      <c r="G124" s="24">
        <f>IF($A124="","",SUMIFS(Ledger!$F$3:$F$1002,Ledger!$B$3:$B$1002,$A124,Ledger!$C$3:$C$1002,"Issue")-SUMIFS(Ledger!$F$3:$F$1002,Ledger!$B$3:$B$1002,$A124,Ledger!$C$3:$C$1002,"Return"))</f>
        <v/>
      </c>
    </row>
    <row r="125">
      <c r="A125" s="4">
        <f>IF(Customers!A125="","",Customers!A125)</f>
        <v/>
      </c>
      <c r="B125" s="24">
        <f>IF($A125="","",SUMIFS(Ledger!$H$3:$H$1002,Ledger!$B$3:$B$1002,$A125))</f>
        <v/>
      </c>
      <c r="C125" s="24">
        <f>IF($A125="","",SUMIFS(Ledger!$I$3:$I$1002,Ledger!$B$3:$B$1002,$A125))</f>
        <v/>
      </c>
      <c r="D125" s="24">
        <f>IF($A125="","",IFERROR(XLOOKUP($A125,Customers!$A:$A,Customers!$F:$F),0))</f>
        <v/>
      </c>
      <c r="E125" s="24">
        <f>IF($A125="","",$B125+$D125-$C125)</f>
        <v/>
      </c>
      <c r="F125" s="24">
        <f>IF($A125="","",SUMIFS(Ledger!$F$3:$F$1002,Ledger!$B$3:$B$1002,$A125,Ledger!$C$3:$C$1002,"Issue"))</f>
        <v/>
      </c>
      <c r="G125" s="24">
        <f>IF($A125="","",SUMIFS(Ledger!$F$3:$F$1002,Ledger!$B$3:$B$1002,$A125,Ledger!$C$3:$C$1002,"Issue")-SUMIFS(Ledger!$F$3:$F$1002,Ledger!$B$3:$B$1002,$A125,Ledger!$C$3:$C$1002,"Return"))</f>
        <v/>
      </c>
    </row>
    <row r="126">
      <c r="A126" s="4">
        <f>IF(Customers!A126="","",Customers!A126)</f>
        <v/>
      </c>
      <c r="B126" s="24">
        <f>IF($A126="","",SUMIFS(Ledger!$H$3:$H$1002,Ledger!$B$3:$B$1002,$A126))</f>
        <v/>
      </c>
      <c r="C126" s="24">
        <f>IF($A126="","",SUMIFS(Ledger!$I$3:$I$1002,Ledger!$B$3:$B$1002,$A126))</f>
        <v/>
      </c>
      <c r="D126" s="24">
        <f>IF($A126="","",IFERROR(XLOOKUP($A126,Customers!$A:$A,Customers!$F:$F),0))</f>
        <v/>
      </c>
      <c r="E126" s="24">
        <f>IF($A126="","",$B126+$D126-$C126)</f>
        <v/>
      </c>
      <c r="F126" s="24">
        <f>IF($A126="","",SUMIFS(Ledger!$F$3:$F$1002,Ledger!$B$3:$B$1002,$A126,Ledger!$C$3:$C$1002,"Issue"))</f>
        <v/>
      </c>
      <c r="G126" s="24">
        <f>IF($A126="","",SUMIFS(Ledger!$F$3:$F$1002,Ledger!$B$3:$B$1002,$A126,Ledger!$C$3:$C$1002,"Issue")-SUMIFS(Ledger!$F$3:$F$1002,Ledger!$B$3:$B$1002,$A126,Ledger!$C$3:$C$1002,"Return"))</f>
        <v/>
      </c>
    </row>
    <row r="127">
      <c r="A127" s="4">
        <f>IF(Customers!A127="","",Customers!A127)</f>
        <v/>
      </c>
      <c r="B127" s="24">
        <f>IF($A127="","",SUMIFS(Ledger!$H$3:$H$1002,Ledger!$B$3:$B$1002,$A127))</f>
        <v/>
      </c>
      <c r="C127" s="24">
        <f>IF($A127="","",SUMIFS(Ledger!$I$3:$I$1002,Ledger!$B$3:$B$1002,$A127))</f>
        <v/>
      </c>
      <c r="D127" s="24">
        <f>IF($A127="","",IFERROR(XLOOKUP($A127,Customers!$A:$A,Customers!$F:$F),0))</f>
        <v/>
      </c>
      <c r="E127" s="24">
        <f>IF($A127="","",$B127+$D127-$C127)</f>
        <v/>
      </c>
      <c r="F127" s="24">
        <f>IF($A127="","",SUMIFS(Ledger!$F$3:$F$1002,Ledger!$B$3:$B$1002,$A127,Ledger!$C$3:$C$1002,"Issue"))</f>
        <v/>
      </c>
      <c r="G127" s="24">
        <f>IF($A127="","",SUMIFS(Ledger!$F$3:$F$1002,Ledger!$B$3:$B$1002,$A127,Ledger!$C$3:$C$1002,"Issue")-SUMIFS(Ledger!$F$3:$F$1002,Ledger!$B$3:$B$1002,$A127,Ledger!$C$3:$C$1002,"Return"))</f>
        <v/>
      </c>
    </row>
    <row r="128">
      <c r="A128" s="4">
        <f>IF(Customers!A128="","",Customers!A128)</f>
        <v/>
      </c>
      <c r="B128" s="24">
        <f>IF($A128="","",SUMIFS(Ledger!$H$3:$H$1002,Ledger!$B$3:$B$1002,$A128))</f>
        <v/>
      </c>
      <c r="C128" s="24">
        <f>IF($A128="","",SUMIFS(Ledger!$I$3:$I$1002,Ledger!$B$3:$B$1002,$A128))</f>
        <v/>
      </c>
      <c r="D128" s="24">
        <f>IF($A128="","",IFERROR(XLOOKUP($A128,Customers!$A:$A,Customers!$F:$F),0))</f>
        <v/>
      </c>
      <c r="E128" s="24">
        <f>IF($A128="","",$B128+$D128-$C128)</f>
        <v/>
      </c>
      <c r="F128" s="24">
        <f>IF($A128="","",SUMIFS(Ledger!$F$3:$F$1002,Ledger!$B$3:$B$1002,$A128,Ledger!$C$3:$C$1002,"Issue"))</f>
        <v/>
      </c>
      <c r="G128" s="24">
        <f>IF($A128="","",SUMIFS(Ledger!$F$3:$F$1002,Ledger!$B$3:$B$1002,$A128,Ledger!$C$3:$C$1002,"Issue")-SUMIFS(Ledger!$F$3:$F$1002,Ledger!$B$3:$B$1002,$A128,Ledger!$C$3:$C$1002,"Return"))</f>
        <v/>
      </c>
    </row>
    <row r="129">
      <c r="A129" s="4">
        <f>IF(Customers!A129="","",Customers!A129)</f>
        <v/>
      </c>
      <c r="B129" s="24">
        <f>IF($A129="","",SUMIFS(Ledger!$H$3:$H$1002,Ledger!$B$3:$B$1002,$A129))</f>
        <v/>
      </c>
      <c r="C129" s="24">
        <f>IF($A129="","",SUMIFS(Ledger!$I$3:$I$1002,Ledger!$B$3:$B$1002,$A129))</f>
        <v/>
      </c>
      <c r="D129" s="24">
        <f>IF($A129="","",IFERROR(XLOOKUP($A129,Customers!$A:$A,Customers!$F:$F),0))</f>
        <v/>
      </c>
      <c r="E129" s="24">
        <f>IF($A129="","",$B129+$D129-$C129)</f>
        <v/>
      </c>
      <c r="F129" s="24">
        <f>IF($A129="","",SUMIFS(Ledger!$F$3:$F$1002,Ledger!$B$3:$B$1002,$A129,Ledger!$C$3:$C$1002,"Issue"))</f>
        <v/>
      </c>
      <c r="G129" s="24">
        <f>IF($A129="","",SUMIFS(Ledger!$F$3:$F$1002,Ledger!$B$3:$B$1002,$A129,Ledger!$C$3:$C$1002,"Issue")-SUMIFS(Ledger!$F$3:$F$1002,Ledger!$B$3:$B$1002,$A129,Ledger!$C$3:$C$1002,"Return"))</f>
        <v/>
      </c>
    </row>
    <row r="130">
      <c r="A130" s="4">
        <f>IF(Customers!A130="","",Customers!A130)</f>
        <v/>
      </c>
      <c r="B130" s="24">
        <f>IF($A130="","",SUMIFS(Ledger!$H$3:$H$1002,Ledger!$B$3:$B$1002,$A130))</f>
        <v/>
      </c>
      <c r="C130" s="24">
        <f>IF($A130="","",SUMIFS(Ledger!$I$3:$I$1002,Ledger!$B$3:$B$1002,$A130))</f>
        <v/>
      </c>
      <c r="D130" s="24">
        <f>IF($A130="","",IFERROR(XLOOKUP($A130,Customers!$A:$A,Customers!$F:$F),0))</f>
        <v/>
      </c>
      <c r="E130" s="24">
        <f>IF($A130="","",$B130+$D130-$C130)</f>
        <v/>
      </c>
      <c r="F130" s="24">
        <f>IF($A130="","",SUMIFS(Ledger!$F$3:$F$1002,Ledger!$B$3:$B$1002,$A130,Ledger!$C$3:$C$1002,"Issue"))</f>
        <v/>
      </c>
      <c r="G130" s="24">
        <f>IF($A130="","",SUMIFS(Ledger!$F$3:$F$1002,Ledger!$B$3:$B$1002,$A130,Ledger!$C$3:$C$1002,"Issue")-SUMIFS(Ledger!$F$3:$F$1002,Ledger!$B$3:$B$1002,$A130,Ledger!$C$3:$C$1002,"Return"))</f>
        <v/>
      </c>
    </row>
    <row r="131">
      <c r="A131" s="4">
        <f>IF(Customers!A131="","",Customers!A131)</f>
        <v/>
      </c>
      <c r="B131" s="24">
        <f>IF($A131="","",SUMIFS(Ledger!$H$3:$H$1002,Ledger!$B$3:$B$1002,$A131))</f>
        <v/>
      </c>
      <c r="C131" s="24">
        <f>IF($A131="","",SUMIFS(Ledger!$I$3:$I$1002,Ledger!$B$3:$B$1002,$A131))</f>
        <v/>
      </c>
      <c r="D131" s="24">
        <f>IF($A131="","",IFERROR(XLOOKUP($A131,Customers!$A:$A,Customers!$F:$F),0))</f>
        <v/>
      </c>
      <c r="E131" s="24">
        <f>IF($A131="","",$B131+$D131-$C131)</f>
        <v/>
      </c>
      <c r="F131" s="24">
        <f>IF($A131="","",SUMIFS(Ledger!$F$3:$F$1002,Ledger!$B$3:$B$1002,$A131,Ledger!$C$3:$C$1002,"Issue"))</f>
        <v/>
      </c>
      <c r="G131" s="24">
        <f>IF($A131="","",SUMIFS(Ledger!$F$3:$F$1002,Ledger!$B$3:$B$1002,$A131,Ledger!$C$3:$C$1002,"Issue")-SUMIFS(Ledger!$F$3:$F$1002,Ledger!$B$3:$B$1002,$A131,Ledger!$C$3:$C$1002,"Return"))</f>
        <v/>
      </c>
    </row>
    <row r="132">
      <c r="A132" s="4">
        <f>IF(Customers!A132="","",Customers!A132)</f>
        <v/>
      </c>
      <c r="B132" s="24">
        <f>IF($A132="","",SUMIFS(Ledger!$H$3:$H$1002,Ledger!$B$3:$B$1002,$A132))</f>
        <v/>
      </c>
      <c r="C132" s="24">
        <f>IF($A132="","",SUMIFS(Ledger!$I$3:$I$1002,Ledger!$B$3:$B$1002,$A132))</f>
        <v/>
      </c>
      <c r="D132" s="24">
        <f>IF($A132="","",IFERROR(XLOOKUP($A132,Customers!$A:$A,Customers!$F:$F),0))</f>
        <v/>
      </c>
      <c r="E132" s="24">
        <f>IF($A132="","",$B132+$D132-$C132)</f>
        <v/>
      </c>
      <c r="F132" s="24">
        <f>IF($A132="","",SUMIFS(Ledger!$F$3:$F$1002,Ledger!$B$3:$B$1002,$A132,Ledger!$C$3:$C$1002,"Issue"))</f>
        <v/>
      </c>
      <c r="G132" s="24">
        <f>IF($A132="","",SUMIFS(Ledger!$F$3:$F$1002,Ledger!$B$3:$B$1002,$A132,Ledger!$C$3:$C$1002,"Issue")-SUMIFS(Ledger!$F$3:$F$1002,Ledger!$B$3:$B$1002,$A132,Ledger!$C$3:$C$1002,"Return"))</f>
        <v/>
      </c>
    </row>
    <row r="133">
      <c r="A133" s="4">
        <f>IF(Customers!A133="","",Customers!A133)</f>
        <v/>
      </c>
      <c r="B133" s="24">
        <f>IF($A133="","",SUMIFS(Ledger!$H$3:$H$1002,Ledger!$B$3:$B$1002,$A133))</f>
        <v/>
      </c>
      <c r="C133" s="24">
        <f>IF($A133="","",SUMIFS(Ledger!$I$3:$I$1002,Ledger!$B$3:$B$1002,$A133))</f>
        <v/>
      </c>
      <c r="D133" s="24">
        <f>IF($A133="","",IFERROR(XLOOKUP($A133,Customers!$A:$A,Customers!$F:$F),0))</f>
        <v/>
      </c>
      <c r="E133" s="24">
        <f>IF($A133="","",$B133+$D133-$C133)</f>
        <v/>
      </c>
      <c r="F133" s="24">
        <f>IF($A133="","",SUMIFS(Ledger!$F$3:$F$1002,Ledger!$B$3:$B$1002,$A133,Ledger!$C$3:$C$1002,"Issue"))</f>
        <v/>
      </c>
      <c r="G133" s="24">
        <f>IF($A133="","",SUMIFS(Ledger!$F$3:$F$1002,Ledger!$B$3:$B$1002,$A133,Ledger!$C$3:$C$1002,"Issue")-SUMIFS(Ledger!$F$3:$F$1002,Ledger!$B$3:$B$1002,$A133,Ledger!$C$3:$C$1002,"Return"))</f>
        <v/>
      </c>
    </row>
    <row r="134">
      <c r="A134" s="4">
        <f>IF(Customers!A134="","",Customers!A134)</f>
        <v/>
      </c>
      <c r="B134" s="24">
        <f>IF($A134="","",SUMIFS(Ledger!$H$3:$H$1002,Ledger!$B$3:$B$1002,$A134))</f>
        <v/>
      </c>
      <c r="C134" s="24">
        <f>IF($A134="","",SUMIFS(Ledger!$I$3:$I$1002,Ledger!$B$3:$B$1002,$A134))</f>
        <v/>
      </c>
      <c r="D134" s="24">
        <f>IF($A134="","",IFERROR(XLOOKUP($A134,Customers!$A:$A,Customers!$F:$F),0))</f>
        <v/>
      </c>
      <c r="E134" s="24">
        <f>IF($A134="","",$B134+$D134-$C134)</f>
        <v/>
      </c>
      <c r="F134" s="24">
        <f>IF($A134="","",SUMIFS(Ledger!$F$3:$F$1002,Ledger!$B$3:$B$1002,$A134,Ledger!$C$3:$C$1002,"Issue"))</f>
        <v/>
      </c>
      <c r="G134" s="24">
        <f>IF($A134="","",SUMIFS(Ledger!$F$3:$F$1002,Ledger!$B$3:$B$1002,$A134,Ledger!$C$3:$C$1002,"Issue")-SUMIFS(Ledger!$F$3:$F$1002,Ledger!$B$3:$B$1002,$A134,Ledger!$C$3:$C$1002,"Return"))</f>
        <v/>
      </c>
    </row>
    <row r="135">
      <c r="A135" s="4">
        <f>IF(Customers!A135="","",Customers!A135)</f>
        <v/>
      </c>
      <c r="B135" s="24">
        <f>IF($A135="","",SUMIFS(Ledger!$H$3:$H$1002,Ledger!$B$3:$B$1002,$A135))</f>
        <v/>
      </c>
      <c r="C135" s="24">
        <f>IF($A135="","",SUMIFS(Ledger!$I$3:$I$1002,Ledger!$B$3:$B$1002,$A135))</f>
        <v/>
      </c>
      <c r="D135" s="24">
        <f>IF($A135="","",IFERROR(XLOOKUP($A135,Customers!$A:$A,Customers!$F:$F),0))</f>
        <v/>
      </c>
      <c r="E135" s="24">
        <f>IF($A135="","",$B135+$D135-$C135)</f>
        <v/>
      </c>
      <c r="F135" s="24">
        <f>IF($A135="","",SUMIFS(Ledger!$F$3:$F$1002,Ledger!$B$3:$B$1002,$A135,Ledger!$C$3:$C$1002,"Issue"))</f>
        <v/>
      </c>
      <c r="G135" s="24">
        <f>IF($A135="","",SUMIFS(Ledger!$F$3:$F$1002,Ledger!$B$3:$B$1002,$A135,Ledger!$C$3:$C$1002,"Issue")-SUMIFS(Ledger!$F$3:$F$1002,Ledger!$B$3:$B$1002,$A135,Ledger!$C$3:$C$1002,"Return"))</f>
        <v/>
      </c>
    </row>
    <row r="136">
      <c r="A136" s="4">
        <f>IF(Customers!A136="","",Customers!A136)</f>
        <v/>
      </c>
      <c r="B136" s="24">
        <f>IF($A136="","",SUMIFS(Ledger!$H$3:$H$1002,Ledger!$B$3:$B$1002,$A136))</f>
        <v/>
      </c>
      <c r="C136" s="24">
        <f>IF($A136="","",SUMIFS(Ledger!$I$3:$I$1002,Ledger!$B$3:$B$1002,$A136))</f>
        <v/>
      </c>
      <c r="D136" s="24">
        <f>IF($A136="","",IFERROR(XLOOKUP($A136,Customers!$A:$A,Customers!$F:$F),0))</f>
        <v/>
      </c>
      <c r="E136" s="24">
        <f>IF($A136="","",$B136+$D136-$C136)</f>
        <v/>
      </c>
      <c r="F136" s="24">
        <f>IF($A136="","",SUMIFS(Ledger!$F$3:$F$1002,Ledger!$B$3:$B$1002,$A136,Ledger!$C$3:$C$1002,"Issue"))</f>
        <v/>
      </c>
      <c r="G136" s="24">
        <f>IF($A136="","",SUMIFS(Ledger!$F$3:$F$1002,Ledger!$B$3:$B$1002,$A136,Ledger!$C$3:$C$1002,"Issue")-SUMIFS(Ledger!$F$3:$F$1002,Ledger!$B$3:$B$1002,$A136,Ledger!$C$3:$C$1002,"Return"))</f>
        <v/>
      </c>
    </row>
    <row r="137">
      <c r="A137" s="4">
        <f>IF(Customers!A137="","",Customers!A137)</f>
        <v/>
      </c>
      <c r="B137" s="24">
        <f>IF($A137="","",SUMIFS(Ledger!$H$3:$H$1002,Ledger!$B$3:$B$1002,$A137))</f>
        <v/>
      </c>
      <c r="C137" s="24">
        <f>IF($A137="","",SUMIFS(Ledger!$I$3:$I$1002,Ledger!$B$3:$B$1002,$A137))</f>
        <v/>
      </c>
      <c r="D137" s="24">
        <f>IF($A137="","",IFERROR(XLOOKUP($A137,Customers!$A:$A,Customers!$F:$F),0))</f>
        <v/>
      </c>
      <c r="E137" s="24">
        <f>IF($A137="","",$B137+$D137-$C137)</f>
        <v/>
      </c>
      <c r="F137" s="24">
        <f>IF($A137="","",SUMIFS(Ledger!$F$3:$F$1002,Ledger!$B$3:$B$1002,$A137,Ledger!$C$3:$C$1002,"Issue"))</f>
        <v/>
      </c>
      <c r="G137" s="24">
        <f>IF($A137="","",SUMIFS(Ledger!$F$3:$F$1002,Ledger!$B$3:$B$1002,$A137,Ledger!$C$3:$C$1002,"Issue")-SUMIFS(Ledger!$F$3:$F$1002,Ledger!$B$3:$B$1002,$A137,Ledger!$C$3:$C$1002,"Return"))</f>
        <v/>
      </c>
    </row>
    <row r="138">
      <c r="A138" s="4">
        <f>IF(Customers!A138="","",Customers!A138)</f>
        <v/>
      </c>
      <c r="B138" s="24">
        <f>IF($A138="","",SUMIFS(Ledger!$H$3:$H$1002,Ledger!$B$3:$B$1002,$A138))</f>
        <v/>
      </c>
      <c r="C138" s="24">
        <f>IF($A138="","",SUMIFS(Ledger!$I$3:$I$1002,Ledger!$B$3:$B$1002,$A138))</f>
        <v/>
      </c>
      <c r="D138" s="24">
        <f>IF($A138="","",IFERROR(XLOOKUP($A138,Customers!$A:$A,Customers!$F:$F),0))</f>
        <v/>
      </c>
      <c r="E138" s="24">
        <f>IF($A138="","",$B138+$D138-$C138)</f>
        <v/>
      </c>
      <c r="F138" s="24">
        <f>IF($A138="","",SUMIFS(Ledger!$F$3:$F$1002,Ledger!$B$3:$B$1002,$A138,Ledger!$C$3:$C$1002,"Issue"))</f>
        <v/>
      </c>
      <c r="G138" s="24">
        <f>IF($A138="","",SUMIFS(Ledger!$F$3:$F$1002,Ledger!$B$3:$B$1002,$A138,Ledger!$C$3:$C$1002,"Issue")-SUMIFS(Ledger!$F$3:$F$1002,Ledger!$B$3:$B$1002,$A138,Ledger!$C$3:$C$1002,"Return"))</f>
        <v/>
      </c>
    </row>
    <row r="139">
      <c r="A139" s="4">
        <f>IF(Customers!A139="","",Customers!A139)</f>
        <v/>
      </c>
      <c r="B139" s="24">
        <f>IF($A139="","",SUMIFS(Ledger!$H$3:$H$1002,Ledger!$B$3:$B$1002,$A139))</f>
        <v/>
      </c>
      <c r="C139" s="24">
        <f>IF($A139="","",SUMIFS(Ledger!$I$3:$I$1002,Ledger!$B$3:$B$1002,$A139))</f>
        <v/>
      </c>
      <c r="D139" s="24">
        <f>IF($A139="","",IFERROR(XLOOKUP($A139,Customers!$A:$A,Customers!$F:$F),0))</f>
        <v/>
      </c>
      <c r="E139" s="24">
        <f>IF($A139="","",$B139+$D139-$C139)</f>
        <v/>
      </c>
      <c r="F139" s="24">
        <f>IF($A139="","",SUMIFS(Ledger!$F$3:$F$1002,Ledger!$B$3:$B$1002,$A139,Ledger!$C$3:$C$1002,"Issue"))</f>
        <v/>
      </c>
      <c r="G139" s="24">
        <f>IF($A139="","",SUMIFS(Ledger!$F$3:$F$1002,Ledger!$B$3:$B$1002,$A139,Ledger!$C$3:$C$1002,"Issue")-SUMIFS(Ledger!$F$3:$F$1002,Ledger!$B$3:$B$1002,$A139,Ledger!$C$3:$C$1002,"Return"))</f>
        <v/>
      </c>
    </row>
    <row r="140">
      <c r="A140" s="4">
        <f>IF(Customers!A140="","",Customers!A140)</f>
        <v/>
      </c>
      <c r="B140" s="24">
        <f>IF($A140="","",SUMIFS(Ledger!$H$3:$H$1002,Ledger!$B$3:$B$1002,$A140))</f>
        <v/>
      </c>
      <c r="C140" s="24">
        <f>IF($A140="","",SUMIFS(Ledger!$I$3:$I$1002,Ledger!$B$3:$B$1002,$A140))</f>
        <v/>
      </c>
      <c r="D140" s="24">
        <f>IF($A140="","",IFERROR(XLOOKUP($A140,Customers!$A:$A,Customers!$F:$F),0))</f>
        <v/>
      </c>
      <c r="E140" s="24">
        <f>IF($A140="","",$B140+$D140-$C140)</f>
        <v/>
      </c>
      <c r="F140" s="24">
        <f>IF($A140="","",SUMIFS(Ledger!$F$3:$F$1002,Ledger!$B$3:$B$1002,$A140,Ledger!$C$3:$C$1002,"Issue"))</f>
        <v/>
      </c>
      <c r="G140" s="24">
        <f>IF($A140="","",SUMIFS(Ledger!$F$3:$F$1002,Ledger!$B$3:$B$1002,$A140,Ledger!$C$3:$C$1002,"Issue")-SUMIFS(Ledger!$F$3:$F$1002,Ledger!$B$3:$B$1002,$A140,Ledger!$C$3:$C$1002,"Return"))</f>
        <v/>
      </c>
    </row>
    <row r="141">
      <c r="A141" s="4">
        <f>IF(Customers!A141="","",Customers!A141)</f>
        <v/>
      </c>
      <c r="B141" s="24">
        <f>IF($A141="","",SUMIFS(Ledger!$H$3:$H$1002,Ledger!$B$3:$B$1002,$A141))</f>
        <v/>
      </c>
      <c r="C141" s="24">
        <f>IF($A141="","",SUMIFS(Ledger!$I$3:$I$1002,Ledger!$B$3:$B$1002,$A141))</f>
        <v/>
      </c>
      <c r="D141" s="24">
        <f>IF($A141="","",IFERROR(XLOOKUP($A141,Customers!$A:$A,Customers!$F:$F),0))</f>
        <v/>
      </c>
      <c r="E141" s="24">
        <f>IF($A141="","",$B141+$D141-$C141)</f>
        <v/>
      </c>
      <c r="F141" s="24">
        <f>IF($A141="","",SUMIFS(Ledger!$F$3:$F$1002,Ledger!$B$3:$B$1002,$A141,Ledger!$C$3:$C$1002,"Issue"))</f>
        <v/>
      </c>
      <c r="G141" s="24">
        <f>IF($A141="","",SUMIFS(Ledger!$F$3:$F$1002,Ledger!$B$3:$B$1002,$A141,Ledger!$C$3:$C$1002,"Issue")-SUMIFS(Ledger!$F$3:$F$1002,Ledger!$B$3:$B$1002,$A141,Ledger!$C$3:$C$1002,"Return"))</f>
        <v/>
      </c>
    </row>
    <row r="142">
      <c r="A142" s="4">
        <f>IF(Customers!A142="","",Customers!A142)</f>
        <v/>
      </c>
      <c r="B142" s="24">
        <f>IF($A142="","",SUMIFS(Ledger!$H$3:$H$1002,Ledger!$B$3:$B$1002,$A142))</f>
        <v/>
      </c>
      <c r="C142" s="24">
        <f>IF($A142="","",SUMIFS(Ledger!$I$3:$I$1002,Ledger!$B$3:$B$1002,$A142))</f>
        <v/>
      </c>
      <c r="D142" s="24">
        <f>IF($A142="","",IFERROR(XLOOKUP($A142,Customers!$A:$A,Customers!$F:$F),0))</f>
        <v/>
      </c>
      <c r="E142" s="24">
        <f>IF($A142="","",$B142+$D142-$C142)</f>
        <v/>
      </c>
      <c r="F142" s="24">
        <f>IF($A142="","",SUMIFS(Ledger!$F$3:$F$1002,Ledger!$B$3:$B$1002,$A142,Ledger!$C$3:$C$1002,"Issue"))</f>
        <v/>
      </c>
      <c r="G142" s="24">
        <f>IF($A142="","",SUMIFS(Ledger!$F$3:$F$1002,Ledger!$B$3:$B$1002,$A142,Ledger!$C$3:$C$1002,"Issue")-SUMIFS(Ledger!$F$3:$F$1002,Ledger!$B$3:$B$1002,$A142,Ledger!$C$3:$C$1002,"Return"))</f>
        <v/>
      </c>
    </row>
    <row r="143">
      <c r="A143" s="4">
        <f>IF(Customers!A143="","",Customers!A143)</f>
        <v/>
      </c>
      <c r="B143" s="24">
        <f>IF($A143="","",SUMIFS(Ledger!$H$3:$H$1002,Ledger!$B$3:$B$1002,$A143))</f>
        <v/>
      </c>
      <c r="C143" s="24">
        <f>IF($A143="","",SUMIFS(Ledger!$I$3:$I$1002,Ledger!$B$3:$B$1002,$A143))</f>
        <v/>
      </c>
      <c r="D143" s="24">
        <f>IF($A143="","",IFERROR(XLOOKUP($A143,Customers!$A:$A,Customers!$F:$F),0))</f>
        <v/>
      </c>
      <c r="E143" s="24">
        <f>IF($A143="","",$B143+$D143-$C143)</f>
        <v/>
      </c>
      <c r="F143" s="24">
        <f>IF($A143="","",SUMIFS(Ledger!$F$3:$F$1002,Ledger!$B$3:$B$1002,$A143,Ledger!$C$3:$C$1002,"Issue"))</f>
        <v/>
      </c>
      <c r="G143" s="24">
        <f>IF($A143="","",SUMIFS(Ledger!$F$3:$F$1002,Ledger!$B$3:$B$1002,$A143,Ledger!$C$3:$C$1002,"Issue")-SUMIFS(Ledger!$F$3:$F$1002,Ledger!$B$3:$B$1002,$A143,Ledger!$C$3:$C$1002,"Return"))</f>
        <v/>
      </c>
    </row>
    <row r="144">
      <c r="A144" s="4">
        <f>IF(Customers!A144="","",Customers!A144)</f>
        <v/>
      </c>
      <c r="B144" s="24">
        <f>IF($A144="","",SUMIFS(Ledger!$H$3:$H$1002,Ledger!$B$3:$B$1002,$A144))</f>
        <v/>
      </c>
      <c r="C144" s="24">
        <f>IF($A144="","",SUMIFS(Ledger!$I$3:$I$1002,Ledger!$B$3:$B$1002,$A144))</f>
        <v/>
      </c>
      <c r="D144" s="24">
        <f>IF($A144="","",IFERROR(XLOOKUP($A144,Customers!$A:$A,Customers!$F:$F),0))</f>
        <v/>
      </c>
      <c r="E144" s="24">
        <f>IF($A144="","",$B144+$D144-$C144)</f>
        <v/>
      </c>
      <c r="F144" s="24">
        <f>IF($A144="","",SUMIFS(Ledger!$F$3:$F$1002,Ledger!$B$3:$B$1002,$A144,Ledger!$C$3:$C$1002,"Issue"))</f>
        <v/>
      </c>
      <c r="G144" s="24">
        <f>IF($A144="","",SUMIFS(Ledger!$F$3:$F$1002,Ledger!$B$3:$B$1002,$A144,Ledger!$C$3:$C$1002,"Issue")-SUMIFS(Ledger!$F$3:$F$1002,Ledger!$B$3:$B$1002,$A144,Ledger!$C$3:$C$1002,"Return"))</f>
        <v/>
      </c>
    </row>
    <row r="145">
      <c r="A145" s="4">
        <f>IF(Customers!A145="","",Customers!A145)</f>
        <v/>
      </c>
      <c r="B145" s="24">
        <f>IF($A145="","",SUMIFS(Ledger!$H$3:$H$1002,Ledger!$B$3:$B$1002,$A145))</f>
        <v/>
      </c>
      <c r="C145" s="24">
        <f>IF($A145="","",SUMIFS(Ledger!$I$3:$I$1002,Ledger!$B$3:$B$1002,$A145))</f>
        <v/>
      </c>
      <c r="D145" s="24">
        <f>IF($A145="","",IFERROR(XLOOKUP($A145,Customers!$A:$A,Customers!$F:$F),0))</f>
        <v/>
      </c>
      <c r="E145" s="24">
        <f>IF($A145="","",$B145+$D145-$C145)</f>
        <v/>
      </c>
      <c r="F145" s="24">
        <f>IF($A145="","",SUMIFS(Ledger!$F$3:$F$1002,Ledger!$B$3:$B$1002,$A145,Ledger!$C$3:$C$1002,"Issue"))</f>
        <v/>
      </c>
      <c r="G145" s="24">
        <f>IF($A145="","",SUMIFS(Ledger!$F$3:$F$1002,Ledger!$B$3:$B$1002,$A145,Ledger!$C$3:$C$1002,"Issue")-SUMIFS(Ledger!$F$3:$F$1002,Ledger!$B$3:$B$1002,$A145,Ledger!$C$3:$C$1002,"Return"))</f>
        <v/>
      </c>
    </row>
    <row r="146">
      <c r="A146" s="4">
        <f>IF(Customers!A146="","",Customers!A146)</f>
        <v/>
      </c>
      <c r="B146" s="24">
        <f>IF($A146="","",SUMIFS(Ledger!$H$3:$H$1002,Ledger!$B$3:$B$1002,$A146))</f>
        <v/>
      </c>
      <c r="C146" s="24">
        <f>IF($A146="","",SUMIFS(Ledger!$I$3:$I$1002,Ledger!$B$3:$B$1002,$A146))</f>
        <v/>
      </c>
      <c r="D146" s="24">
        <f>IF($A146="","",IFERROR(XLOOKUP($A146,Customers!$A:$A,Customers!$F:$F),0))</f>
        <v/>
      </c>
      <c r="E146" s="24">
        <f>IF($A146="","",$B146+$D146-$C146)</f>
        <v/>
      </c>
      <c r="F146" s="24">
        <f>IF($A146="","",SUMIFS(Ledger!$F$3:$F$1002,Ledger!$B$3:$B$1002,$A146,Ledger!$C$3:$C$1002,"Issue"))</f>
        <v/>
      </c>
      <c r="G146" s="24">
        <f>IF($A146="","",SUMIFS(Ledger!$F$3:$F$1002,Ledger!$B$3:$B$1002,$A146,Ledger!$C$3:$C$1002,"Issue")-SUMIFS(Ledger!$F$3:$F$1002,Ledger!$B$3:$B$1002,$A146,Ledger!$C$3:$C$1002,"Return"))</f>
        <v/>
      </c>
    </row>
    <row r="147">
      <c r="A147" s="4">
        <f>IF(Customers!A147="","",Customers!A147)</f>
        <v/>
      </c>
      <c r="B147" s="24">
        <f>IF($A147="","",SUMIFS(Ledger!$H$3:$H$1002,Ledger!$B$3:$B$1002,$A147))</f>
        <v/>
      </c>
      <c r="C147" s="24">
        <f>IF($A147="","",SUMIFS(Ledger!$I$3:$I$1002,Ledger!$B$3:$B$1002,$A147))</f>
        <v/>
      </c>
      <c r="D147" s="24">
        <f>IF($A147="","",IFERROR(XLOOKUP($A147,Customers!$A:$A,Customers!$F:$F),0))</f>
        <v/>
      </c>
      <c r="E147" s="24">
        <f>IF($A147="","",$B147+$D147-$C147)</f>
        <v/>
      </c>
      <c r="F147" s="24">
        <f>IF($A147="","",SUMIFS(Ledger!$F$3:$F$1002,Ledger!$B$3:$B$1002,$A147,Ledger!$C$3:$C$1002,"Issue"))</f>
        <v/>
      </c>
      <c r="G147" s="24">
        <f>IF($A147="","",SUMIFS(Ledger!$F$3:$F$1002,Ledger!$B$3:$B$1002,$A147,Ledger!$C$3:$C$1002,"Issue")-SUMIFS(Ledger!$F$3:$F$1002,Ledger!$B$3:$B$1002,$A147,Ledger!$C$3:$C$1002,"Return"))</f>
        <v/>
      </c>
    </row>
    <row r="148">
      <c r="A148" s="4">
        <f>IF(Customers!A148="","",Customers!A148)</f>
        <v/>
      </c>
      <c r="B148" s="24">
        <f>IF($A148="","",SUMIFS(Ledger!$H$3:$H$1002,Ledger!$B$3:$B$1002,$A148))</f>
        <v/>
      </c>
      <c r="C148" s="24">
        <f>IF($A148="","",SUMIFS(Ledger!$I$3:$I$1002,Ledger!$B$3:$B$1002,$A148))</f>
        <v/>
      </c>
      <c r="D148" s="24">
        <f>IF($A148="","",IFERROR(XLOOKUP($A148,Customers!$A:$A,Customers!$F:$F),0))</f>
        <v/>
      </c>
      <c r="E148" s="24">
        <f>IF($A148="","",$B148+$D148-$C148)</f>
        <v/>
      </c>
      <c r="F148" s="24">
        <f>IF($A148="","",SUMIFS(Ledger!$F$3:$F$1002,Ledger!$B$3:$B$1002,$A148,Ledger!$C$3:$C$1002,"Issue"))</f>
        <v/>
      </c>
      <c r="G148" s="24">
        <f>IF($A148="","",SUMIFS(Ledger!$F$3:$F$1002,Ledger!$B$3:$B$1002,$A148,Ledger!$C$3:$C$1002,"Issue")-SUMIFS(Ledger!$F$3:$F$1002,Ledger!$B$3:$B$1002,$A148,Ledger!$C$3:$C$1002,"Return"))</f>
        <v/>
      </c>
    </row>
    <row r="149">
      <c r="A149" s="4">
        <f>IF(Customers!A149="","",Customers!A149)</f>
        <v/>
      </c>
      <c r="B149" s="24">
        <f>IF($A149="","",SUMIFS(Ledger!$H$3:$H$1002,Ledger!$B$3:$B$1002,$A149))</f>
        <v/>
      </c>
      <c r="C149" s="24">
        <f>IF($A149="","",SUMIFS(Ledger!$I$3:$I$1002,Ledger!$B$3:$B$1002,$A149))</f>
        <v/>
      </c>
      <c r="D149" s="24">
        <f>IF($A149="","",IFERROR(XLOOKUP($A149,Customers!$A:$A,Customers!$F:$F),0))</f>
        <v/>
      </c>
      <c r="E149" s="24">
        <f>IF($A149="","",$B149+$D149-$C149)</f>
        <v/>
      </c>
      <c r="F149" s="24">
        <f>IF($A149="","",SUMIFS(Ledger!$F$3:$F$1002,Ledger!$B$3:$B$1002,$A149,Ledger!$C$3:$C$1002,"Issue"))</f>
        <v/>
      </c>
      <c r="G149" s="24">
        <f>IF($A149="","",SUMIFS(Ledger!$F$3:$F$1002,Ledger!$B$3:$B$1002,$A149,Ledger!$C$3:$C$1002,"Issue")-SUMIFS(Ledger!$F$3:$F$1002,Ledger!$B$3:$B$1002,$A149,Ledger!$C$3:$C$1002,"Return"))</f>
        <v/>
      </c>
    </row>
    <row r="150">
      <c r="A150" s="4">
        <f>IF(Customers!A150="","",Customers!A150)</f>
        <v/>
      </c>
      <c r="B150" s="24">
        <f>IF($A150="","",SUMIFS(Ledger!$H$3:$H$1002,Ledger!$B$3:$B$1002,$A150))</f>
        <v/>
      </c>
      <c r="C150" s="24">
        <f>IF($A150="","",SUMIFS(Ledger!$I$3:$I$1002,Ledger!$B$3:$B$1002,$A150))</f>
        <v/>
      </c>
      <c r="D150" s="24">
        <f>IF($A150="","",IFERROR(XLOOKUP($A150,Customers!$A:$A,Customers!$F:$F),0))</f>
        <v/>
      </c>
      <c r="E150" s="24">
        <f>IF($A150="","",$B150+$D150-$C150)</f>
        <v/>
      </c>
      <c r="F150" s="24">
        <f>IF($A150="","",SUMIFS(Ledger!$F$3:$F$1002,Ledger!$B$3:$B$1002,$A150,Ledger!$C$3:$C$1002,"Issue"))</f>
        <v/>
      </c>
      <c r="G150" s="24">
        <f>IF($A150="","",SUMIFS(Ledger!$F$3:$F$1002,Ledger!$B$3:$B$1002,$A150,Ledger!$C$3:$C$1002,"Issue")-SUMIFS(Ledger!$F$3:$F$1002,Ledger!$B$3:$B$1002,$A150,Ledger!$C$3:$C$1002,"Return"))</f>
        <v/>
      </c>
    </row>
    <row r="151">
      <c r="A151" s="4">
        <f>IF(Customers!A151="","",Customers!A151)</f>
        <v/>
      </c>
      <c r="B151" s="24">
        <f>IF($A151="","",SUMIFS(Ledger!$H$3:$H$1002,Ledger!$B$3:$B$1002,$A151))</f>
        <v/>
      </c>
      <c r="C151" s="24">
        <f>IF($A151="","",SUMIFS(Ledger!$I$3:$I$1002,Ledger!$B$3:$B$1002,$A151))</f>
        <v/>
      </c>
      <c r="D151" s="24">
        <f>IF($A151="","",IFERROR(XLOOKUP($A151,Customers!$A:$A,Customers!$F:$F),0))</f>
        <v/>
      </c>
      <c r="E151" s="24">
        <f>IF($A151="","",$B151+$D151-$C151)</f>
        <v/>
      </c>
      <c r="F151" s="24">
        <f>IF($A151="","",SUMIFS(Ledger!$F$3:$F$1002,Ledger!$B$3:$B$1002,$A151,Ledger!$C$3:$C$1002,"Issue"))</f>
        <v/>
      </c>
      <c r="G151" s="24">
        <f>IF($A151="","",SUMIFS(Ledger!$F$3:$F$1002,Ledger!$B$3:$B$1002,$A151,Ledger!$C$3:$C$1002,"Issue")-SUMIFS(Ledger!$F$3:$F$1002,Ledger!$B$3:$B$1002,$A151,Ledger!$C$3:$C$1002,"Return"))</f>
        <v/>
      </c>
    </row>
    <row r="152">
      <c r="A152" s="4">
        <f>IF(Customers!A152="","",Customers!A152)</f>
        <v/>
      </c>
      <c r="B152" s="24">
        <f>IF($A152="","",SUMIFS(Ledger!$H$3:$H$1002,Ledger!$B$3:$B$1002,$A152))</f>
        <v/>
      </c>
      <c r="C152" s="24">
        <f>IF($A152="","",SUMIFS(Ledger!$I$3:$I$1002,Ledger!$B$3:$B$1002,$A152))</f>
        <v/>
      </c>
      <c r="D152" s="24">
        <f>IF($A152="","",IFERROR(XLOOKUP($A152,Customers!$A:$A,Customers!$F:$F),0))</f>
        <v/>
      </c>
      <c r="E152" s="24">
        <f>IF($A152="","",$B152+$D152-$C152)</f>
        <v/>
      </c>
      <c r="F152" s="24">
        <f>IF($A152="","",SUMIFS(Ledger!$F$3:$F$1002,Ledger!$B$3:$B$1002,$A152,Ledger!$C$3:$C$1002,"Issue"))</f>
        <v/>
      </c>
      <c r="G152" s="24">
        <f>IF($A152="","",SUMIFS(Ledger!$F$3:$F$1002,Ledger!$B$3:$B$1002,$A152,Ledger!$C$3:$C$1002,"Issue")-SUMIFS(Ledger!$F$3:$F$1002,Ledger!$B$3:$B$1002,$A152,Ledger!$C$3:$C$1002,"Return"))</f>
        <v/>
      </c>
    </row>
    <row r="153">
      <c r="A153" s="4">
        <f>IF(Customers!A153="","",Customers!A153)</f>
        <v/>
      </c>
      <c r="B153" s="24">
        <f>IF($A153="","",SUMIFS(Ledger!$H$3:$H$1002,Ledger!$B$3:$B$1002,$A153))</f>
        <v/>
      </c>
      <c r="C153" s="24">
        <f>IF($A153="","",SUMIFS(Ledger!$I$3:$I$1002,Ledger!$B$3:$B$1002,$A153))</f>
        <v/>
      </c>
      <c r="D153" s="24">
        <f>IF($A153="","",IFERROR(XLOOKUP($A153,Customers!$A:$A,Customers!$F:$F),0))</f>
        <v/>
      </c>
      <c r="E153" s="24">
        <f>IF($A153="","",$B153+$D153-$C153)</f>
        <v/>
      </c>
      <c r="F153" s="24">
        <f>IF($A153="","",SUMIFS(Ledger!$F$3:$F$1002,Ledger!$B$3:$B$1002,$A153,Ledger!$C$3:$C$1002,"Issue"))</f>
        <v/>
      </c>
      <c r="G153" s="24">
        <f>IF($A153="","",SUMIFS(Ledger!$F$3:$F$1002,Ledger!$B$3:$B$1002,$A153,Ledger!$C$3:$C$1002,"Issue")-SUMIFS(Ledger!$F$3:$F$1002,Ledger!$B$3:$B$1002,$A153,Ledger!$C$3:$C$1002,"Return"))</f>
        <v/>
      </c>
    </row>
    <row r="154">
      <c r="A154" s="4">
        <f>IF(Customers!A154="","",Customers!A154)</f>
        <v/>
      </c>
      <c r="B154" s="24">
        <f>IF($A154="","",SUMIFS(Ledger!$H$3:$H$1002,Ledger!$B$3:$B$1002,$A154))</f>
        <v/>
      </c>
      <c r="C154" s="24">
        <f>IF($A154="","",SUMIFS(Ledger!$I$3:$I$1002,Ledger!$B$3:$B$1002,$A154))</f>
        <v/>
      </c>
      <c r="D154" s="24">
        <f>IF($A154="","",IFERROR(XLOOKUP($A154,Customers!$A:$A,Customers!$F:$F),0))</f>
        <v/>
      </c>
      <c r="E154" s="24">
        <f>IF($A154="","",$B154+$D154-$C154)</f>
        <v/>
      </c>
      <c r="F154" s="24">
        <f>IF($A154="","",SUMIFS(Ledger!$F$3:$F$1002,Ledger!$B$3:$B$1002,$A154,Ledger!$C$3:$C$1002,"Issue"))</f>
        <v/>
      </c>
      <c r="G154" s="24">
        <f>IF($A154="","",SUMIFS(Ledger!$F$3:$F$1002,Ledger!$B$3:$B$1002,$A154,Ledger!$C$3:$C$1002,"Issue")-SUMIFS(Ledger!$F$3:$F$1002,Ledger!$B$3:$B$1002,$A154,Ledger!$C$3:$C$1002,"Return"))</f>
        <v/>
      </c>
    </row>
    <row r="155">
      <c r="A155" s="4">
        <f>IF(Customers!A155="","",Customers!A155)</f>
        <v/>
      </c>
      <c r="B155" s="24">
        <f>IF($A155="","",SUMIFS(Ledger!$H$3:$H$1002,Ledger!$B$3:$B$1002,$A155))</f>
        <v/>
      </c>
      <c r="C155" s="24">
        <f>IF($A155="","",SUMIFS(Ledger!$I$3:$I$1002,Ledger!$B$3:$B$1002,$A155))</f>
        <v/>
      </c>
      <c r="D155" s="24">
        <f>IF($A155="","",IFERROR(XLOOKUP($A155,Customers!$A:$A,Customers!$F:$F),0))</f>
        <v/>
      </c>
      <c r="E155" s="24">
        <f>IF($A155="","",$B155+$D155-$C155)</f>
        <v/>
      </c>
      <c r="F155" s="24">
        <f>IF($A155="","",SUMIFS(Ledger!$F$3:$F$1002,Ledger!$B$3:$B$1002,$A155,Ledger!$C$3:$C$1002,"Issue"))</f>
        <v/>
      </c>
      <c r="G155" s="24">
        <f>IF($A155="","",SUMIFS(Ledger!$F$3:$F$1002,Ledger!$B$3:$B$1002,$A155,Ledger!$C$3:$C$1002,"Issue")-SUMIFS(Ledger!$F$3:$F$1002,Ledger!$B$3:$B$1002,$A155,Ledger!$C$3:$C$1002,"Return"))</f>
        <v/>
      </c>
    </row>
    <row r="156">
      <c r="A156" s="4">
        <f>IF(Customers!A156="","",Customers!A156)</f>
        <v/>
      </c>
      <c r="B156" s="24">
        <f>IF($A156="","",SUMIFS(Ledger!$H$3:$H$1002,Ledger!$B$3:$B$1002,$A156))</f>
        <v/>
      </c>
      <c r="C156" s="24">
        <f>IF($A156="","",SUMIFS(Ledger!$I$3:$I$1002,Ledger!$B$3:$B$1002,$A156))</f>
        <v/>
      </c>
      <c r="D156" s="24">
        <f>IF($A156="","",IFERROR(XLOOKUP($A156,Customers!$A:$A,Customers!$F:$F),0))</f>
        <v/>
      </c>
      <c r="E156" s="24">
        <f>IF($A156="","",$B156+$D156-$C156)</f>
        <v/>
      </c>
      <c r="F156" s="24">
        <f>IF($A156="","",SUMIFS(Ledger!$F$3:$F$1002,Ledger!$B$3:$B$1002,$A156,Ledger!$C$3:$C$1002,"Issue"))</f>
        <v/>
      </c>
      <c r="G156" s="24">
        <f>IF($A156="","",SUMIFS(Ledger!$F$3:$F$1002,Ledger!$B$3:$B$1002,$A156,Ledger!$C$3:$C$1002,"Issue")-SUMIFS(Ledger!$F$3:$F$1002,Ledger!$B$3:$B$1002,$A156,Ledger!$C$3:$C$1002,"Return"))</f>
        <v/>
      </c>
    </row>
    <row r="157">
      <c r="A157" s="4">
        <f>IF(Customers!A157="","",Customers!A157)</f>
        <v/>
      </c>
      <c r="B157" s="24">
        <f>IF($A157="","",SUMIFS(Ledger!$H$3:$H$1002,Ledger!$B$3:$B$1002,$A157))</f>
        <v/>
      </c>
      <c r="C157" s="24">
        <f>IF($A157="","",SUMIFS(Ledger!$I$3:$I$1002,Ledger!$B$3:$B$1002,$A157))</f>
        <v/>
      </c>
      <c r="D157" s="24">
        <f>IF($A157="","",IFERROR(XLOOKUP($A157,Customers!$A:$A,Customers!$F:$F),0))</f>
        <v/>
      </c>
      <c r="E157" s="24">
        <f>IF($A157="","",$B157+$D157-$C157)</f>
        <v/>
      </c>
      <c r="F157" s="24">
        <f>IF($A157="","",SUMIFS(Ledger!$F$3:$F$1002,Ledger!$B$3:$B$1002,$A157,Ledger!$C$3:$C$1002,"Issue"))</f>
        <v/>
      </c>
      <c r="G157" s="24">
        <f>IF($A157="","",SUMIFS(Ledger!$F$3:$F$1002,Ledger!$B$3:$B$1002,$A157,Ledger!$C$3:$C$1002,"Issue")-SUMIFS(Ledger!$F$3:$F$1002,Ledger!$B$3:$B$1002,$A157,Ledger!$C$3:$C$1002,"Return"))</f>
        <v/>
      </c>
    </row>
    <row r="158">
      <c r="A158" s="4">
        <f>IF(Customers!A158="","",Customers!A158)</f>
        <v/>
      </c>
      <c r="B158" s="24">
        <f>IF($A158="","",SUMIFS(Ledger!$H$3:$H$1002,Ledger!$B$3:$B$1002,$A158))</f>
        <v/>
      </c>
      <c r="C158" s="24">
        <f>IF($A158="","",SUMIFS(Ledger!$I$3:$I$1002,Ledger!$B$3:$B$1002,$A158))</f>
        <v/>
      </c>
      <c r="D158" s="24">
        <f>IF($A158="","",IFERROR(XLOOKUP($A158,Customers!$A:$A,Customers!$F:$F),0))</f>
        <v/>
      </c>
      <c r="E158" s="24">
        <f>IF($A158="","",$B158+$D158-$C158)</f>
        <v/>
      </c>
      <c r="F158" s="24">
        <f>IF($A158="","",SUMIFS(Ledger!$F$3:$F$1002,Ledger!$B$3:$B$1002,$A158,Ledger!$C$3:$C$1002,"Issue"))</f>
        <v/>
      </c>
      <c r="G158" s="24">
        <f>IF($A158="","",SUMIFS(Ledger!$F$3:$F$1002,Ledger!$B$3:$B$1002,$A158,Ledger!$C$3:$C$1002,"Issue")-SUMIFS(Ledger!$F$3:$F$1002,Ledger!$B$3:$B$1002,$A158,Ledger!$C$3:$C$1002,"Return"))</f>
        <v/>
      </c>
    </row>
    <row r="159">
      <c r="A159" s="4">
        <f>IF(Customers!A159="","",Customers!A159)</f>
        <v/>
      </c>
      <c r="B159" s="24">
        <f>IF($A159="","",SUMIFS(Ledger!$H$3:$H$1002,Ledger!$B$3:$B$1002,$A159))</f>
        <v/>
      </c>
      <c r="C159" s="24">
        <f>IF($A159="","",SUMIFS(Ledger!$I$3:$I$1002,Ledger!$B$3:$B$1002,$A159))</f>
        <v/>
      </c>
      <c r="D159" s="24">
        <f>IF($A159="","",IFERROR(XLOOKUP($A159,Customers!$A:$A,Customers!$F:$F),0))</f>
        <v/>
      </c>
      <c r="E159" s="24">
        <f>IF($A159="","",$B159+$D159-$C159)</f>
        <v/>
      </c>
      <c r="F159" s="24">
        <f>IF($A159="","",SUMIFS(Ledger!$F$3:$F$1002,Ledger!$B$3:$B$1002,$A159,Ledger!$C$3:$C$1002,"Issue"))</f>
        <v/>
      </c>
      <c r="G159" s="24">
        <f>IF($A159="","",SUMIFS(Ledger!$F$3:$F$1002,Ledger!$B$3:$B$1002,$A159,Ledger!$C$3:$C$1002,"Issue")-SUMIFS(Ledger!$F$3:$F$1002,Ledger!$B$3:$B$1002,$A159,Ledger!$C$3:$C$1002,"Return"))</f>
        <v/>
      </c>
    </row>
    <row r="160">
      <c r="A160" s="4">
        <f>IF(Customers!A160="","",Customers!A160)</f>
        <v/>
      </c>
      <c r="B160" s="24">
        <f>IF($A160="","",SUMIFS(Ledger!$H$3:$H$1002,Ledger!$B$3:$B$1002,$A160))</f>
        <v/>
      </c>
      <c r="C160" s="24">
        <f>IF($A160="","",SUMIFS(Ledger!$I$3:$I$1002,Ledger!$B$3:$B$1002,$A160))</f>
        <v/>
      </c>
      <c r="D160" s="24">
        <f>IF($A160="","",IFERROR(XLOOKUP($A160,Customers!$A:$A,Customers!$F:$F),0))</f>
        <v/>
      </c>
      <c r="E160" s="24">
        <f>IF($A160="","",$B160+$D160-$C160)</f>
        <v/>
      </c>
      <c r="F160" s="24">
        <f>IF($A160="","",SUMIFS(Ledger!$F$3:$F$1002,Ledger!$B$3:$B$1002,$A160,Ledger!$C$3:$C$1002,"Issue"))</f>
        <v/>
      </c>
      <c r="G160" s="24">
        <f>IF($A160="","",SUMIFS(Ledger!$F$3:$F$1002,Ledger!$B$3:$B$1002,$A160,Ledger!$C$3:$C$1002,"Issue")-SUMIFS(Ledger!$F$3:$F$1002,Ledger!$B$3:$B$1002,$A160,Ledger!$C$3:$C$1002,"Return"))</f>
        <v/>
      </c>
    </row>
    <row r="161">
      <c r="A161" s="4">
        <f>IF(Customers!A161="","",Customers!A161)</f>
        <v/>
      </c>
      <c r="B161" s="24">
        <f>IF($A161="","",SUMIFS(Ledger!$H$3:$H$1002,Ledger!$B$3:$B$1002,$A161))</f>
        <v/>
      </c>
      <c r="C161" s="24">
        <f>IF($A161="","",SUMIFS(Ledger!$I$3:$I$1002,Ledger!$B$3:$B$1002,$A161))</f>
        <v/>
      </c>
      <c r="D161" s="24">
        <f>IF($A161="","",IFERROR(XLOOKUP($A161,Customers!$A:$A,Customers!$F:$F),0))</f>
        <v/>
      </c>
      <c r="E161" s="24">
        <f>IF($A161="","",$B161+$D161-$C161)</f>
        <v/>
      </c>
      <c r="F161" s="24">
        <f>IF($A161="","",SUMIFS(Ledger!$F$3:$F$1002,Ledger!$B$3:$B$1002,$A161,Ledger!$C$3:$C$1002,"Issue"))</f>
        <v/>
      </c>
      <c r="G161" s="24">
        <f>IF($A161="","",SUMIFS(Ledger!$F$3:$F$1002,Ledger!$B$3:$B$1002,$A161,Ledger!$C$3:$C$1002,"Issue")-SUMIFS(Ledger!$F$3:$F$1002,Ledger!$B$3:$B$1002,$A161,Ledger!$C$3:$C$1002,"Return"))</f>
        <v/>
      </c>
    </row>
    <row r="162">
      <c r="A162" s="4">
        <f>IF(Customers!A162="","",Customers!A162)</f>
        <v/>
      </c>
      <c r="B162" s="24">
        <f>IF($A162="","",SUMIFS(Ledger!$H$3:$H$1002,Ledger!$B$3:$B$1002,$A162))</f>
        <v/>
      </c>
      <c r="C162" s="24">
        <f>IF($A162="","",SUMIFS(Ledger!$I$3:$I$1002,Ledger!$B$3:$B$1002,$A162))</f>
        <v/>
      </c>
      <c r="D162" s="24">
        <f>IF($A162="","",IFERROR(XLOOKUP($A162,Customers!$A:$A,Customers!$F:$F),0))</f>
        <v/>
      </c>
      <c r="E162" s="24">
        <f>IF($A162="","",$B162+$D162-$C162)</f>
        <v/>
      </c>
      <c r="F162" s="24">
        <f>IF($A162="","",SUMIFS(Ledger!$F$3:$F$1002,Ledger!$B$3:$B$1002,$A162,Ledger!$C$3:$C$1002,"Issue"))</f>
        <v/>
      </c>
      <c r="G162" s="24">
        <f>IF($A162="","",SUMIFS(Ledger!$F$3:$F$1002,Ledger!$B$3:$B$1002,$A162,Ledger!$C$3:$C$1002,"Issue")-SUMIFS(Ledger!$F$3:$F$1002,Ledger!$B$3:$B$1002,$A162,Ledger!$C$3:$C$1002,"Return"))</f>
        <v/>
      </c>
    </row>
    <row r="163">
      <c r="A163" s="4">
        <f>IF(Customers!A163="","",Customers!A163)</f>
        <v/>
      </c>
      <c r="B163" s="24">
        <f>IF($A163="","",SUMIFS(Ledger!$H$3:$H$1002,Ledger!$B$3:$B$1002,$A163))</f>
        <v/>
      </c>
      <c r="C163" s="24">
        <f>IF($A163="","",SUMIFS(Ledger!$I$3:$I$1002,Ledger!$B$3:$B$1002,$A163))</f>
        <v/>
      </c>
      <c r="D163" s="24">
        <f>IF($A163="","",IFERROR(XLOOKUP($A163,Customers!$A:$A,Customers!$F:$F),0))</f>
        <v/>
      </c>
      <c r="E163" s="24">
        <f>IF($A163="","",$B163+$D163-$C163)</f>
        <v/>
      </c>
      <c r="F163" s="24">
        <f>IF($A163="","",SUMIFS(Ledger!$F$3:$F$1002,Ledger!$B$3:$B$1002,$A163,Ledger!$C$3:$C$1002,"Issue"))</f>
        <v/>
      </c>
      <c r="G163" s="24">
        <f>IF($A163="","",SUMIFS(Ledger!$F$3:$F$1002,Ledger!$B$3:$B$1002,$A163,Ledger!$C$3:$C$1002,"Issue")-SUMIFS(Ledger!$F$3:$F$1002,Ledger!$B$3:$B$1002,$A163,Ledger!$C$3:$C$1002,"Return"))</f>
        <v/>
      </c>
    </row>
    <row r="164">
      <c r="A164" s="4">
        <f>IF(Customers!A164="","",Customers!A164)</f>
        <v/>
      </c>
      <c r="B164" s="24">
        <f>IF($A164="","",SUMIFS(Ledger!$H$3:$H$1002,Ledger!$B$3:$B$1002,$A164))</f>
        <v/>
      </c>
      <c r="C164" s="24">
        <f>IF($A164="","",SUMIFS(Ledger!$I$3:$I$1002,Ledger!$B$3:$B$1002,$A164))</f>
        <v/>
      </c>
      <c r="D164" s="24">
        <f>IF($A164="","",IFERROR(XLOOKUP($A164,Customers!$A:$A,Customers!$F:$F),0))</f>
        <v/>
      </c>
      <c r="E164" s="24">
        <f>IF($A164="","",$B164+$D164-$C164)</f>
        <v/>
      </c>
      <c r="F164" s="24">
        <f>IF($A164="","",SUMIFS(Ledger!$F$3:$F$1002,Ledger!$B$3:$B$1002,$A164,Ledger!$C$3:$C$1002,"Issue"))</f>
        <v/>
      </c>
      <c r="G164" s="24">
        <f>IF($A164="","",SUMIFS(Ledger!$F$3:$F$1002,Ledger!$B$3:$B$1002,$A164,Ledger!$C$3:$C$1002,"Issue")-SUMIFS(Ledger!$F$3:$F$1002,Ledger!$B$3:$B$1002,$A164,Ledger!$C$3:$C$1002,"Return"))</f>
        <v/>
      </c>
    </row>
    <row r="165">
      <c r="A165" s="4">
        <f>IF(Customers!A165="","",Customers!A165)</f>
        <v/>
      </c>
      <c r="B165" s="24">
        <f>IF($A165="","",SUMIFS(Ledger!$H$3:$H$1002,Ledger!$B$3:$B$1002,$A165))</f>
        <v/>
      </c>
      <c r="C165" s="24">
        <f>IF($A165="","",SUMIFS(Ledger!$I$3:$I$1002,Ledger!$B$3:$B$1002,$A165))</f>
        <v/>
      </c>
      <c r="D165" s="24">
        <f>IF($A165="","",IFERROR(XLOOKUP($A165,Customers!$A:$A,Customers!$F:$F),0))</f>
        <v/>
      </c>
      <c r="E165" s="24">
        <f>IF($A165="","",$B165+$D165-$C165)</f>
        <v/>
      </c>
      <c r="F165" s="24">
        <f>IF($A165="","",SUMIFS(Ledger!$F$3:$F$1002,Ledger!$B$3:$B$1002,$A165,Ledger!$C$3:$C$1002,"Issue"))</f>
        <v/>
      </c>
      <c r="G165" s="24">
        <f>IF($A165="","",SUMIFS(Ledger!$F$3:$F$1002,Ledger!$B$3:$B$1002,$A165,Ledger!$C$3:$C$1002,"Issue")-SUMIFS(Ledger!$F$3:$F$1002,Ledger!$B$3:$B$1002,$A165,Ledger!$C$3:$C$1002,"Return"))</f>
        <v/>
      </c>
    </row>
    <row r="166">
      <c r="A166" s="4">
        <f>IF(Customers!A166="","",Customers!A166)</f>
        <v/>
      </c>
      <c r="B166" s="24">
        <f>IF($A166="","",SUMIFS(Ledger!$H$3:$H$1002,Ledger!$B$3:$B$1002,$A166))</f>
        <v/>
      </c>
      <c r="C166" s="24">
        <f>IF($A166="","",SUMIFS(Ledger!$I$3:$I$1002,Ledger!$B$3:$B$1002,$A166))</f>
        <v/>
      </c>
      <c r="D166" s="24">
        <f>IF($A166="","",IFERROR(XLOOKUP($A166,Customers!$A:$A,Customers!$F:$F),0))</f>
        <v/>
      </c>
      <c r="E166" s="24">
        <f>IF($A166="","",$B166+$D166-$C166)</f>
        <v/>
      </c>
      <c r="F166" s="24">
        <f>IF($A166="","",SUMIFS(Ledger!$F$3:$F$1002,Ledger!$B$3:$B$1002,$A166,Ledger!$C$3:$C$1002,"Issue"))</f>
        <v/>
      </c>
      <c r="G166" s="24">
        <f>IF($A166="","",SUMIFS(Ledger!$F$3:$F$1002,Ledger!$B$3:$B$1002,$A166,Ledger!$C$3:$C$1002,"Issue")-SUMIFS(Ledger!$F$3:$F$1002,Ledger!$B$3:$B$1002,$A166,Ledger!$C$3:$C$1002,"Return"))</f>
        <v/>
      </c>
    </row>
    <row r="167">
      <c r="A167" s="4">
        <f>IF(Customers!A167="","",Customers!A167)</f>
        <v/>
      </c>
      <c r="B167" s="24">
        <f>IF($A167="","",SUMIFS(Ledger!$H$3:$H$1002,Ledger!$B$3:$B$1002,$A167))</f>
        <v/>
      </c>
      <c r="C167" s="24">
        <f>IF($A167="","",SUMIFS(Ledger!$I$3:$I$1002,Ledger!$B$3:$B$1002,$A167))</f>
        <v/>
      </c>
      <c r="D167" s="24">
        <f>IF($A167="","",IFERROR(XLOOKUP($A167,Customers!$A:$A,Customers!$F:$F),0))</f>
        <v/>
      </c>
      <c r="E167" s="24">
        <f>IF($A167="","",$B167+$D167-$C167)</f>
        <v/>
      </c>
      <c r="F167" s="24">
        <f>IF($A167="","",SUMIFS(Ledger!$F$3:$F$1002,Ledger!$B$3:$B$1002,$A167,Ledger!$C$3:$C$1002,"Issue"))</f>
        <v/>
      </c>
      <c r="G167" s="24">
        <f>IF($A167="","",SUMIFS(Ledger!$F$3:$F$1002,Ledger!$B$3:$B$1002,$A167,Ledger!$C$3:$C$1002,"Issue")-SUMIFS(Ledger!$F$3:$F$1002,Ledger!$B$3:$B$1002,$A167,Ledger!$C$3:$C$1002,"Return"))</f>
        <v/>
      </c>
    </row>
    <row r="168">
      <c r="A168" s="4">
        <f>IF(Customers!A168="","",Customers!A168)</f>
        <v/>
      </c>
      <c r="B168" s="24">
        <f>IF($A168="","",SUMIFS(Ledger!$H$3:$H$1002,Ledger!$B$3:$B$1002,$A168))</f>
        <v/>
      </c>
      <c r="C168" s="24">
        <f>IF($A168="","",SUMIFS(Ledger!$I$3:$I$1002,Ledger!$B$3:$B$1002,$A168))</f>
        <v/>
      </c>
      <c r="D168" s="24">
        <f>IF($A168="","",IFERROR(XLOOKUP($A168,Customers!$A:$A,Customers!$F:$F),0))</f>
        <v/>
      </c>
      <c r="E168" s="24">
        <f>IF($A168="","",$B168+$D168-$C168)</f>
        <v/>
      </c>
      <c r="F168" s="24">
        <f>IF($A168="","",SUMIFS(Ledger!$F$3:$F$1002,Ledger!$B$3:$B$1002,$A168,Ledger!$C$3:$C$1002,"Issue"))</f>
        <v/>
      </c>
      <c r="G168" s="24">
        <f>IF($A168="","",SUMIFS(Ledger!$F$3:$F$1002,Ledger!$B$3:$B$1002,$A168,Ledger!$C$3:$C$1002,"Issue")-SUMIFS(Ledger!$F$3:$F$1002,Ledger!$B$3:$B$1002,$A168,Ledger!$C$3:$C$1002,"Return"))</f>
        <v/>
      </c>
    </row>
    <row r="169">
      <c r="A169" s="4">
        <f>IF(Customers!A169="","",Customers!A169)</f>
        <v/>
      </c>
      <c r="B169" s="24">
        <f>IF($A169="","",SUMIFS(Ledger!$H$3:$H$1002,Ledger!$B$3:$B$1002,$A169))</f>
        <v/>
      </c>
      <c r="C169" s="24">
        <f>IF($A169="","",SUMIFS(Ledger!$I$3:$I$1002,Ledger!$B$3:$B$1002,$A169))</f>
        <v/>
      </c>
      <c r="D169" s="24">
        <f>IF($A169="","",IFERROR(XLOOKUP($A169,Customers!$A:$A,Customers!$F:$F),0))</f>
        <v/>
      </c>
      <c r="E169" s="24">
        <f>IF($A169="","",$B169+$D169-$C169)</f>
        <v/>
      </c>
      <c r="F169" s="24">
        <f>IF($A169="","",SUMIFS(Ledger!$F$3:$F$1002,Ledger!$B$3:$B$1002,$A169,Ledger!$C$3:$C$1002,"Issue"))</f>
        <v/>
      </c>
      <c r="G169" s="24">
        <f>IF($A169="","",SUMIFS(Ledger!$F$3:$F$1002,Ledger!$B$3:$B$1002,$A169,Ledger!$C$3:$C$1002,"Issue")-SUMIFS(Ledger!$F$3:$F$1002,Ledger!$B$3:$B$1002,$A169,Ledger!$C$3:$C$1002,"Return"))</f>
        <v/>
      </c>
    </row>
    <row r="170">
      <c r="A170" s="4">
        <f>IF(Customers!A170="","",Customers!A170)</f>
        <v/>
      </c>
      <c r="B170" s="24">
        <f>IF($A170="","",SUMIFS(Ledger!$H$3:$H$1002,Ledger!$B$3:$B$1002,$A170))</f>
        <v/>
      </c>
      <c r="C170" s="24">
        <f>IF($A170="","",SUMIFS(Ledger!$I$3:$I$1002,Ledger!$B$3:$B$1002,$A170))</f>
        <v/>
      </c>
      <c r="D170" s="24">
        <f>IF($A170="","",IFERROR(XLOOKUP($A170,Customers!$A:$A,Customers!$F:$F),0))</f>
        <v/>
      </c>
      <c r="E170" s="24">
        <f>IF($A170="","",$B170+$D170-$C170)</f>
        <v/>
      </c>
      <c r="F170" s="24">
        <f>IF($A170="","",SUMIFS(Ledger!$F$3:$F$1002,Ledger!$B$3:$B$1002,$A170,Ledger!$C$3:$C$1002,"Issue"))</f>
        <v/>
      </c>
      <c r="G170" s="24">
        <f>IF($A170="","",SUMIFS(Ledger!$F$3:$F$1002,Ledger!$B$3:$B$1002,$A170,Ledger!$C$3:$C$1002,"Issue")-SUMIFS(Ledger!$F$3:$F$1002,Ledger!$B$3:$B$1002,$A170,Ledger!$C$3:$C$1002,"Return"))</f>
        <v/>
      </c>
    </row>
    <row r="171">
      <c r="A171" s="4">
        <f>IF(Customers!A171="","",Customers!A171)</f>
        <v/>
      </c>
      <c r="B171" s="24">
        <f>IF($A171="","",SUMIFS(Ledger!$H$3:$H$1002,Ledger!$B$3:$B$1002,$A171))</f>
        <v/>
      </c>
      <c r="C171" s="24">
        <f>IF($A171="","",SUMIFS(Ledger!$I$3:$I$1002,Ledger!$B$3:$B$1002,$A171))</f>
        <v/>
      </c>
      <c r="D171" s="24">
        <f>IF($A171="","",IFERROR(XLOOKUP($A171,Customers!$A:$A,Customers!$F:$F),0))</f>
        <v/>
      </c>
      <c r="E171" s="24">
        <f>IF($A171="","",$B171+$D171-$C171)</f>
        <v/>
      </c>
      <c r="F171" s="24">
        <f>IF($A171="","",SUMIFS(Ledger!$F$3:$F$1002,Ledger!$B$3:$B$1002,$A171,Ledger!$C$3:$C$1002,"Issue"))</f>
        <v/>
      </c>
      <c r="G171" s="24">
        <f>IF($A171="","",SUMIFS(Ledger!$F$3:$F$1002,Ledger!$B$3:$B$1002,$A171,Ledger!$C$3:$C$1002,"Issue")-SUMIFS(Ledger!$F$3:$F$1002,Ledger!$B$3:$B$1002,$A171,Ledger!$C$3:$C$1002,"Return"))</f>
        <v/>
      </c>
    </row>
    <row r="172">
      <c r="A172" s="4">
        <f>IF(Customers!A172="","",Customers!A172)</f>
        <v/>
      </c>
      <c r="B172" s="24">
        <f>IF($A172="","",SUMIFS(Ledger!$H$3:$H$1002,Ledger!$B$3:$B$1002,$A172))</f>
        <v/>
      </c>
      <c r="C172" s="24">
        <f>IF($A172="","",SUMIFS(Ledger!$I$3:$I$1002,Ledger!$B$3:$B$1002,$A172))</f>
        <v/>
      </c>
      <c r="D172" s="24">
        <f>IF($A172="","",IFERROR(XLOOKUP($A172,Customers!$A:$A,Customers!$F:$F),0))</f>
        <v/>
      </c>
      <c r="E172" s="24">
        <f>IF($A172="","",$B172+$D172-$C172)</f>
        <v/>
      </c>
      <c r="F172" s="24">
        <f>IF($A172="","",SUMIFS(Ledger!$F$3:$F$1002,Ledger!$B$3:$B$1002,$A172,Ledger!$C$3:$C$1002,"Issue"))</f>
        <v/>
      </c>
      <c r="G172" s="24">
        <f>IF($A172="","",SUMIFS(Ledger!$F$3:$F$1002,Ledger!$B$3:$B$1002,$A172,Ledger!$C$3:$C$1002,"Issue")-SUMIFS(Ledger!$F$3:$F$1002,Ledger!$B$3:$B$1002,$A172,Ledger!$C$3:$C$1002,"Return"))</f>
        <v/>
      </c>
    </row>
    <row r="173">
      <c r="A173" s="4">
        <f>IF(Customers!A173="","",Customers!A173)</f>
        <v/>
      </c>
      <c r="B173" s="24">
        <f>IF($A173="","",SUMIFS(Ledger!$H$3:$H$1002,Ledger!$B$3:$B$1002,$A173))</f>
        <v/>
      </c>
      <c r="C173" s="24">
        <f>IF($A173="","",SUMIFS(Ledger!$I$3:$I$1002,Ledger!$B$3:$B$1002,$A173))</f>
        <v/>
      </c>
      <c r="D173" s="24">
        <f>IF($A173="","",IFERROR(XLOOKUP($A173,Customers!$A:$A,Customers!$F:$F),0))</f>
        <v/>
      </c>
      <c r="E173" s="24">
        <f>IF($A173="","",$B173+$D173-$C173)</f>
        <v/>
      </c>
      <c r="F173" s="24">
        <f>IF($A173="","",SUMIFS(Ledger!$F$3:$F$1002,Ledger!$B$3:$B$1002,$A173,Ledger!$C$3:$C$1002,"Issue"))</f>
        <v/>
      </c>
      <c r="G173" s="24">
        <f>IF($A173="","",SUMIFS(Ledger!$F$3:$F$1002,Ledger!$B$3:$B$1002,$A173,Ledger!$C$3:$C$1002,"Issue")-SUMIFS(Ledger!$F$3:$F$1002,Ledger!$B$3:$B$1002,$A173,Ledger!$C$3:$C$1002,"Return"))</f>
        <v/>
      </c>
    </row>
    <row r="174">
      <c r="A174" s="4">
        <f>IF(Customers!A174="","",Customers!A174)</f>
        <v/>
      </c>
      <c r="B174" s="24">
        <f>IF($A174="","",SUMIFS(Ledger!$H$3:$H$1002,Ledger!$B$3:$B$1002,$A174))</f>
        <v/>
      </c>
      <c r="C174" s="24">
        <f>IF($A174="","",SUMIFS(Ledger!$I$3:$I$1002,Ledger!$B$3:$B$1002,$A174))</f>
        <v/>
      </c>
      <c r="D174" s="24">
        <f>IF($A174="","",IFERROR(XLOOKUP($A174,Customers!$A:$A,Customers!$F:$F),0))</f>
        <v/>
      </c>
      <c r="E174" s="24">
        <f>IF($A174="","",$B174+$D174-$C174)</f>
        <v/>
      </c>
      <c r="F174" s="24">
        <f>IF($A174="","",SUMIFS(Ledger!$F$3:$F$1002,Ledger!$B$3:$B$1002,$A174,Ledger!$C$3:$C$1002,"Issue"))</f>
        <v/>
      </c>
      <c r="G174" s="24">
        <f>IF($A174="","",SUMIFS(Ledger!$F$3:$F$1002,Ledger!$B$3:$B$1002,$A174,Ledger!$C$3:$C$1002,"Issue")-SUMIFS(Ledger!$F$3:$F$1002,Ledger!$B$3:$B$1002,$A174,Ledger!$C$3:$C$1002,"Return"))</f>
        <v/>
      </c>
    </row>
    <row r="175">
      <c r="A175" s="4">
        <f>IF(Customers!A175="","",Customers!A175)</f>
        <v/>
      </c>
      <c r="B175" s="24">
        <f>IF($A175="","",SUMIFS(Ledger!$H$3:$H$1002,Ledger!$B$3:$B$1002,$A175))</f>
        <v/>
      </c>
      <c r="C175" s="24">
        <f>IF($A175="","",SUMIFS(Ledger!$I$3:$I$1002,Ledger!$B$3:$B$1002,$A175))</f>
        <v/>
      </c>
      <c r="D175" s="24">
        <f>IF($A175="","",IFERROR(XLOOKUP($A175,Customers!$A:$A,Customers!$F:$F),0))</f>
        <v/>
      </c>
      <c r="E175" s="24">
        <f>IF($A175="","",$B175+$D175-$C175)</f>
        <v/>
      </c>
      <c r="F175" s="24">
        <f>IF($A175="","",SUMIFS(Ledger!$F$3:$F$1002,Ledger!$B$3:$B$1002,$A175,Ledger!$C$3:$C$1002,"Issue"))</f>
        <v/>
      </c>
      <c r="G175" s="24">
        <f>IF($A175="","",SUMIFS(Ledger!$F$3:$F$1002,Ledger!$B$3:$B$1002,$A175,Ledger!$C$3:$C$1002,"Issue")-SUMIFS(Ledger!$F$3:$F$1002,Ledger!$B$3:$B$1002,$A175,Ledger!$C$3:$C$1002,"Return"))</f>
        <v/>
      </c>
    </row>
    <row r="176">
      <c r="A176" s="4">
        <f>IF(Customers!A176="","",Customers!A176)</f>
        <v/>
      </c>
      <c r="B176" s="24">
        <f>IF($A176="","",SUMIFS(Ledger!$H$3:$H$1002,Ledger!$B$3:$B$1002,$A176))</f>
        <v/>
      </c>
      <c r="C176" s="24">
        <f>IF($A176="","",SUMIFS(Ledger!$I$3:$I$1002,Ledger!$B$3:$B$1002,$A176))</f>
        <v/>
      </c>
      <c r="D176" s="24">
        <f>IF($A176="","",IFERROR(XLOOKUP($A176,Customers!$A:$A,Customers!$F:$F),0))</f>
        <v/>
      </c>
      <c r="E176" s="24">
        <f>IF($A176="","",$B176+$D176-$C176)</f>
        <v/>
      </c>
      <c r="F176" s="24">
        <f>IF($A176="","",SUMIFS(Ledger!$F$3:$F$1002,Ledger!$B$3:$B$1002,$A176,Ledger!$C$3:$C$1002,"Issue"))</f>
        <v/>
      </c>
      <c r="G176" s="24">
        <f>IF($A176="","",SUMIFS(Ledger!$F$3:$F$1002,Ledger!$B$3:$B$1002,$A176,Ledger!$C$3:$C$1002,"Issue")-SUMIFS(Ledger!$F$3:$F$1002,Ledger!$B$3:$B$1002,$A176,Ledger!$C$3:$C$1002,"Return"))</f>
        <v/>
      </c>
    </row>
    <row r="177">
      <c r="A177" s="4">
        <f>IF(Customers!A177="","",Customers!A177)</f>
        <v/>
      </c>
      <c r="B177" s="24">
        <f>IF($A177="","",SUMIFS(Ledger!$H$3:$H$1002,Ledger!$B$3:$B$1002,$A177))</f>
        <v/>
      </c>
      <c r="C177" s="24">
        <f>IF($A177="","",SUMIFS(Ledger!$I$3:$I$1002,Ledger!$B$3:$B$1002,$A177))</f>
        <v/>
      </c>
      <c r="D177" s="24">
        <f>IF($A177="","",IFERROR(XLOOKUP($A177,Customers!$A:$A,Customers!$F:$F),0))</f>
        <v/>
      </c>
      <c r="E177" s="24">
        <f>IF($A177="","",$B177+$D177-$C177)</f>
        <v/>
      </c>
      <c r="F177" s="24">
        <f>IF($A177="","",SUMIFS(Ledger!$F$3:$F$1002,Ledger!$B$3:$B$1002,$A177,Ledger!$C$3:$C$1002,"Issue"))</f>
        <v/>
      </c>
      <c r="G177" s="24">
        <f>IF($A177="","",SUMIFS(Ledger!$F$3:$F$1002,Ledger!$B$3:$B$1002,$A177,Ledger!$C$3:$C$1002,"Issue")-SUMIFS(Ledger!$F$3:$F$1002,Ledger!$B$3:$B$1002,$A177,Ledger!$C$3:$C$1002,"Return"))</f>
        <v/>
      </c>
    </row>
    <row r="178">
      <c r="A178" s="4">
        <f>IF(Customers!A178="","",Customers!A178)</f>
        <v/>
      </c>
      <c r="B178" s="24">
        <f>IF($A178="","",SUMIFS(Ledger!$H$3:$H$1002,Ledger!$B$3:$B$1002,$A178))</f>
        <v/>
      </c>
      <c r="C178" s="24">
        <f>IF($A178="","",SUMIFS(Ledger!$I$3:$I$1002,Ledger!$B$3:$B$1002,$A178))</f>
        <v/>
      </c>
      <c r="D178" s="24">
        <f>IF($A178="","",IFERROR(XLOOKUP($A178,Customers!$A:$A,Customers!$F:$F),0))</f>
        <v/>
      </c>
      <c r="E178" s="24">
        <f>IF($A178="","",$B178+$D178-$C178)</f>
        <v/>
      </c>
      <c r="F178" s="24">
        <f>IF($A178="","",SUMIFS(Ledger!$F$3:$F$1002,Ledger!$B$3:$B$1002,$A178,Ledger!$C$3:$C$1002,"Issue"))</f>
        <v/>
      </c>
      <c r="G178" s="24">
        <f>IF($A178="","",SUMIFS(Ledger!$F$3:$F$1002,Ledger!$B$3:$B$1002,$A178,Ledger!$C$3:$C$1002,"Issue")-SUMIFS(Ledger!$F$3:$F$1002,Ledger!$B$3:$B$1002,$A178,Ledger!$C$3:$C$1002,"Return"))</f>
        <v/>
      </c>
    </row>
    <row r="179">
      <c r="A179" s="4">
        <f>IF(Customers!A179="","",Customers!A179)</f>
        <v/>
      </c>
      <c r="B179" s="24">
        <f>IF($A179="","",SUMIFS(Ledger!$H$3:$H$1002,Ledger!$B$3:$B$1002,$A179))</f>
        <v/>
      </c>
      <c r="C179" s="24">
        <f>IF($A179="","",SUMIFS(Ledger!$I$3:$I$1002,Ledger!$B$3:$B$1002,$A179))</f>
        <v/>
      </c>
      <c r="D179" s="24">
        <f>IF($A179="","",IFERROR(XLOOKUP($A179,Customers!$A:$A,Customers!$F:$F),0))</f>
        <v/>
      </c>
      <c r="E179" s="24">
        <f>IF($A179="","",$B179+$D179-$C179)</f>
        <v/>
      </c>
      <c r="F179" s="24">
        <f>IF($A179="","",SUMIFS(Ledger!$F$3:$F$1002,Ledger!$B$3:$B$1002,$A179,Ledger!$C$3:$C$1002,"Issue"))</f>
        <v/>
      </c>
      <c r="G179" s="24">
        <f>IF($A179="","",SUMIFS(Ledger!$F$3:$F$1002,Ledger!$B$3:$B$1002,$A179,Ledger!$C$3:$C$1002,"Issue")-SUMIFS(Ledger!$F$3:$F$1002,Ledger!$B$3:$B$1002,$A179,Ledger!$C$3:$C$1002,"Return"))</f>
        <v/>
      </c>
    </row>
    <row r="180">
      <c r="A180" s="4">
        <f>IF(Customers!A180="","",Customers!A180)</f>
        <v/>
      </c>
      <c r="B180" s="24">
        <f>IF($A180="","",SUMIFS(Ledger!$H$3:$H$1002,Ledger!$B$3:$B$1002,$A180))</f>
        <v/>
      </c>
      <c r="C180" s="24">
        <f>IF($A180="","",SUMIFS(Ledger!$I$3:$I$1002,Ledger!$B$3:$B$1002,$A180))</f>
        <v/>
      </c>
      <c r="D180" s="24">
        <f>IF($A180="","",IFERROR(XLOOKUP($A180,Customers!$A:$A,Customers!$F:$F),0))</f>
        <v/>
      </c>
      <c r="E180" s="24">
        <f>IF($A180="","",$B180+$D180-$C180)</f>
        <v/>
      </c>
      <c r="F180" s="24">
        <f>IF($A180="","",SUMIFS(Ledger!$F$3:$F$1002,Ledger!$B$3:$B$1002,$A180,Ledger!$C$3:$C$1002,"Issue"))</f>
        <v/>
      </c>
      <c r="G180" s="24">
        <f>IF($A180="","",SUMIFS(Ledger!$F$3:$F$1002,Ledger!$B$3:$B$1002,$A180,Ledger!$C$3:$C$1002,"Issue")-SUMIFS(Ledger!$F$3:$F$1002,Ledger!$B$3:$B$1002,$A180,Ledger!$C$3:$C$1002,"Return"))</f>
        <v/>
      </c>
    </row>
    <row r="181">
      <c r="A181" s="4">
        <f>IF(Customers!A181="","",Customers!A181)</f>
        <v/>
      </c>
      <c r="B181" s="24">
        <f>IF($A181="","",SUMIFS(Ledger!$H$3:$H$1002,Ledger!$B$3:$B$1002,$A181))</f>
        <v/>
      </c>
      <c r="C181" s="24">
        <f>IF($A181="","",SUMIFS(Ledger!$I$3:$I$1002,Ledger!$B$3:$B$1002,$A181))</f>
        <v/>
      </c>
      <c r="D181" s="24">
        <f>IF($A181="","",IFERROR(XLOOKUP($A181,Customers!$A:$A,Customers!$F:$F),0))</f>
        <v/>
      </c>
      <c r="E181" s="24">
        <f>IF($A181="","",$B181+$D181-$C181)</f>
        <v/>
      </c>
      <c r="F181" s="24">
        <f>IF($A181="","",SUMIFS(Ledger!$F$3:$F$1002,Ledger!$B$3:$B$1002,$A181,Ledger!$C$3:$C$1002,"Issue"))</f>
        <v/>
      </c>
      <c r="G181" s="24">
        <f>IF($A181="","",SUMIFS(Ledger!$F$3:$F$1002,Ledger!$B$3:$B$1002,$A181,Ledger!$C$3:$C$1002,"Issue")-SUMIFS(Ledger!$F$3:$F$1002,Ledger!$B$3:$B$1002,$A181,Ledger!$C$3:$C$1002,"Return"))</f>
        <v/>
      </c>
    </row>
    <row r="182">
      <c r="A182" s="4">
        <f>IF(Customers!A182="","",Customers!A182)</f>
        <v/>
      </c>
      <c r="B182" s="24">
        <f>IF($A182="","",SUMIFS(Ledger!$H$3:$H$1002,Ledger!$B$3:$B$1002,$A182))</f>
        <v/>
      </c>
      <c r="C182" s="24">
        <f>IF($A182="","",SUMIFS(Ledger!$I$3:$I$1002,Ledger!$B$3:$B$1002,$A182))</f>
        <v/>
      </c>
      <c r="D182" s="24">
        <f>IF($A182="","",IFERROR(XLOOKUP($A182,Customers!$A:$A,Customers!$F:$F),0))</f>
        <v/>
      </c>
      <c r="E182" s="24">
        <f>IF($A182="","",$B182+$D182-$C182)</f>
        <v/>
      </c>
      <c r="F182" s="24">
        <f>IF($A182="","",SUMIFS(Ledger!$F$3:$F$1002,Ledger!$B$3:$B$1002,$A182,Ledger!$C$3:$C$1002,"Issue"))</f>
        <v/>
      </c>
      <c r="G182" s="24">
        <f>IF($A182="","",SUMIFS(Ledger!$F$3:$F$1002,Ledger!$B$3:$B$1002,$A182,Ledger!$C$3:$C$1002,"Issue")-SUMIFS(Ledger!$F$3:$F$1002,Ledger!$B$3:$B$1002,$A182,Ledger!$C$3:$C$1002,"Return"))</f>
        <v/>
      </c>
    </row>
    <row r="183">
      <c r="A183" s="4">
        <f>IF(Customers!A183="","",Customers!A183)</f>
        <v/>
      </c>
      <c r="B183" s="24">
        <f>IF($A183="","",SUMIFS(Ledger!$H$3:$H$1002,Ledger!$B$3:$B$1002,$A183))</f>
        <v/>
      </c>
      <c r="C183" s="24">
        <f>IF($A183="","",SUMIFS(Ledger!$I$3:$I$1002,Ledger!$B$3:$B$1002,$A183))</f>
        <v/>
      </c>
      <c r="D183" s="24">
        <f>IF($A183="","",IFERROR(XLOOKUP($A183,Customers!$A:$A,Customers!$F:$F),0))</f>
        <v/>
      </c>
      <c r="E183" s="24">
        <f>IF($A183="","",$B183+$D183-$C183)</f>
        <v/>
      </c>
      <c r="F183" s="24">
        <f>IF($A183="","",SUMIFS(Ledger!$F$3:$F$1002,Ledger!$B$3:$B$1002,$A183,Ledger!$C$3:$C$1002,"Issue"))</f>
        <v/>
      </c>
      <c r="G183" s="24">
        <f>IF($A183="","",SUMIFS(Ledger!$F$3:$F$1002,Ledger!$B$3:$B$1002,$A183,Ledger!$C$3:$C$1002,"Issue")-SUMIFS(Ledger!$F$3:$F$1002,Ledger!$B$3:$B$1002,$A183,Ledger!$C$3:$C$1002,"Return"))</f>
        <v/>
      </c>
    </row>
    <row r="184">
      <c r="A184" s="4">
        <f>IF(Customers!A184="","",Customers!A184)</f>
        <v/>
      </c>
      <c r="B184" s="24">
        <f>IF($A184="","",SUMIFS(Ledger!$H$3:$H$1002,Ledger!$B$3:$B$1002,$A184))</f>
        <v/>
      </c>
      <c r="C184" s="24">
        <f>IF($A184="","",SUMIFS(Ledger!$I$3:$I$1002,Ledger!$B$3:$B$1002,$A184))</f>
        <v/>
      </c>
      <c r="D184" s="24">
        <f>IF($A184="","",IFERROR(XLOOKUP($A184,Customers!$A:$A,Customers!$F:$F),0))</f>
        <v/>
      </c>
      <c r="E184" s="24">
        <f>IF($A184="","",$B184+$D184-$C184)</f>
        <v/>
      </c>
      <c r="F184" s="24">
        <f>IF($A184="","",SUMIFS(Ledger!$F$3:$F$1002,Ledger!$B$3:$B$1002,$A184,Ledger!$C$3:$C$1002,"Issue"))</f>
        <v/>
      </c>
      <c r="G184" s="24">
        <f>IF($A184="","",SUMIFS(Ledger!$F$3:$F$1002,Ledger!$B$3:$B$1002,$A184,Ledger!$C$3:$C$1002,"Issue")-SUMIFS(Ledger!$F$3:$F$1002,Ledger!$B$3:$B$1002,$A184,Ledger!$C$3:$C$1002,"Return"))</f>
        <v/>
      </c>
    </row>
    <row r="185">
      <c r="A185" s="4">
        <f>IF(Customers!A185="","",Customers!A185)</f>
        <v/>
      </c>
      <c r="B185" s="24">
        <f>IF($A185="","",SUMIFS(Ledger!$H$3:$H$1002,Ledger!$B$3:$B$1002,$A185))</f>
        <v/>
      </c>
      <c r="C185" s="24">
        <f>IF($A185="","",SUMIFS(Ledger!$I$3:$I$1002,Ledger!$B$3:$B$1002,$A185))</f>
        <v/>
      </c>
      <c r="D185" s="24">
        <f>IF($A185="","",IFERROR(XLOOKUP($A185,Customers!$A:$A,Customers!$F:$F),0))</f>
        <v/>
      </c>
      <c r="E185" s="24">
        <f>IF($A185="","",$B185+$D185-$C185)</f>
        <v/>
      </c>
      <c r="F185" s="24">
        <f>IF($A185="","",SUMIFS(Ledger!$F$3:$F$1002,Ledger!$B$3:$B$1002,$A185,Ledger!$C$3:$C$1002,"Issue"))</f>
        <v/>
      </c>
      <c r="G185" s="24">
        <f>IF($A185="","",SUMIFS(Ledger!$F$3:$F$1002,Ledger!$B$3:$B$1002,$A185,Ledger!$C$3:$C$1002,"Issue")-SUMIFS(Ledger!$F$3:$F$1002,Ledger!$B$3:$B$1002,$A185,Ledger!$C$3:$C$1002,"Return"))</f>
        <v/>
      </c>
    </row>
    <row r="186">
      <c r="A186" s="4">
        <f>IF(Customers!A186="","",Customers!A186)</f>
        <v/>
      </c>
      <c r="B186" s="24">
        <f>IF($A186="","",SUMIFS(Ledger!$H$3:$H$1002,Ledger!$B$3:$B$1002,$A186))</f>
        <v/>
      </c>
      <c r="C186" s="24">
        <f>IF($A186="","",SUMIFS(Ledger!$I$3:$I$1002,Ledger!$B$3:$B$1002,$A186))</f>
        <v/>
      </c>
      <c r="D186" s="24">
        <f>IF($A186="","",IFERROR(XLOOKUP($A186,Customers!$A:$A,Customers!$F:$F),0))</f>
        <v/>
      </c>
      <c r="E186" s="24">
        <f>IF($A186="","",$B186+$D186-$C186)</f>
        <v/>
      </c>
      <c r="F186" s="24">
        <f>IF($A186="","",SUMIFS(Ledger!$F$3:$F$1002,Ledger!$B$3:$B$1002,$A186,Ledger!$C$3:$C$1002,"Issue"))</f>
        <v/>
      </c>
      <c r="G186" s="24">
        <f>IF($A186="","",SUMIFS(Ledger!$F$3:$F$1002,Ledger!$B$3:$B$1002,$A186,Ledger!$C$3:$C$1002,"Issue")-SUMIFS(Ledger!$F$3:$F$1002,Ledger!$B$3:$B$1002,$A186,Ledger!$C$3:$C$1002,"Return"))</f>
        <v/>
      </c>
    </row>
    <row r="187">
      <c r="A187" s="4">
        <f>IF(Customers!A187="","",Customers!A187)</f>
        <v/>
      </c>
      <c r="B187" s="24">
        <f>IF($A187="","",SUMIFS(Ledger!$H$3:$H$1002,Ledger!$B$3:$B$1002,$A187))</f>
        <v/>
      </c>
      <c r="C187" s="24">
        <f>IF($A187="","",SUMIFS(Ledger!$I$3:$I$1002,Ledger!$B$3:$B$1002,$A187))</f>
        <v/>
      </c>
      <c r="D187" s="24">
        <f>IF($A187="","",IFERROR(XLOOKUP($A187,Customers!$A:$A,Customers!$F:$F),0))</f>
        <v/>
      </c>
      <c r="E187" s="24">
        <f>IF($A187="","",$B187+$D187-$C187)</f>
        <v/>
      </c>
      <c r="F187" s="24">
        <f>IF($A187="","",SUMIFS(Ledger!$F$3:$F$1002,Ledger!$B$3:$B$1002,$A187,Ledger!$C$3:$C$1002,"Issue"))</f>
        <v/>
      </c>
      <c r="G187" s="24">
        <f>IF($A187="","",SUMIFS(Ledger!$F$3:$F$1002,Ledger!$B$3:$B$1002,$A187,Ledger!$C$3:$C$1002,"Issue")-SUMIFS(Ledger!$F$3:$F$1002,Ledger!$B$3:$B$1002,$A187,Ledger!$C$3:$C$1002,"Return"))</f>
        <v/>
      </c>
    </row>
    <row r="188">
      <c r="A188" s="4">
        <f>IF(Customers!A188="","",Customers!A188)</f>
        <v/>
      </c>
      <c r="B188" s="24">
        <f>IF($A188="","",SUMIFS(Ledger!$H$3:$H$1002,Ledger!$B$3:$B$1002,$A188))</f>
        <v/>
      </c>
      <c r="C188" s="24">
        <f>IF($A188="","",SUMIFS(Ledger!$I$3:$I$1002,Ledger!$B$3:$B$1002,$A188))</f>
        <v/>
      </c>
      <c r="D188" s="24">
        <f>IF($A188="","",IFERROR(XLOOKUP($A188,Customers!$A:$A,Customers!$F:$F),0))</f>
        <v/>
      </c>
      <c r="E188" s="24">
        <f>IF($A188="","",$B188+$D188-$C188)</f>
        <v/>
      </c>
      <c r="F188" s="24">
        <f>IF($A188="","",SUMIFS(Ledger!$F$3:$F$1002,Ledger!$B$3:$B$1002,$A188,Ledger!$C$3:$C$1002,"Issue"))</f>
        <v/>
      </c>
      <c r="G188" s="24">
        <f>IF($A188="","",SUMIFS(Ledger!$F$3:$F$1002,Ledger!$B$3:$B$1002,$A188,Ledger!$C$3:$C$1002,"Issue")-SUMIFS(Ledger!$F$3:$F$1002,Ledger!$B$3:$B$1002,$A188,Ledger!$C$3:$C$1002,"Return"))</f>
        <v/>
      </c>
    </row>
    <row r="189">
      <c r="A189" s="4">
        <f>IF(Customers!A189="","",Customers!A189)</f>
        <v/>
      </c>
      <c r="B189" s="24">
        <f>IF($A189="","",SUMIFS(Ledger!$H$3:$H$1002,Ledger!$B$3:$B$1002,$A189))</f>
        <v/>
      </c>
      <c r="C189" s="24">
        <f>IF($A189="","",SUMIFS(Ledger!$I$3:$I$1002,Ledger!$B$3:$B$1002,$A189))</f>
        <v/>
      </c>
      <c r="D189" s="24">
        <f>IF($A189="","",IFERROR(XLOOKUP($A189,Customers!$A:$A,Customers!$F:$F),0))</f>
        <v/>
      </c>
      <c r="E189" s="24">
        <f>IF($A189="","",$B189+$D189-$C189)</f>
        <v/>
      </c>
      <c r="F189" s="24">
        <f>IF($A189="","",SUMIFS(Ledger!$F$3:$F$1002,Ledger!$B$3:$B$1002,$A189,Ledger!$C$3:$C$1002,"Issue"))</f>
        <v/>
      </c>
      <c r="G189" s="24">
        <f>IF($A189="","",SUMIFS(Ledger!$F$3:$F$1002,Ledger!$B$3:$B$1002,$A189,Ledger!$C$3:$C$1002,"Issue")-SUMIFS(Ledger!$F$3:$F$1002,Ledger!$B$3:$B$1002,$A189,Ledger!$C$3:$C$1002,"Return"))</f>
        <v/>
      </c>
    </row>
    <row r="190">
      <c r="A190" s="4">
        <f>IF(Customers!A190="","",Customers!A190)</f>
        <v/>
      </c>
      <c r="B190" s="24">
        <f>IF($A190="","",SUMIFS(Ledger!$H$3:$H$1002,Ledger!$B$3:$B$1002,$A190))</f>
        <v/>
      </c>
      <c r="C190" s="24">
        <f>IF($A190="","",SUMIFS(Ledger!$I$3:$I$1002,Ledger!$B$3:$B$1002,$A190))</f>
        <v/>
      </c>
      <c r="D190" s="24">
        <f>IF($A190="","",IFERROR(XLOOKUP($A190,Customers!$A:$A,Customers!$F:$F),0))</f>
        <v/>
      </c>
      <c r="E190" s="24">
        <f>IF($A190="","",$B190+$D190-$C190)</f>
        <v/>
      </c>
      <c r="F190" s="24">
        <f>IF($A190="","",SUMIFS(Ledger!$F$3:$F$1002,Ledger!$B$3:$B$1002,$A190,Ledger!$C$3:$C$1002,"Issue"))</f>
        <v/>
      </c>
      <c r="G190" s="24">
        <f>IF($A190="","",SUMIFS(Ledger!$F$3:$F$1002,Ledger!$B$3:$B$1002,$A190,Ledger!$C$3:$C$1002,"Issue")-SUMIFS(Ledger!$F$3:$F$1002,Ledger!$B$3:$B$1002,$A190,Ledger!$C$3:$C$1002,"Return"))</f>
        <v/>
      </c>
    </row>
    <row r="191">
      <c r="A191" s="4">
        <f>IF(Customers!A191="","",Customers!A191)</f>
        <v/>
      </c>
      <c r="B191" s="24">
        <f>IF($A191="","",SUMIFS(Ledger!$H$3:$H$1002,Ledger!$B$3:$B$1002,$A191))</f>
        <v/>
      </c>
      <c r="C191" s="24">
        <f>IF($A191="","",SUMIFS(Ledger!$I$3:$I$1002,Ledger!$B$3:$B$1002,$A191))</f>
        <v/>
      </c>
      <c r="D191" s="24">
        <f>IF($A191="","",IFERROR(XLOOKUP($A191,Customers!$A:$A,Customers!$F:$F),0))</f>
        <v/>
      </c>
      <c r="E191" s="24">
        <f>IF($A191="","",$B191+$D191-$C191)</f>
        <v/>
      </c>
      <c r="F191" s="24">
        <f>IF($A191="","",SUMIFS(Ledger!$F$3:$F$1002,Ledger!$B$3:$B$1002,$A191,Ledger!$C$3:$C$1002,"Issue"))</f>
        <v/>
      </c>
      <c r="G191" s="24">
        <f>IF($A191="","",SUMIFS(Ledger!$F$3:$F$1002,Ledger!$B$3:$B$1002,$A191,Ledger!$C$3:$C$1002,"Issue")-SUMIFS(Ledger!$F$3:$F$1002,Ledger!$B$3:$B$1002,$A191,Ledger!$C$3:$C$1002,"Return"))</f>
        <v/>
      </c>
    </row>
    <row r="192">
      <c r="A192" s="4">
        <f>IF(Customers!A192="","",Customers!A192)</f>
        <v/>
      </c>
      <c r="B192" s="24">
        <f>IF($A192="","",SUMIFS(Ledger!$H$3:$H$1002,Ledger!$B$3:$B$1002,$A192))</f>
        <v/>
      </c>
      <c r="C192" s="24">
        <f>IF($A192="","",SUMIFS(Ledger!$I$3:$I$1002,Ledger!$B$3:$B$1002,$A192))</f>
        <v/>
      </c>
      <c r="D192" s="24">
        <f>IF($A192="","",IFERROR(XLOOKUP($A192,Customers!$A:$A,Customers!$F:$F),0))</f>
        <v/>
      </c>
      <c r="E192" s="24">
        <f>IF($A192="","",$B192+$D192-$C192)</f>
        <v/>
      </c>
      <c r="F192" s="24">
        <f>IF($A192="","",SUMIFS(Ledger!$F$3:$F$1002,Ledger!$B$3:$B$1002,$A192,Ledger!$C$3:$C$1002,"Issue"))</f>
        <v/>
      </c>
      <c r="G192" s="24">
        <f>IF($A192="","",SUMIFS(Ledger!$F$3:$F$1002,Ledger!$B$3:$B$1002,$A192,Ledger!$C$3:$C$1002,"Issue")-SUMIFS(Ledger!$F$3:$F$1002,Ledger!$B$3:$B$1002,$A192,Ledger!$C$3:$C$1002,"Return"))</f>
        <v/>
      </c>
    </row>
    <row r="193">
      <c r="A193" s="4">
        <f>IF(Customers!A193="","",Customers!A193)</f>
        <v/>
      </c>
      <c r="B193" s="24">
        <f>IF($A193="","",SUMIFS(Ledger!$H$3:$H$1002,Ledger!$B$3:$B$1002,$A193))</f>
        <v/>
      </c>
      <c r="C193" s="24">
        <f>IF($A193="","",SUMIFS(Ledger!$I$3:$I$1002,Ledger!$B$3:$B$1002,$A193))</f>
        <v/>
      </c>
      <c r="D193" s="24">
        <f>IF($A193="","",IFERROR(XLOOKUP($A193,Customers!$A:$A,Customers!$F:$F),0))</f>
        <v/>
      </c>
      <c r="E193" s="24">
        <f>IF($A193="","",$B193+$D193-$C193)</f>
        <v/>
      </c>
      <c r="F193" s="24">
        <f>IF($A193="","",SUMIFS(Ledger!$F$3:$F$1002,Ledger!$B$3:$B$1002,$A193,Ledger!$C$3:$C$1002,"Issue"))</f>
        <v/>
      </c>
      <c r="G193" s="24">
        <f>IF($A193="","",SUMIFS(Ledger!$F$3:$F$1002,Ledger!$B$3:$B$1002,$A193,Ledger!$C$3:$C$1002,"Issue")-SUMIFS(Ledger!$F$3:$F$1002,Ledger!$B$3:$B$1002,$A193,Ledger!$C$3:$C$1002,"Return"))</f>
        <v/>
      </c>
    </row>
    <row r="194">
      <c r="A194" s="4">
        <f>IF(Customers!A194="","",Customers!A194)</f>
        <v/>
      </c>
      <c r="B194" s="24">
        <f>IF($A194="","",SUMIFS(Ledger!$H$3:$H$1002,Ledger!$B$3:$B$1002,$A194))</f>
        <v/>
      </c>
      <c r="C194" s="24">
        <f>IF($A194="","",SUMIFS(Ledger!$I$3:$I$1002,Ledger!$B$3:$B$1002,$A194))</f>
        <v/>
      </c>
      <c r="D194" s="24">
        <f>IF($A194="","",IFERROR(XLOOKUP($A194,Customers!$A:$A,Customers!$F:$F),0))</f>
        <v/>
      </c>
      <c r="E194" s="24">
        <f>IF($A194="","",$B194+$D194-$C194)</f>
        <v/>
      </c>
      <c r="F194" s="24">
        <f>IF($A194="","",SUMIFS(Ledger!$F$3:$F$1002,Ledger!$B$3:$B$1002,$A194,Ledger!$C$3:$C$1002,"Issue"))</f>
        <v/>
      </c>
      <c r="G194" s="24">
        <f>IF($A194="","",SUMIFS(Ledger!$F$3:$F$1002,Ledger!$B$3:$B$1002,$A194,Ledger!$C$3:$C$1002,"Issue")-SUMIFS(Ledger!$F$3:$F$1002,Ledger!$B$3:$B$1002,$A194,Ledger!$C$3:$C$1002,"Return"))</f>
        <v/>
      </c>
    </row>
    <row r="195">
      <c r="A195" s="4">
        <f>IF(Customers!A195="","",Customers!A195)</f>
        <v/>
      </c>
      <c r="B195" s="24">
        <f>IF($A195="","",SUMIFS(Ledger!$H$3:$H$1002,Ledger!$B$3:$B$1002,$A195))</f>
        <v/>
      </c>
      <c r="C195" s="24">
        <f>IF($A195="","",SUMIFS(Ledger!$I$3:$I$1002,Ledger!$B$3:$B$1002,$A195))</f>
        <v/>
      </c>
      <c r="D195" s="24">
        <f>IF($A195="","",IFERROR(XLOOKUP($A195,Customers!$A:$A,Customers!$F:$F),0))</f>
        <v/>
      </c>
      <c r="E195" s="24">
        <f>IF($A195="","",$B195+$D195-$C195)</f>
        <v/>
      </c>
      <c r="F195" s="24">
        <f>IF($A195="","",SUMIFS(Ledger!$F$3:$F$1002,Ledger!$B$3:$B$1002,$A195,Ledger!$C$3:$C$1002,"Issue"))</f>
        <v/>
      </c>
      <c r="G195" s="24">
        <f>IF($A195="","",SUMIFS(Ledger!$F$3:$F$1002,Ledger!$B$3:$B$1002,$A195,Ledger!$C$3:$C$1002,"Issue")-SUMIFS(Ledger!$F$3:$F$1002,Ledger!$B$3:$B$1002,$A195,Ledger!$C$3:$C$1002,"Return"))</f>
        <v/>
      </c>
    </row>
    <row r="196">
      <c r="A196" s="4">
        <f>IF(Customers!A196="","",Customers!A196)</f>
        <v/>
      </c>
      <c r="B196" s="24">
        <f>IF($A196="","",SUMIFS(Ledger!$H$3:$H$1002,Ledger!$B$3:$B$1002,$A196))</f>
        <v/>
      </c>
      <c r="C196" s="24">
        <f>IF($A196="","",SUMIFS(Ledger!$I$3:$I$1002,Ledger!$B$3:$B$1002,$A196))</f>
        <v/>
      </c>
      <c r="D196" s="24">
        <f>IF($A196="","",IFERROR(XLOOKUP($A196,Customers!$A:$A,Customers!$F:$F),0))</f>
        <v/>
      </c>
      <c r="E196" s="24">
        <f>IF($A196="","",$B196+$D196-$C196)</f>
        <v/>
      </c>
      <c r="F196" s="24">
        <f>IF($A196="","",SUMIFS(Ledger!$F$3:$F$1002,Ledger!$B$3:$B$1002,$A196,Ledger!$C$3:$C$1002,"Issue"))</f>
        <v/>
      </c>
      <c r="G196" s="24">
        <f>IF($A196="","",SUMIFS(Ledger!$F$3:$F$1002,Ledger!$B$3:$B$1002,$A196,Ledger!$C$3:$C$1002,"Issue")-SUMIFS(Ledger!$F$3:$F$1002,Ledger!$B$3:$B$1002,$A196,Ledger!$C$3:$C$1002,"Return"))</f>
        <v/>
      </c>
    </row>
    <row r="197">
      <c r="A197" s="4">
        <f>IF(Customers!A197="","",Customers!A197)</f>
        <v/>
      </c>
      <c r="B197" s="24">
        <f>IF($A197="","",SUMIFS(Ledger!$H$3:$H$1002,Ledger!$B$3:$B$1002,$A197))</f>
        <v/>
      </c>
      <c r="C197" s="24">
        <f>IF($A197="","",SUMIFS(Ledger!$I$3:$I$1002,Ledger!$B$3:$B$1002,$A197))</f>
        <v/>
      </c>
      <c r="D197" s="24">
        <f>IF($A197="","",IFERROR(XLOOKUP($A197,Customers!$A:$A,Customers!$F:$F),0))</f>
        <v/>
      </c>
      <c r="E197" s="24">
        <f>IF($A197="","",$B197+$D197-$C197)</f>
        <v/>
      </c>
      <c r="F197" s="24">
        <f>IF($A197="","",SUMIFS(Ledger!$F$3:$F$1002,Ledger!$B$3:$B$1002,$A197,Ledger!$C$3:$C$1002,"Issue"))</f>
        <v/>
      </c>
      <c r="G197" s="24">
        <f>IF($A197="","",SUMIFS(Ledger!$F$3:$F$1002,Ledger!$B$3:$B$1002,$A197,Ledger!$C$3:$C$1002,"Issue")-SUMIFS(Ledger!$F$3:$F$1002,Ledger!$B$3:$B$1002,$A197,Ledger!$C$3:$C$1002,"Return"))</f>
        <v/>
      </c>
    </row>
    <row r="198">
      <c r="A198" s="4">
        <f>IF(Customers!A198="","",Customers!A198)</f>
        <v/>
      </c>
      <c r="B198" s="24">
        <f>IF($A198="","",SUMIFS(Ledger!$H$3:$H$1002,Ledger!$B$3:$B$1002,$A198))</f>
        <v/>
      </c>
      <c r="C198" s="24">
        <f>IF($A198="","",SUMIFS(Ledger!$I$3:$I$1002,Ledger!$B$3:$B$1002,$A198))</f>
        <v/>
      </c>
      <c r="D198" s="24">
        <f>IF($A198="","",IFERROR(XLOOKUP($A198,Customers!$A:$A,Customers!$F:$F),0))</f>
        <v/>
      </c>
      <c r="E198" s="24">
        <f>IF($A198="","",$B198+$D198-$C198)</f>
        <v/>
      </c>
      <c r="F198" s="24">
        <f>IF($A198="","",SUMIFS(Ledger!$F$3:$F$1002,Ledger!$B$3:$B$1002,$A198,Ledger!$C$3:$C$1002,"Issue"))</f>
        <v/>
      </c>
      <c r="G198" s="24">
        <f>IF($A198="","",SUMIFS(Ledger!$F$3:$F$1002,Ledger!$B$3:$B$1002,$A198,Ledger!$C$3:$C$1002,"Issue")-SUMIFS(Ledger!$F$3:$F$1002,Ledger!$B$3:$B$1002,$A198,Ledger!$C$3:$C$1002,"Return"))</f>
        <v/>
      </c>
    </row>
    <row r="199">
      <c r="A199" s="4">
        <f>IF(Customers!A199="","",Customers!A199)</f>
        <v/>
      </c>
      <c r="B199" s="24">
        <f>IF($A199="","",SUMIFS(Ledger!$H$3:$H$1002,Ledger!$B$3:$B$1002,$A199))</f>
        <v/>
      </c>
      <c r="C199" s="24">
        <f>IF($A199="","",SUMIFS(Ledger!$I$3:$I$1002,Ledger!$B$3:$B$1002,$A199))</f>
        <v/>
      </c>
      <c r="D199" s="24">
        <f>IF($A199="","",IFERROR(XLOOKUP($A199,Customers!$A:$A,Customers!$F:$F),0))</f>
        <v/>
      </c>
      <c r="E199" s="24">
        <f>IF($A199="","",$B199+$D199-$C199)</f>
        <v/>
      </c>
      <c r="F199" s="24">
        <f>IF($A199="","",SUMIFS(Ledger!$F$3:$F$1002,Ledger!$B$3:$B$1002,$A199,Ledger!$C$3:$C$1002,"Issue"))</f>
        <v/>
      </c>
      <c r="G199" s="24">
        <f>IF($A199="","",SUMIFS(Ledger!$F$3:$F$1002,Ledger!$B$3:$B$1002,$A199,Ledger!$C$3:$C$1002,"Issue")-SUMIFS(Ledger!$F$3:$F$1002,Ledger!$B$3:$B$1002,$A199,Ledger!$C$3:$C$1002,"Return"))</f>
        <v/>
      </c>
    </row>
    <row r="200">
      <c r="A200" s="4">
        <f>IF(Customers!A200="","",Customers!A200)</f>
        <v/>
      </c>
      <c r="B200" s="24">
        <f>IF($A200="","",SUMIFS(Ledger!$H$3:$H$1002,Ledger!$B$3:$B$1002,$A200))</f>
        <v/>
      </c>
      <c r="C200" s="24">
        <f>IF($A200="","",SUMIFS(Ledger!$I$3:$I$1002,Ledger!$B$3:$B$1002,$A200))</f>
        <v/>
      </c>
      <c r="D200" s="24">
        <f>IF($A200="","",IFERROR(XLOOKUP($A200,Customers!$A:$A,Customers!$F:$F),0))</f>
        <v/>
      </c>
      <c r="E200" s="24">
        <f>IF($A200="","",$B200+$D200-$C200)</f>
        <v/>
      </c>
      <c r="F200" s="24">
        <f>IF($A200="","",SUMIFS(Ledger!$F$3:$F$1002,Ledger!$B$3:$B$1002,$A200,Ledger!$C$3:$C$1002,"Issue"))</f>
        <v/>
      </c>
      <c r="G200" s="24">
        <f>IF($A200="","",SUMIFS(Ledger!$F$3:$F$1002,Ledger!$B$3:$B$1002,$A200,Ledger!$C$3:$C$1002,"Issue")-SUMIFS(Ledger!$F$3:$F$1002,Ledger!$B$3:$B$1002,$A200,Ledger!$C$3:$C$1002,"Return"))</f>
        <v/>
      </c>
    </row>
    <row r="201">
      <c r="A201" s="4">
        <f>IF(Customers!A201="","",Customers!A201)</f>
        <v/>
      </c>
      <c r="B201" s="24">
        <f>IF($A201="","",SUMIFS(Ledger!$H$3:$H$1002,Ledger!$B$3:$B$1002,$A201))</f>
        <v/>
      </c>
      <c r="C201" s="24">
        <f>IF($A201="","",SUMIFS(Ledger!$I$3:$I$1002,Ledger!$B$3:$B$1002,$A201))</f>
        <v/>
      </c>
      <c r="D201" s="24">
        <f>IF($A201="","",IFERROR(XLOOKUP($A201,Customers!$A:$A,Customers!$F:$F),0))</f>
        <v/>
      </c>
      <c r="E201" s="24">
        <f>IF($A201="","",$B201+$D201-$C201)</f>
        <v/>
      </c>
      <c r="F201" s="24">
        <f>IF($A201="","",SUMIFS(Ledger!$F$3:$F$1002,Ledger!$B$3:$B$1002,$A201,Ledger!$C$3:$C$1002,"Issue"))</f>
        <v/>
      </c>
      <c r="G201" s="24">
        <f>IF($A201="","",SUMIFS(Ledger!$F$3:$F$1002,Ledger!$B$3:$B$1002,$A201,Ledger!$C$3:$C$1002,"Issue")-SUMIFS(Ledger!$F$3:$F$1002,Ledger!$B$3:$B$1002,$A201,Ledger!$C$3:$C$1002,"Return"))</f>
        <v/>
      </c>
    </row>
    <row r="202">
      <c r="A202" s="4">
        <f>IF(Customers!A202="","",Customers!A202)</f>
        <v/>
      </c>
      <c r="B202" s="24">
        <f>IF($A202="","",SUMIFS(Ledger!$H$3:$H$1002,Ledger!$B$3:$B$1002,$A202))</f>
        <v/>
      </c>
      <c r="C202" s="24">
        <f>IF($A202="","",SUMIFS(Ledger!$I$3:$I$1002,Ledger!$B$3:$B$1002,$A202))</f>
        <v/>
      </c>
      <c r="D202" s="24">
        <f>IF($A202="","",IFERROR(XLOOKUP($A202,Customers!$A:$A,Customers!$F:$F),0))</f>
        <v/>
      </c>
      <c r="E202" s="24">
        <f>IF($A202="","",$B202+$D202-$C202)</f>
        <v/>
      </c>
      <c r="F202" s="24">
        <f>IF($A202="","",SUMIFS(Ledger!$F$3:$F$1002,Ledger!$B$3:$B$1002,$A202,Ledger!$C$3:$C$1002,"Issue"))</f>
        <v/>
      </c>
      <c r="G202" s="24">
        <f>IF($A202="","",SUMIFS(Ledger!$F$3:$F$1002,Ledger!$B$3:$B$1002,$A202,Ledger!$C$3:$C$1002,"Issue")-SUMIFS(Ledger!$F$3:$F$1002,Ledger!$B$3:$B$1002,$A202,Ledger!$C$3:$C$1002,"Return"))</f>
        <v/>
      </c>
    </row>
  </sheetData>
  <autoFilter ref="A2:G202"/>
  <mergeCells count="1">
    <mergeCell ref="A1:G1"/>
  </mergeCells>
  <conditionalFormatting sqref="E3:E202">
    <cfRule type="cellIs" priority="1" operator="greaterThan" dxfId="3">
      <formula>0</formula>
    </cfRule>
  </conditionalFormatting>
  <conditionalFormatting sqref="G3:G202">
    <cfRule type="cellIs" priority="2" operator="greaterThan" dxfId="2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D9488"/>
    <outlinePr summaryBelow="1" summaryRight="1"/>
    <pageSetUpPr fitToPage="1"/>
  </sheetPr>
  <dimension ref="A1:H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9" customWidth="1" min="6" max="6"/>
    <col width="13" customWidth="1" min="7" max="7"/>
    <col width="16" customWidth="1" min="8" max="8"/>
  </cols>
  <sheetData>
    <row r="1" ht="30" customHeight="1">
      <c r="A1" s="21" t="inlineStr">
        <is>
          <t>STOCK • माल हिशोब • In Hand = Opening + Return - Given</t>
        </is>
      </c>
    </row>
    <row r="2">
      <c r="A2" s="2" t="inlineStr">
        <is>
          <t>Item ID</t>
        </is>
      </c>
      <c r="B2" s="2" t="inlineStr">
        <is>
          <t>Opening</t>
        </is>
      </c>
      <c r="C2" s="2" t="inlineStr">
        <is>
          <t>Given
दिले</t>
        </is>
      </c>
      <c r="D2" s="2" t="inlineStr">
        <is>
          <t>Returned
परत</t>
        </is>
      </c>
      <c r="E2" s="2" t="inlineStr">
        <is>
          <t>In Hand
हातात</t>
        </is>
      </c>
      <c r="F2" s="2" t="inlineStr">
        <is>
          <t>Min
किमान</t>
        </is>
      </c>
      <c r="G2" s="2" t="inlineStr">
        <is>
          <t>Revenue ₹
कमाई</t>
        </is>
      </c>
      <c r="H2" s="2" t="inlineStr">
        <is>
          <t>Status</t>
        </is>
      </c>
    </row>
    <row r="3">
      <c r="A3" s="5">
        <f>IF(Items!A3="","",Items!A3)</f>
        <v/>
      </c>
      <c r="B3" s="5">
        <f>IF($A3="","",IFERROR(XLOOKUP($A3,Items!$A:$A,Items!$E:$E),0))</f>
        <v/>
      </c>
      <c r="C3" s="5">
        <f>IF($A3="","",SUMIFS(Ledger!$F$3:$F$1002,Ledger!$D$3:$D$1002,$A3,Ledger!$C$3:$C$1002,"Issue"))</f>
        <v/>
      </c>
      <c r="D3" s="5">
        <f>IF($A3="","",SUMIFS(Ledger!$F$3:$F$1002,Ledger!$D$3:$D$1002,$A3,Ledger!$C$3:$C$1002,"Return"))</f>
        <v/>
      </c>
      <c r="E3" s="5">
        <f>IF($A3="","",$B3+$D3-$C3)</f>
        <v/>
      </c>
      <c r="F3" s="5">
        <f>IF($A3="","",IFERROR(XLOOKUP($A3,Items!$A:$A,Items!$F:$F),0))</f>
        <v/>
      </c>
      <c r="G3" s="6">
        <f>IF($A3="","",SUMIFS(Ledger!$H$3:$H$1002,Ledger!$D$3:$D$1002,$A3))</f>
        <v/>
      </c>
      <c r="H3" s="5">
        <f>IF($A3="","",IF($E3&lt;$F3,"LOW",IF($E3=0,"EMPTY","OK")))</f>
        <v/>
      </c>
    </row>
    <row r="4">
      <c r="A4" s="5">
        <f>IF(Items!A4="","",Items!A4)</f>
        <v/>
      </c>
      <c r="B4" s="5">
        <f>IF($A4="","",IFERROR(XLOOKUP($A4,Items!$A:$A,Items!$E:$E),0))</f>
        <v/>
      </c>
      <c r="C4" s="5">
        <f>IF($A4="","",SUMIFS(Ledger!$F$3:$F$1002,Ledger!$D$3:$D$1002,$A4,Ledger!$C$3:$C$1002,"Issue"))</f>
        <v/>
      </c>
      <c r="D4" s="5">
        <f>IF($A4="","",SUMIFS(Ledger!$F$3:$F$1002,Ledger!$D$3:$D$1002,$A4,Ledger!$C$3:$C$1002,"Return"))</f>
        <v/>
      </c>
      <c r="E4" s="5">
        <f>IF($A4="","",$B4+$D4-$C4)</f>
        <v/>
      </c>
      <c r="F4" s="5">
        <f>IF($A4="","",IFERROR(XLOOKUP($A4,Items!$A:$A,Items!$F:$F),0))</f>
        <v/>
      </c>
      <c r="G4" s="6">
        <f>IF($A4="","",SUMIFS(Ledger!$H$3:$H$1002,Ledger!$D$3:$D$1002,$A4))</f>
        <v/>
      </c>
      <c r="H4" s="5">
        <f>IF($A4="","",IF($E4&lt;$F4,"LOW",IF($E4=0,"EMPTY","OK")))</f>
        <v/>
      </c>
    </row>
    <row r="5">
      <c r="A5" s="5">
        <f>IF(Items!A5="","",Items!A5)</f>
        <v/>
      </c>
      <c r="B5" s="5">
        <f>IF($A5="","",IFERROR(XLOOKUP($A5,Items!$A:$A,Items!$E:$E),0))</f>
        <v/>
      </c>
      <c r="C5" s="5">
        <f>IF($A5="","",SUMIFS(Ledger!$F$3:$F$1002,Ledger!$D$3:$D$1002,$A5,Ledger!$C$3:$C$1002,"Issue"))</f>
        <v/>
      </c>
      <c r="D5" s="5">
        <f>IF($A5="","",SUMIFS(Ledger!$F$3:$F$1002,Ledger!$D$3:$D$1002,$A5,Ledger!$C$3:$C$1002,"Return"))</f>
        <v/>
      </c>
      <c r="E5" s="5">
        <f>IF($A5="","",$B5+$D5-$C5)</f>
        <v/>
      </c>
      <c r="F5" s="5">
        <f>IF($A5="","",IFERROR(XLOOKUP($A5,Items!$A:$A,Items!$F:$F),0))</f>
        <v/>
      </c>
      <c r="G5" s="6">
        <f>IF($A5="","",SUMIFS(Ledger!$H$3:$H$1002,Ledger!$D$3:$D$1002,$A5))</f>
        <v/>
      </c>
      <c r="H5" s="5">
        <f>IF($A5="","",IF($E5&lt;$F5,"LOW",IF($E5=0,"EMPTY","OK")))</f>
        <v/>
      </c>
    </row>
    <row r="6">
      <c r="A6" s="5">
        <f>IF(Items!A6="","",Items!A6)</f>
        <v/>
      </c>
      <c r="B6" s="5">
        <f>IF($A6="","",IFERROR(XLOOKUP($A6,Items!$A:$A,Items!$E:$E),0))</f>
        <v/>
      </c>
      <c r="C6" s="5">
        <f>IF($A6="","",SUMIFS(Ledger!$F$3:$F$1002,Ledger!$D$3:$D$1002,$A6,Ledger!$C$3:$C$1002,"Issue"))</f>
        <v/>
      </c>
      <c r="D6" s="5">
        <f>IF($A6="","",SUMIFS(Ledger!$F$3:$F$1002,Ledger!$D$3:$D$1002,$A6,Ledger!$C$3:$C$1002,"Return"))</f>
        <v/>
      </c>
      <c r="E6" s="5">
        <f>IF($A6="","",$B6+$D6-$C6)</f>
        <v/>
      </c>
      <c r="F6" s="5">
        <f>IF($A6="","",IFERROR(XLOOKUP($A6,Items!$A:$A,Items!$F:$F),0))</f>
        <v/>
      </c>
      <c r="G6" s="6">
        <f>IF($A6="","",SUMIFS(Ledger!$H$3:$H$1002,Ledger!$D$3:$D$1002,$A6))</f>
        <v/>
      </c>
      <c r="H6" s="5">
        <f>IF($A6="","",IF($E6&lt;$F6,"LOW",IF($E6=0,"EMPTY","OK")))</f>
        <v/>
      </c>
    </row>
    <row r="7">
      <c r="A7" s="5">
        <f>IF(Items!A7="","",Items!A7)</f>
        <v/>
      </c>
      <c r="B7" s="5">
        <f>IF($A7="","",IFERROR(XLOOKUP($A7,Items!$A:$A,Items!$E:$E),0))</f>
        <v/>
      </c>
      <c r="C7" s="5">
        <f>IF($A7="","",SUMIFS(Ledger!$F$3:$F$1002,Ledger!$D$3:$D$1002,$A7,Ledger!$C$3:$C$1002,"Issue"))</f>
        <v/>
      </c>
      <c r="D7" s="5">
        <f>IF($A7="","",SUMIFS(Ledger!$F$3:$F$1002,Ledger!$D$3:$D$1002,$A7,Ledger!$C$3:$C$1002,"Return"))</f>
        <v/>
      </c>
      <c r="E7" s="5">
        <f>IF($A7="","",$B7+$D7-$C7)</f>
        <v/>
      </c>
      <c r="F7" s="5">
        <f>IF($A7="","",IFERROR(XLOOKUP($A7,Items!$A:$A,Items!$F:$F),0))</f>
        <v/>
      </c>
      <c r="G7" s="6">
        <f>IF($A7="","",SUMIFS(Ledger!$H$3:$H$1002,Ledger!$D$3:$D$1002,$A7))</f>
        <v/>
      </c>
      <c r="H7" s="5">
        <f>IF($A7="","",IF($E7&lt;$F7,"LOW",IF($E7=0,"EMPTY","OK")))</f>
        <v/>
      </c>
    </row>
    <row r="8">
      <c r="A8" s="5">
        <f>IF(Items!A8="","",Items!A8)</f>
        <v/>
      </c>
      <c r="B8" s="5">
        <f>IF($A8="","",IFERROR(XLOOKUP($A8,Items!$A:$A,Items!$E:$E),0))</f>
        <v/>
      </c>
      <c r="C8" s="5">
        <f>IF($A8="","",SUMIFS(Ledger!$F$3:$F$1002,Ledger!$D$3:$D$1002,$A8,Ledger!$C$3:$C$1002,"Issue"))</f>
        <v/>
      </c>
      <c r="D8" s="5">
        <f>IF($A8="","",SUMIFS(Ledger!$F$3:$F$1002,Ledger!$D$3:$D$1002,$A8,Ledger!$C$3:$C$1002,"Return"))</f>
        <v/>
      </c>
      <c r="E8" s="5">
        <f>IF($A8="","",$B8+$D8-$C8)</f>
        <v/>
      </c>
      <c r="F8" s="5">
        <f>IF($A8="","",IFERROR(XLOOKUP($A8,Items!$A:$A,Items!$F:$F),0))</f>
        <v/>
      </c>
      <c r="G8" s="6">
        <f>IF($A8="","",SUMIFS(Ledger!$H$3:$H$1002,Ledger!$D$3:$D$1002,$A8))</f>
        <v/>
      </c>
      <c r="H8" s="5">
        <f>IF($A8="","",IF($E8&lt;$F8,"LOW",IF($E8=0,"EMPTY","OK")))</f>
        <v/>
      </c>
    </row>
    <row r="9">
      <c r="A9" s="5">
        <f>IF(Items!A9="","",Items!A9)</f>
        <v/>
      </c>
      <c r="B9" s="5">
        <f>IF($A9="","",IFERROR(XLOOKUP($A9,Items!$A:$A,Items!$E:$E),0))</f>
        <v/>
      </c>
      <c r="C9" s="5">
        <f>IF($A9="","",SUMIFS(Ledger!$F$3:$F$1002,Ledger!$D$3:$D$1002,$A9,Ledger!$C$3:$C$1002,"Issue"))</f>
        <v/>
      </c>
      <c r="D9" s="5">
        <f>IF($A9="","",SUMIFS(Ledger!$F$3:$F$1002,Ledger!$D$3:$D$1002,$A9,Ledger!$C$3:$C$1002,"Return"))</f>
        <v/>
      </c>
      <c r="E9" s="5">
        <f>IF($A9="","",$B9+$D9-$C9)</f>
        <v/>
      </c>
      <c r="F9" s="5">
        <f>IF($A9="","",IFERROR(XLOOKUP($A9,Items!$A:$A,Items!$F:$F),0))</f>
        <v/>
      </c>
      <c r="G9" s="6">
        <f>IF($A9="","",SUMIFS(Ledger!$H$3:$H$1002,Ledger!$D$3:$D$1002,$A9))</f>
        <v/>
      </c>
      <c r="H9" s="5">
        <f>IF($A9="","",IF($E9&lt;$F9,"LOW",IF($E9=0,"EMPTY","OK")))</f>
        <v/>
      </c>
    </row>
    <row r="10">
      <c r="A10" s="5">
        <f>IF(Items!A10="","",Items!A10)</f>
        <v/>
      </c>
      <c r="B10" s="5">
        <f>IF($A10="","",IFERROR(XLOOKUP($A10,Items!$A:$A,Items!$E:$E),0))</f>
        <v/>
      </c>
      <c r="C10" s="5">
        <f>IF($A10="","",SUMIFS(Ledger!$F$3:$F$1002,Ledger!$D$3:$D$1002,$A10,Ledger!$C$3:$C$1002,"Issue"))</f>
        <v/>
      </c>
      <c r="D10" s="5">
        <f>IF($A10="","",SUMIFS(Ledger!$F$3:$F$1002,Ledger!$D$3:$D$1002,$A10,Ledger!$C$3:$C$1002,"Return"))</f>
        <v/>
      </c>
      <c r="E10" s="5">
        <f>IF($A10="","",$B10+$D10-$C10)</f>
        <v/>
      </c>
      <c r="F10" s="5">
        <f>IF($A10="","",IFERROR(XLOOKUP($A10,Items!$A:$A,Items!$F:$F),0))</f>
        <v/>
      </c>
      <c r="G10" s="6">
        <f>IF($A10="","",SUMIFS(Ledger!$H$3:$H$1002,Ledger!$D$3:$D$1002,$A10))</f>
        <v/>
      </c>
      <c r="H10" s="5">
        <f>IF($A10="","",IF($E10&lt;$F10,"LOW",IF($E10=0,"EMPTY","OK")))</f>
        <v/>
      </c>
    </row>
    <row r="11">
      <c r="A11" s="5">
        <f>IF(Items!A11="","",Items!A11)</f>
        <v/>
      </c>
      <c r="B11" s="5">
        <f>IF($A11="","",IFERROR(XLOOKUP($A11,Items!$A:$A,Items!$E:$E),0))</f>
        <v/>
      </c>
      <c r="C11" s="5">
        <f>IF($A11="","",SUMIFS(Ledger!$F$3:$F$1002,Ledger!$D$3:$D$1002,$A11,Ledger!$C$3:$C$1002,"Issue"))</f>
        <v/>
      </c>
      <c r="D11" s="5">
        <f>IF($A11="","",SUMIFS(Ledger!$F$3:$F$1002,Ledger!$D$3:$D$1002,$A11,Ledger!$C$3:$C$1002,"Return"))</f>
        <v/>
      </c>
      <c r="E11" s="5">
        <f>IF($A11="","",$B11+$D11-$C11)</f>
        <v/>
      </c>
      <c r="F11" s="5">
        <f>IF($A11="","",IFERROR(XLOOKUP($A11,Items!$A:$A,Items!$F:$F),0))</f>
        <v/>
      </c>
      <c r="G11" s="6">
        <f>IF($A11="","",SUMIFS(Ledger!$H$3:$H$1002,Ledger!$D$3:$D$1002,$A11))</f>
        <v/>
      </c>
      <c r="H11" s="5">
        <f>IF($A11="","",IF($E11&lt;$F11,"LOW",IF($E11=0,"EMPTY","OK")))</f>
        <v/>
      </c>
    </row>
    <row r="12">
      <c r="A12" s="5">
        <f>IF(Items!A12="","",Items!A12)</f>
        <v/>
      </c>
      <c r="B12" s="5">
        <f>IF($A12="","",IFERROR(XLOOKUP($A12,Items!$A:$A,Items!$E:$E),0))</f>
        <v/>
      </c>
      <c r="C12" s="5">
        <f>IF($A12="","",SUMIFS(Ledger!$F$3:$F$1002,Ledger!$D$3:$D$1002,$A12,Ledger!$C$3:$C$1002,"Issue"))</f>
        <v/>
      </c>
      <c r="D12" s="5">
        <f>IF($A12="","",SUMIFS(Ledger!$F$3:$F$1002,Ledger!$D$3:$D$1002,$A12,Ledger!$C$3:$C$1002,"Return"))</f>
        <v/>
      </c>
      <c r="E12" s="5">
        <f>IF($A12="","",$B12+$D12-$C12)</f>
        <v/>
      </c>
      <c r="F12" s="5">
        <f>IF($A12="","",IFERROR(XLOOKUP($A12,Items!$A:$A,Items!$F:$F),0))</f>
        <v/>
      </c>
      <c r="G12" s="6">
        <f>IF($A12="","",SUMIFS(Ledger!$H$3:$H$1002,Ledger!$D$3:$D$1002,$A12))</f>
        <v/>
      </c>
      <c r="H12" s="5">
        <f>IF($A12="","",IF($E12&lt;$F12,"LOW",IF($E12=0,"EMPTY","OK")))</f>
        <v/>
      </c>
    </row>
    <row r="13">
      <c r="A13" s="5">
        <f>IF(Items!A13="","",Items!A13)</f>
        <v/>
      </c>
      <c r="B13" s="5">
        <f>IF($A13="","",IFERROR(XLOOKUP($A13,Items!$A:$A,Items!$E:$E),0))</f>
        <v/>
      </c>
      <c r="C13" s="5">
        <f>IF($A13="","",SUMIFS(Ledger!$F$3:$F$1002,Ledger!$D$3:$D$1002,$A13,Ledger!$C$3:$C$1002,"Issue"))</f>
        <v/>
      </c>
      <c r="D13" s="5">
        <f>IF($A13="","",SUMIFS(Ledger!$F$3:$F$1002,Ledger!$D$3:$D$1002,$A13,Ledger!$C$3:$C$1002,"Return"))</f>
        <v/>
      </c>
      <c r="E13" s="5">
        <f>IF($A13="","",$B13+$D13-$C13)</f>
        <v/>
      </c>
      <c r="F13" s="5">
        <f>IF($A13="","",IFERROR(XLOOKUP($A13,Items!$A:$A,Items!$F:$F),0))</f>
        <v/>
      </c>
      <c r="G13" s="6">
        <f>IF($A13="","",SUMIFS(Ledger!$H$3:$H$1002,Ledger!$D$3:$D$1002,$A13))</f>
        <v/>
      </c>
      <c r="H13" s="5">
        <f>IF($A13="","",IF($E13&lt;$F13,"LOW",IF($E13=0,"EMPTY","OK")))</f>
        <v/>
      </c>
    </row>
    <row r="14">
      <c r="A14" s="5">
        <f>IF(Items!A14="","",Items!A14)</f>
        <v/>
      </c>
      <c r="B14" s="5">
        <f>IF($A14="","",IFERROR(XLOOKUP($A14,Items!$A:$A,Items!$E:$E),0))</f>
        <v/>
      </c>
      <c r="C14" s="5">
        <f>IF($A14="","",SUMIFS(Ledger!$F$3:$F$1002,Ledger!$D$3:$D$1002,$A14,Ledger!$C$3:$C$1002,"Issue"))</f>
        <v/>
      </c>
      <c r="D14" s="5">
        <f>IF($A14="","",SUMIFS(Ledger!$F$3:$F$1002,Ledger!$D$3:$D$1002,$A14,Ledger!$C$3:$C$1002,"Return"))</f>
        <v/>
      </c>
      <c r="E14" s="5">
        <f>IF($A14="","",$B14+$D14-$C14)</f>
        <v/>
      </c>
      <c r="F14" s="5">
        <f>IF($A14="","",IFERROR(XLOOKUP($A14,Items!$A:$A,Items!$F:$F),0))</f>
        <v/>
      </c>
      <c r="G14" s="6">
        <f>IF($A14="","",SUMIFS(Ledger!$H$3:$H$1002,Ledger!$D$3:$D$1002,$A14))</f>
        <v/>
      </c>
      <c r="H14" s="5">
        <f>IF($A14="","",IF($E14&lt;$F14,"LOW",IF($E14=0,"EMPTY","OK")))</f>
        <v/>
      </c>
    </row>
    <row r="15">
      <c r="A15" s="5">
        <f>IF(Items!A15="","",Items!A15)</f>
        <v/>
      </c>
      <c r="B15" s="5">
        <f>IF($A15="","",IFERROR(XLOOKUP($A15,Items!$A:$A,Items!$E:$E),0))</f>
        <v/>
      </c>
      <c r="C15" s="5">
        <f>IF($A15="","",SUMIFS(Ledger!$F$3:$F$1002,Ledger!$D$3:$D$1002,$A15,Ledger!$C$3:$C$1002,"Issue"))</f>
        <v/>
      </c>
      <c r="D15" s="5">
        <f>IF($A15="","",SUMIFS(Ledger!$F$3:$F$1002,Ledger!$D$3:$D$1002,$A15,Ledger!$C$3:$C$1002,"Return"))</f>
        <v/>
      </c>
      <c r="E15" s="5">
        <f>IF($A15="","",$B15+$D15-$C15)</f>
        <v/>
      </c>
      <c r="F15" s="5">
        <f>IF($A15="","",IFERROR(XLOOKUP($A15,Items!$A:$A,Items!$F:$F),0))</f>
        <v/>
      </c>
      <c r="G15" s="6">
        <f>IF($A15="","",SUMIFS(Ledger!$H$3:$H$1002,Ledger!$D$3:$D$1002,$A15))</f>
        <v/>
      </c>
      <c r="H15" s="5">
        <f>IF($A15="","",IF($E15&lt;$F15,"LOW",IF($E15=0,"EMPTY","OK")))</f>
        <v/>
      </c>
    </row>
    <row r="16">
      <c r="A16" s="5">
        <f>IF(Items!A16="","",Items!A16)</f>
        <v/>
      </c>
      <c r="B16" s="5">
        <f>IF($A16="","",IFERROR(XLOOKUP($A16,Items!$A:$A,Items!$E:$E),0))</f>
        <v/>
      </c>
      <c r="C16" s="5">
        <f>IF($A16="","",SUMIFS(Ledger!$F$3:$F$1002,Ledger!$D$3:$D$1002,$A16,Ledger!$C$3:$C$1002,"Issue"))</f>
        <v/>
      </c>
      <c r="D16" s="5">
        <f>IF($A16="","",SUMIFS(Ledger!$F$3:$F$1002,Ledger!$D$3:$D$1002,$A16,Ledger!$C$3:$C$1002,"Return"))</f>
        <v/>
      </c>
      <c r="E16" s="5">
        <f>IF($A16="","",$B16+$D16-$C16)</f>
        <v/>
      </c>
      <c r="F16" s="5">
        <f>IF($A16="","",IFERROR(XLOOKUP($A16,Items!$A:$A,Items!$F:$F),0))</f>
        <v/>
      </c>
      <c r="G16" s="6">
        <f>IF($A16="","",SUMIFS(Ledger!$H$3:$H$1002,Ledger!$D$3:$D$1002,$A16))</f>
        <v/>
      </c>
      <c r="H16" s="5">
        <f>IF($A16="","",IF($E16&lt;$F16,"LOW",IF($E16=0,"EMPTY","OK")))</f>
        <v/>
      </c>
    </row>
    <row r="17">
      <c r="A17" s="5">
        <f>IF(Items!A17="","",Items!A17)</f>
        <v/>
      </c>
      <c r="B17" s="5">
        <f>IF($A17="","",IFERROR(XLOOKUP($A17,Items!$A:$A,Items!$E:$E),0))</f>
        <v/>
      </c>
      <c r="C17" s="5">
        <f>IF($A17="","",SUMIFS(Ledger!$F$3:$F$1002,Ledger!$D$3:$D$1002,$A17,Ledger!$C$3:$C$1002,"Issue"))</f>
        <v/>
      </c>
      <c r="D17" s="5">
        <f>IF($A17="","",SUMIFS(Ledger!$F$3:$F$1002,Ledger!$D$3:$D$1002,$A17,Ledger!$C$3:$C$1002,"Return"))</f>
        <v/>
      </c>
      <c r="E17" s="5">
        <f>IF($A17="","",$B17+$D17-$C17)</f>
        <v/>
      </c>
      <c r="F17" s="5">
        <f>IF($A17="","",IFERROR(XLOOKUP($A17,Items!$A:$A,Items!$F:$F),0))</f>
        <v/>
      </c>
      <c r="G17" s="6">
        <f>IF($A17="","",SUMIFS(Ledger!$H$3:$H$1002,Ledger!$D$3:$D$1002,$A17))</f>
        <v/>
      </c>
      <c r="H17" s="5">
        <f>IF($A17="","",IF($E17&lt;$F17,"LOW",IF($E17=0,"EMPTY","OK")))</f>
        <v/>
      </c>
    </row>
    <row r="18">
      <c r="A18" s="5">
        <f>IF(Items!A18="","",Items!A18)</f>
        <v/>
      </c>
      <c r="B18" s="5">
        <f>IF($A18="","",IFERROR(XLOOKUP($A18,Items!$A:$A,Items!$E:$E),0))</f>
        <v/>
      </c>
      <c r="C18" s="5">
        <f>IF($A18="","",SUMIFS(Ledger!$F$3:$F$1002,Ledger!$D$3:$D$1002,$A18,Ledger!$C$3:$C$1002,"Issue"))</f>
        <v/>
      </c>
      <c r="D18" s="5">
        <f>IF($A18="","",SUMIFS(Ledger!$F$3:$F$1002,Ledger!$D$3:$D$1002,$A18,Ledger!$C$3:$C$1002,"Return"))</f>
        <v/>
      </c>
      <c r="E18" s="5">
        <f>IF($A18="","",$B18+$D18-$C18)</f>
        <v/>
      </c>
      <c r="F18" s="5">
        <f>IF($A18="","",IFERROR(XLOOKUP($A18,Items!$A:$A,Items!$F:$F),0))</f>
        <v/>
      </c>
      <c r="G18" s="6">
        <f>IF($A18="","",SUMIFS(Ledger!$H$3:$H$1002,Ledger!$D$3:$D$1002,$A18))</f>
        <v/>
      </c>
      <c r="H18" s="5">
        <f>IF($A18="","",IF($E18&lt;$F18,"LOW",IF($E18=0,"EMPTY","OK")))</f>
        <v/>
      </c>
    </row>
    <row r="19">
      <c r="A19" s="5">
        <f>IF(Items!A19="","",Items!A19)</f>
        <v/>
      </c>
      <c r="B19" s="5">
        <f>IF($A19="","",IFERROR(XLOOKUP($A19,Items!$A:$A,Items!$E:$E),0))</f>
        <v/>
      </c>
      <c r="C19" s="5">
        <f>IF($A19="","",SUMIFS(Ledger!$F$3:$F$1002,Ledger!$D$3:$D$1002,$A19,Ledger!$C$3:$C$1002,"Issue"))</f>
        <v/>
      </c>
      <c r="D19" s="5">
        <f>IF($A19="","",SUMIFS(Ledger!$F$3:$F$1002,Ledger!$D$3:$D$1002,$A19,Ledger!$C$3:$C$1002,"Return"))</f>
        <v/>
      </c>
      <c r="E19" s="5">
        <f>IF($A19="","",$B19+$D19-$C19)</f>
        <v/>
      </c>
      <c r="F19" s="5">
        <f>IF($A19="","",IFERROR(XLOOKUP($A19,Items!$A:$A,Items!$F:$F),0))</f>
        <v/>
      </c>
      <c r="G19" s="6">
        <f>IF($A19="","",SUMIFS(Ledger!$H$3:$H$1002,Ledger!$D$3:$D$1002,$A19))</f>
        <v/>
      </c>
      <c r="H19" s="5">
        <f>IF($A19="","",IF($E19&lt;$F19,"LOW",IF($E19=0,"EMPTY","OK")))</f>
        <v/>
      </c>
    </row>
    <row r="20">
      <c r="A20" s="5">
        <f>IF(Items!A20="","",Items!A20)</f>
        <v/>
      </c>
      <c r="B20" s="5">
        <f>IF($A20="","",IFERROR(XLOOKUP($A20,Items!$A:$A,Items!$E:$E),0))</f>
        <v/>
      </c>
      <c r="C20" s="5">
        <f>IF($A20="","",SUMIFS(Ledger!$F$3:$F$1002,Ledger!$D$3:$D$1002,$A20,Ledger!$C$3:$C$1002,"Issue"))</f>
        <v/>
      </c>
      <c r="D20" s="5">
        <f>IF($A20="","",SUMIFS(Ledger!$F$3:$F$1002,Ledger!$D$3:$D$1002,$A20,Ledger!$C$3:$C$1002,"Return"))</f>
        <v/>
      </c>
      <c r="E20" s="5">
        <f>IF($A20="","",$B20+$D20-$C20)</f>
        <v/>
      </c>
      <c r="F20" s="5">
        <f>IF($A20="","",IFERROR(XLOOKUP($A20,Items!$A:$A,Items!$F:$F),0))</f>
        <v/>
      </c>
      <c r="G20" s="6">
        <f>IF($A20="","",SUMIFS(Ledger!$H$3:$H$1002,Ledger!$D$3:$D$1002,$A20))</f>
        <v/>
      </c>
      <c r="H20" s="5">
        <f>IF($A20="","",IF($E20&lt;$F20,"LOW",IF($E20=0,"EMPTY","OK")))</f>
        <v/>
      </c>
    </row>
    <row r="21">
      <c r="A21" s="5">
        <f>IF(Items!A21="","",Items!A21)</f>
        <v/>
      </c>
      <c r="B21" s="5">
        <f>IF($A21="","",IFERROR(XLOOKUP($A21,Items!$A:$A,Items!$E:$E),0))</f>
        <v/>
      </c>
      <c r="C21" s="5">
        <f>IF($A21="","",SUMIFS(Ledger!$F$3:$F$1002,Ledger!$D$3:$D$1002,$A21,Ledger!$C$3:$C$1002,"Issue"))</f>
        <v/>
      </c>
      <c r="D21" s="5">
        <f>IF($A21="","",SUMIFS(Ledger!$F$3:$F$1002,Ledger!$D$3:$D$1002,$A21,Ledger!$C$3:$C$1002,"Return"))</f>
        <v/>
      </c>
      <c r="E21" s="5">
        <f>IF($A21="","",$B21+$D21-$C21)</f>
        <v/>
      </c>
      <c r="F21" s="5">
        <f>IF($A21="","",IFERROR(XLOOKUP($A21,Items!$A:$A,Items!$F:$F),0))</f>
        <v/>
      </c>
      <c r="G21" s="6">
        <f>IF($A21="","",SUMIFS(Ledger!$H$3:$H$1002,Ledger!$D$3:$D$1002,$A21))</f>
        <v/>
      </c>
      <c r="H21" s="5">
        <f>IF($A21="","",IF($E21&lt;$F21,"LOW",IF($E21=0,"EMPTY","OK")))</f>
        <v/>
      </c>
    </row>
    <row r="22">
      <c r="A22" s="5">
        <f>IF(Items!A22="","",Items!A22)</f>
        <v/>
      </c>
      <c r="B22" s="5">
        <f>IF($A22="","",IFERROR(XLOOKUP($A22,Items!$A:$A,Items!$E:$E),0))</f>
        <v/>
      </c>
      <c r="C22" s="5">
        <f>IF($A22="","",SUMIFS(Ledger!$F$3:$F$1002,Ledger!$D$3:$D$1002,$A22,Ledger!$C$3:$C$1002,"Issue"))</f>
        <v/>
      </c>
      <c r="D22" s="5">
        <f>IF($A22="","",SUMIFS(Ledger!$F$3:$F$1002,Ledger!$D$3:$D$1002,$A22,Ledger!$C$3:$C$1002,"Return"))</f>
        <v/>
      </c>
      <c r="E22" s="5">
        <f>IF($A22="","",$B22+$D22-$C22)</f>
        <v/>
      </c>
      <c r="F22" s="5">
        <f>IF($A22="","",IFERROR(XLOOKUP($A22,Items!$A:$A,Items!$F:$F),0))</f>
        <v/>
      </c>
      <c r="G22" s="6">
        <f>IF($A22="","",SUMIFS(Ledger!$H$3:$H$1002,Ledger!$D$3:$D$1002,$A22))</f>
        <v/>
      </c>
      <c r="H22" s="5">
        <f>IF($A22="","",IF($E22&lt;$F22,"LOW",IF($E22=0,"EMPTY","OK")))</f>
        <v/>
      </c>
    </row>
    <row r="23">
      <c r="A23" s="5">
        <f>IF(Items!A23="","",Items!A23)</f>
        <v/>
      </c>
      <c r="B23" s="5">
        <f>IF($A23="","",IFERROR(XLOOKUP($A23,Items!$A:$A,Items!$E:$E),0))</f>
        <v/>
      </c>
      <c r="C23" s="5">
        <f>IF($A23="","",SUMIFS(Ledger!$F$3:$F$1002,Ledger!$D$3:$D$1002,$A23,Ledger!$C$3:$C$1002,"Issue"))</f>
        <v/>
      </c>
      <c r="D23" s="5">
        <f>IF($A23="","",SUMIFS(Ledger!$F$3:$F$1002,Ledger!$D$3:$D$1002,$A23,Ledger!$C$3:$C$1002,"Return"))</f>
        <v/>
      </c>
      <c r="E23" s="5">
        <f>IF($A23="","",$B23+$D23-$C23)</f>
        <v/>
      </c>
      <c r="F23" s="5">
        <f>IF($A23="","",IFERROR(XLOOKUP($A23,Items!$A:$A,Items!$F:$F),0))</f>
        <v/>
      </c>
      <c r="G23" s="6">
        <f>IF($A23="","",SUMIFS(Ledger!$H$3:$H$1002,Ledger!$D$3:$D$1002,$A23))</f>
        <v/>
      </c>
      <c r="H23" s="5">
        <f>IF($A23="","",IF($E23&lt;$F23,"LOW",IF($E23=0,"EMPTY","OK")))</f>
        <v/>
      </c>
    </row>
    <row r="24">
      <c r="A24" s="5">
        <f>IF(Items!A24="","",Items!A24)</f>
        <v/>
      </c>
      <c r="B24" s="5">
        <f>IF($A24="","",IFERROR(XLOOKUP($A24,Items!$A:$A,Items!$E:$E),0))</f>
        <v/>
      </c>
      <c r="C24" s="5">
        <f>IF($A24="","",SUMIFS(Ledger!$F$3:$F$1002,Ledger!$D$3:$D$1002,$A24,Ledger!$C$3:$C$1002,"Issue"))</f>
        <v/>
      </c>
      <c r="D24" s="5">
        <f>IF($A24="","",SUMIFS(Ledger!$F$3:$F$1002,Ledger!$D$3:$D$1002,$A24,Ledger!$C$3:$C$1002,"Return"))</f>
        <v/>
      </c>
      <c r="E24" s="5">
        <f>IF($A24="","",$B24+$D24-$C24)</f>
        <v/>
      </c>
      <c r="F24" s="5">
        <f>IF($A24="","",IFERROR(XLOOKUP($A24,Items!$A:$A,Items!$F:$F),0))</f>
        <v/>
      </c>
      <c r="G24" s="6">
        <f>IF($A24="","",SUMIFS(Ledger!$H$3:$H$1002,Ledger!$D$3:$D$1002,$A24))</f>
        <v/>
      </c>
      <c r="H24" s="5">
        <f>IF($A24="","",IF($E24&lt;$F24,"LOW",IF($E24=0,"EMPTY","OK")))</f>
        <v/>
      </c>
    </row>
    <row r="25">
      <c r="A25" s="5">
        <f>IF(Items!A25="","",Items!A25)</f>
        <v/>
      </c>
      <c r="B25" s="5">
        <f>IF($A25="","",IFERROR(XLOOKUP($A25,Items!$A:$A,Items!$E:$E),0))</f>
        <v/>
      </c>
      <c r="C25" s="5">
        <f>IF($A25="","",SUMIFS(Ledger!$F$3:$F$1002,Ledger!$D$3:$D$1002,$A25,Ledger!$C$3:$C$1002,"Issue"))</f>
        <v/>
      </c>
      <c r="D25" s="5">
        <f>IF($A25="","",SUMIFS(Ledger!$F$3:$F$1002,Ledger!$D$3:$D$1002,$A25,Ledger!$C$3:$C$1002,"Return"))</f>
        <v/>
      </c>
      <c r="E25" s="5">
        <f>IF($A25="","",$B25+$D25-$C25)</f>
        <v/>
      </c>
      <c r="F25" s="5">
        <f>IF($A25="","",IFERROR(XLOOKUP($A25,Items!$A:$A,Items!$F:$F),0))</f>
        <v/>
      </c>
      <c r="G25" s="6">
        <f>IF($A25="","",SUMIFS(Ledger!$H$3:$H$1002,Ledger!$D$3:$D$1002,$A25))</f>
        <v/>
      </c>
      <c r="H25" s="5">
        <f>IF($A25="","",IF($E25&lt;$F25,"LOW",IF($E25=0,"EMPTY","OK")))</f>
        <v/>
      </c>
    </row>
    <row r="26">
      <c r="A26" s="5">
        <f>IF(Items!A26="","",Items!A26)</f>
        <v/>
      </c>
      <c r="B26" s="5">
        <f>IF($A26="","",IFERROR(XLOOKUP($A26,Items!$A:$A,Items!$E:$E),0))</f>
        <v/>
      </c>
      <c r="C26" s="5">
        <f>IF($A26="","",SUMIFS(Ledger!$F$3:$F$1002,Ledger!$D$3:$D$1002,$A26,Ledger!$C$3:$C$1002,"Issue"))</f>
        <v/>
      </c>
      <c r="D26" s="5">
        <f>IF($A26="","",SUMIFS(Ledger!$F$3:$F$1002,Ledger!$D$3:$D$1002,$A26,Ledger!$C$3:$C$1002,"Return"))</f>
        <v/>
      </c>
      <c r="E26" s="5">
        <f>IF($A26="","",$B26+$D26-$C26)</f>
        <v/>
      </c>
      <c r="F26" s="5">
        <f>IF($A26="","",IFERROR(XLOOKUP($A26,Items!$A:$A,Items!$F:$F),0))</f>
        <v/>
      </c>
      <c r="G26" s="6">
        <f>IF($A26="","",SUMIFS(Ledger!$H$3:$H$1002,Ledger!$D$3:$D$1002,$A26))</f>
        <v/>
      </c>
      <c r="H26" s="5">
        <f>IF($A26="","",IF($E26&lt;$F26,"LOW",IF($E26=0,"EMPTY","OK")))</f>
        <v/>
      </c>
    </row>
    <row r="27">
      <c r="A27" s="5">
        <f>IF(Items!A27="","",Items!A27)</f>
        <v/>
      </c>
      <c r="B27" s="5">
        <f>IF($A27="","",IFERROR(XLOOKUP($A27,Items!$A:$A,Items!$E:$E),0))</f>
        <v/>
      </c>
      <c r="C27" s="5">
        <f>IF($A27="","",SUMIFS(Ledger!$F$3:$F$1002,Ledger!$D$3:$D$1002,$A27,Ledger!$C$3:$C$1002,"Issue"))</f>
        <v/>
      </c>
      <c r="D27" s="5">
        <f>IF($A27="","",SUMIFS(Ledger!$F$3:$F$1002,Ledger!$D$3:$D$1002,$A27,Ledger!$C$3:$C$1002,"Return"))</f>
        <v/>
      </c>
      <c r="E27" s="5">
        <f>IF($A27="","",$B27+$D27-$C27)</f>
        <v/>
      </c>
      <c r="F27" s="5">
        <f>IF($A27="","",IFERROR(XLOOKUP($A27,Items!$A:$A,Items!$F:$F),0))</f>
        <v/>
      </c>
      <c r="G27" s="6">
        <f>IF($A27="","",SUMIFS(Ledger!$H$3:$H$1002,Ledger!$D$3:$D$1002,$A27))</f>
        <v/>
      </c>
      <c r="H27" s="5">
        <f>IF($A27="","",IF($E27&lt;$F27,"LOW",IF($E27=0,"EMPTY","OK")))</f>
        <v/>
      </c>
    </row>
    <row r="28">
      <c r="A28" s="5">
        <f>IF(Items!A28="","",Items!A28)</f>
        <v/>
      </c>
      <c r="B28" s="5">
        <f>IF($A28="","",IFERROR(XLOOKUP($A28,Items!$A:$A,Items!$E:$E),0))</f>
        <v/>
      </c>
      <c r="C28" s="5">
        <f>IF($A28="","",SUMIFS(Ledger!$F$3:$F$1002,Ledger!$D$3:$D$1002,$A28,Ledger!$C$3:$C$1002,"Issue"))</f>
        <v/>
      </c>
      <c r="D28" s="5">
        <f>IF($A28="","",SUMIFS(Ledger!$F$3:$F$1002,Ledger!$D$3:$D$1002,$A28,Ledger!$C$3:$C$1002,"Return"))</f>
        <v/>
      </c>
      <c r="E28" s="5">
        <f>IF($A28="","",$B28+$D28-$C28)</f>
        <v/>
      </c>
      <c r="F28" s="5">
        <f>IF($A28="","",IFERROR(XLOOKUP($A28,Items!$A:$A,Items!$F:$F),0))</f>
        <v/>
      </c>
      <c r="G28" s="6">
        <f>IF($A28="","",SUMIFS(Ledger!$H$3:$H$1002,Ledger!$D$3:$D$1002,$A28))</f>
        <v/>
      </c>
      <c r="H28" s="5">
        <f>IF($A28="","",IF($E28&lt;$F28,"LOW",IF($E28=0,"EMPTY","OK")))</f>
        <v/>
      </c>
    </row>
    <row r="29">
      <c r="A29" s="5">
        <f>IF(Items!A29="","",Items!A29)</f>
        <v/>
      </c>
      <c r="B29" s="5">
        <f>IF($A29="","",IFERROR(XLOOKUP($A29,Items!$A:$A,Items!$E:$E),0))</f>
        <v/>
      </c>
      <c r="C29" s="5">
        <f>IF($A29="","",SUMIFS(Ledger!$F$3:$F$1002,Ledger!$D$3:$D$1002,$A29,Ledger!$C$3:$C$1002,"Issue"))</f>
        <v/>
      </c>
      <c r="D29" s="5">
        <f>IF($A29="","",SUMIFS(Ledger!$F$3:$F$1002,Ledger!$D$3:$D$1002,$A29,Ledger!$C$3:$C$1002,"Return"))</f>
        <v/>
      </c>
      <c r="E29" s="5">
        <f>IF($A29="","",$B29+$D29-$C29)</f>
        <v/>
      </c>
      <c r="F29" s="5">
        <f>IF($A29="","",IFERROR(XLOOKUP($A29,Items!$A:$A,Items!$F:$F),0))</f>
        <v/>
      </c>
      <c r="G29" s="6">
        <f>IF($A29="","",SUMIFS(Ledger!$H$3:$H$1002,Ledger!$D$3:$D$1002,$A29))</f>
        <v/>
      </c>
      <c r="H29" s="5">
        <f>IF($A29="","",IF($E29&lt;$F29,"LOW",IF($E29=0,"EMPTY","OK")))</f>
        <v/>
      </c>
    </row>
    <row r="30">
      <c r="A30" s="5">
        <f>IF(Items!A30="","",Items!A30)</f>
        <v/>
      </c>
      <c r="B30" s="5">
        <f>IF($A30="","",IFERROR(XLOOKUP($A30,Items!$A:$A,Items!$E:$E),0))</f>
        <v/>
      </c>
      <c r="C30" s="5">
        <f>IF($A30="","",SUMIFS(Ledger!$F$3:$F$1002,Ledger!$D$3:$D$1002,$A30,Ledger!$C$3:$C$1002,"Issue"))</f>
        <v/>
      </c>
      <c r="D30" s="5">
        <f>IF($A30="","",SUMIFS(Ledger!$F$3:$F$1002,Ledger!$D$3:$D$1002,$A30,Ledger!$C$3:$C$1002,"Return"))</f>
        <v/>
      </c>
      <c r="E30" s="5">
        <f>IF($A30="","",$B30+$D30-$C30)</f>
        <v/>
      </c>
      <c r="F30" s="5">
        <f>IF($A30="","",IFERROR(XLOOKUP($A30,Items!$A:$A,Items!$F:$F),0))</f>
        <v/>
      </c>
      <c r="G30" s="6">
        <f>IF($A30="","",SUMIFS(Ledger!$H$3:$H$1002,Ledger!$D$3:$D$1002,$A30))</f>
        <v/>
      </c>
      <c r="H30" s="5">
        <f>IF($A30="","",IF($E30&lt;$F30,"LOW",IF($E30=0,"EMPTY","OK")))</f>
        <v/>
      </c>
    </row>
    <row r="31">
      <c r="A31" s="5">
        <f>IF(Items!A31="","",Items!A31)</f>
        <v/>
      </c>
      <c r="B31" s="5">
        <f>IF($A31="","",IFERROR(XLOOKUP($A31,Items!$A:$A,Items!$E:$E),0))</f>
        <v/>
      </c>
      <c r="C31" s="5">
        <f>IF($A31="","",SUMIFS(Ledger!$F$3:$F$1002,Ledger!$D$3:$D$1002,$A31,Ledger!$C$3:$C$1002,"Issue"))</f>
        <v/>
      </c>
      <c r="D31" s="5">
        <f>IF($A31="","",SUMIFS(Ledger!$F$3:$F$1002,Ledger!$D$3:$D$1002,$A31,Ledger!$C$3:$C$1002,"Return"))</f>
        <v/>
      </c>
      <c r="E31" s="5">
        <f>IF($A31="","",$B31+$D31-$C31)</f>
        <v/>
      </c>
      <c r="F31" s="5">
        <f>IF($A31="","",IFERROR(XLOOKUP($A31,Items!$A:$A,Items!$F:$F),0))</f>
        <v/>
      </c>
      <c r="G31" s="6">
        <f>IF($A31="","",SUMIFS(Ledger!$H$3:$H$1002,Ledger!$D$3:$D$1002,$A31))</f>
        <v/>
      </c>
      <c r="H31" s="5">
        <f>IF($A31="","",IF($E31&lt;$F31,"LOW",IF($E31=0,"EMPTY","OK")))</f>
        <v/>
      </c>
    </row>
    <row r="32">
      <c r="A32" s="5">
        <f>IF(Items!A32="","",Items!A32)</f>
        <v/>
      </c>
      <c r="B32" s="5">
        <f>IF($A32="","",IFERROR(XLOOKUP($A32,Items!$A:$A,Items!$E:$E),0))</f>
        <v/>
      </c>
      <c r="C32" s="5">
        <f>IF($A32="","",SUMIFS(Ledger!$F$3:$F$1002,Ledger!$D$3:$D$1002,$A32,Ledger!$C$3:$C$1002,"Issue"))</f>
        <v/>
      </c>
      <c r="D32" s="5">
        <f>IF($A32="","",SUMIFS(Ledger!$F$3:$F$1002,Ledger!$D$3:$D$1002,$A32,Ledger!$C$3:$C$1002,"Return"))</f>
        <v/>
      </c>
      <c r="E32" s="5">
        <f>IF($A32="","",$B32+$D32-$C32)</f>
        <v/>
      </c>
      <c r="F32" s="5">
        <f>IF($A32="","",IFERROR(XLOOKUP($A32,Items!$A:$A,Items!$F:$F),0))</f>
        <v/>
      </c>
      <c r="G32" s="6">
        <f>IF($A32="","",SUMIFS(Ledger!$H$3:$H$1002,Ledger!$D$3:$D$1002,$A32))</f>
        <v/>
      </c>
      <c r="H32" s="5">
        <f>IF($A32="","",IF($E32&lt;$F32,"LOW",IF($E32=0,"EMPTY","OK")))</f>
        <v/>
      </c>
    </row>
    <row r="33">
      <c r="A33" s="5">
        <f>IF(Items!A33="","",Items!A33)</f>
        <v/>
      </c>
      <c r="B33" s="5">
        <f>IF($A33="","",IFERROR(XLOOKUP($A33,Items!$A:$A,Items!$E:$E),0))</f>
        <v/>
      </c>
      <c r="C33" s="5">
        <f>IF($A33="","",SUMIFS(Ledger!$F$3:$F$1002,Ledger!$D$3:$D$1002,$A33,Ledger!$C$3:$C$1002,"Issue"))</f>
        <v/>
      </c>
      <c r="D33" s="5">
        <f>IF($A33="","",SUMIFS(Ledger!$F$3:$F$1002,Ledger!$D$3:$D$1002,$A33,Ledger!$C$3:$C$1002,"Return"))</f>
        <v/>
      </c>
      <c r="E33" s="5">
        <f>IF($A33="","",$B33+$D33-$C33)</f>
        <v/>
      </c>
      <c r="F33" s="5">
        <f>IF($A33="","",IFERROR(XLOOKUP($A33,Items!$A:$A,Items!$F:$F),0))</f>
        <v/>
      </c>
      <c r="G33" s="6">
        <f>IF($A33="","",SUMIFS(Ledger!$H$3:$H$1002,Ledger!$D$3:$D$1002,$A33))</f>
        <v/>
      </c>
      <c r="H33" s="5">
        <f>IF($A33="","",IF($E33&lt;$F33,"LOW",IF($E33=0,"EMPTY","OK")))</f>
        <v/>
      </c>
    </row>
    <row r="34">
      <c r="A34" s="5">
        <f>IF(Items!A34="","",Items!A34)</f>
        <v/>
      </c>
      <c r="B34" s="5">
        <f>IF($A34="","",IFERROR(XLOOKUP($A34,Items!$A:$A,Items!$E:$E),0))</f>
        <v/>
      </c>
      <c r="C34" s="5">
        <f>IF($A34="","",SUMIFS(Ledger!$F$3:$F$1002,Ledger!$D$3:$D$1002,$A34,Ledger!$C$3:$C$1002,"Issue"))</f>
        <v/>
      </c>
      <c r="D34" s="5">
        <f>IF($A34="","",SUMIFS(Ledger!$F$3:$F$1002,Ledger!$D$3:$D$1002,$A34,Ledger!$C$3:$C$1002,"Return"))</f>
        <v/>
      </c>
      <c r="E34" s="5">
        <f>IF($A34="","",$B34+$D34-$C34)</f>
        <v/>
      </c>
      <c r="F34" s="5">
        <f>IF($A34="","",IFERROR(XLOOKUP($A34,Items!$A:$A,Items!$F:$F),0))</f>
        <v/>
      </c>
      <c r="G34" s="6">
        <f>IF($A34="","",SUMIFS(Ledger!$H$3:$H$1002,Ledger!$D$3:$D$1002,$A34))</f>
        <v/>
      </c>
      <c r="H34" s="5">
        <f>IF($A34="","",IF($E34&lt;$F34,"LOW",IF($E34=0,"EMPTY","OK")))</f>
        <v/>
      </c>
    </row>
    <row r="35">
      <c r="A35" s="5">
        <f>IF(Items!A35="","",Items!A35)</f>
        <v/>
      </c>
      <c r="B35" s="5">
        <f>IF($A35="","",IFERROR(XLOOKUP($A35,Items!$A:$A,Items!$E:$E),0))</f>
        <v/>
      </c>
      <c r="C35" s="5">
        <f>IF($A35="","",SUMIFS(Ledger!$F$3:$F$1002,Ledger!$D$3:$D$1002,$A35,Ledger!$C$3:$C$1002,"Issue"))</f>
        <v/>
      </c>
      <c r="D35" s="5">
        <f>IF($A35="","",SUMIFS(Ledger!$F$3:$F$1002,Ledger!$D$3:$D$1002,$A35,Ledger!$C$3:$C$1002,"Return"))</f>
        <v/>
      </c>
      <c r="E35" s="5">
        <f>IF($A35="","",$B35+$D35-$C35)</f>
        <v/>
      </c>
      <c r="F35" s="5">
        <f>IF($A35="","",IFERROR(XLOOKUP($A35,Items!$A:$A,Items!$F:$F),0))</f>
        <v/>
      </c>
      <c r="G35" s="6">
        <f>IF($A35="","",SUMIFS(Ledger!$H$3:$H$1002,Ledger!$D$3:$D$1002,$A35))</f>
        <v/>
      </c>
      <c r="H35" s="5">
        <f>IF($A35="","",IF($E35&lt;$F35,"LOW",IF($E35=0,"EMPTY","OK")))</f>
        <v/>
      </c>
    </row>
    <row r="36">
      <c r="A36" s="5">
        <f>IF(Items!A36="","",Items!A36)</f>
        <v/>
      </c>
      <c r="B36" s="5">
        <f>IF($A36="","",IFERROR(XLOOKUP($A36,Items!$A:$A,Items!$E:$E),0))</f>
        <v/>
      </c>
      <c r="C36" s="5">
        <f>IF($A36="","",SUMIFS(Ledger!$F$3:$F$1002,Ledger!$D$3:$D$1002,$A36,Ledger!$C$3:$C$1002,"Issue"))</f>
        <v/>
      </c>
      <c r="D36" s="5">
        <f>IF($A36="","",SUMIFS(Ledger!$F$3:$F$1002,Ledger!$D$3:$D$1002,$A36,Ledger!$C$3:$C$1002,"Return"))</f>
        <v/>
      </c>
      <c r="E36" s="5">
        <f>IF($A36="","",$B36+$D36-$C36)</f>
        <v/>
      </c>
      <c r="F36" s="5">
        <f>IF($A36="","",IFERROR(XLOOKUP($A36,Items!$A:$A,Items!$F:$F),0))</f>
        <v/>
      </c>
      <c r="G36" s="6">
        <f>IF($A36="","",SUMIFS(Ledger!$H$3:$H$1002,Ledger!$D$3:$D$1002,$A36))</f>
        <v/>
      </c>
      <c r="H36" s="5">
        <f>IF($A36="","",IF($E36&lt;$F36,"LOW",IF($E36=0,"EMPTY","OK")))</f>
        <v/>
      </c>
    </row>
    <row r="37">
      <c r="A37" s="5">
        <f>IF(Items!A37="","",Items!A37)</f>
        <v/>
      </c>
      <c r="B37" s="5">
        <f>IF($A37="","",IFERROR(XLOOKUP($A37,Items!$A:$A,Items!$E:$E),0))</f>
        <v/>
      </c>
      <c r="C37" s="5">
        <f>IF($A37="","",SUMIFS(Ledger!$F$3:$F$1002,Ledger!$D$3:$D$1002,$A37,Ledger!$C$3:$C$1002,"Issue"))</f>
        <v/>
      </c>
      <c r="D37" s="5">
        <f>IF($A37="","",SUMIFS(Ledger!$F$3:$F$1002,Ledger!$D$3:$D$1002,$A37,Ledger!$C$3:$C$1002,"Return"))</f>
        <v/>
      </c>
      <c r="E37" s="5">
        <f>IF($A37="","",$B37+$D37-$C37)</f>
        <v/>
      </c>
      <c r="F37" s="5">
        <f>IF($A37="","",IFERROR(XLOOKUP($A37,Items!$A:$A,Items!$F:$F),0))</f>
        <v/>
      </c>
      <c r="G37" s="6">
        <f>IF($A37="","",SUMIFS(Ledger!$H$3:$H$1002,Ledger!$D$3:$D$1002,$A37))</f>
        <v/>
      </c>
      <c r="H37" s="5">
        <f>IF($A37="","",IF($E37&lt;$F37,"LOW",IF($E37=0,"EMPTY","OK")))</f>
        <v/>
      </c>
    </row>
    <row r="38">
      <c r="A38" s="5">
        <f>IF(Items!A38="","",Items!A38)</f>
        <v/>
      </c>
      <c r="B38" s="5">
        <f>IF($A38="","",IFERROR(XLOOKUP($A38,Items!$A:$A,Items!$E:$E),0))</f>
        <v/>
      </c>
      <c r="C38" s="5">
        <f>IF($A38="","",SUMIFS(Ledger!$F$3:$F$1002,Ledger!$D$3:$D$1002,$A38,Ledger!$C$3:$C$1002,"Issue"))</f>
        <v/>
      </c>
      <c r="D38" s="5">
        <f>IF($A38="","",SUMIFS(Ledger!$F$3:$F$1002,Ledger!$D$3:$D$1002,$A38,Ledger!$C$3:$C$1002,"Return"))</f>
        <v/>
      </c>
      <c r="E38" s="5">
        <f>IF($A38="","",$B38+$D38-$C38)</f>
        <v/>
      </c>
      <c r="F38" s="5">
        <f>IF($A38="","",IFERROR(XLOOKUP($A38,Items!$A:$A,Items!$F:$F),0))</f>
        <v/>
      </c>
      <c r="G38" s="6">
        <f>IF($A38="","",SUMIFS(Ledger!$H$3:$H$1002,Ledger!$D$3:$D$1002,$A38))</f>
        <v/>
      </c>
      <c r="H38" s="5">
        <f>IF($A38="","",IF($E38&lt;$F38,"LOW",IF($E38=0,"EMPTY","OK")))</f>
        <v/>
      </c>
    </row>
    <row r="39">
      <c r="A39" s="5">
        <f>IF(Items!A39="","",Items!A39)</f>
        <v/>
      </c>
      <c r="B39" s="5">
        <f>IF($A39="","",IFERROR(XLOOKUP($A39,Items!$A:$A,Items!$E:$E),0))</f>
        <v/>
      </c>
      <c r="C39" s="5">
        <f>IF($A39="","",SUMIFS(Ledger!$F$3:$F$1002,Ledger!$D$3:$D$1002,$A39,Ledger!$C$3:$C$1002,"Issue"))</f>
        <v/>
      </c>
      <c r="D39" s="5">
        <f>IF($A39="","",SUMIFS(Ledger!$F$3:$F$1002,Ledger!$D$3:$D$1002,$A39,Ledger!$C$3:$C$1002,"Return"))</f>
        <v/>
      </c>
      <c r="E39" s="5">
        <f>IF($A39="","",$B39+$D39-$C39)</f>
        <v/>
      </c>
      <c r="F39" s="5">
        <f>IF($A39="","",IFERROR(XLOOKUP($A39,Items!$A:$A,Items!$F:$F),0))</f>
        <v/>
      </c>
      <c r="G39" s="6">
        <f>IF($A39="","",SUMIFS(Ledger!$H$3:$H$1002,Ledger!$D$3:$D$1002,$A39))</f>
        <v/>
      </c>
      <c r="H39" s="5">
        <f>IF($A39="","",IF($E39&lt;$F39,"LOW",IF($E39=0,"EMPTY","OK")))</f>
        <v/>
      </c>
    </row>
    <row r="40">
      <c r="A40" s="5">
        <f>IF(Items!A40="","",Items!A40)</f>
        <v/>
      </c>
      <c r="B40" s="5">
        <f>IF($A40="","",IFERROR(XLOOKUP($A40,Items!$A:$A,Items!$E:$E),0))</f>
        <v/>
      </c>
      <c r="C40" s="5">
        <f>IF($A40="","",SUMIFS(Ledger!$F$3:$F$1002,Ledger!$D$3:$D$1002,$A40,Ledger!$C$3:$C$1002,"Issue"))</f>
        <v/>
      </c>
      <c r="D40" s="5">
        <f>IF($A40="","",SUMIFS(Ledger!$F$3:$F$1002,Ledger!$D$3:$D$1002,$A40,Ledger!$C$3:$C$1002,"Return"))</f>
        <v/>
      </c>
      <c r="E40" s="5">
        <f>IF($A40="","",$B40+$D40-$C40)</f>
        <v/>
      </c>
      <c r="F40" s="5">
        <f>IF($A40="","",IFERROR(XLOOKUP($A40,Items!$A:$A,Items!$F:$F),0))</f>
        <v/>
      </c>
      <c r="G40" s="6">
        <f>IF($A40="","",SUMIFS(Ledger!$H$3:$H$1002,Ledger!$D$3:$D$1002,$A40))</f>
        <v/>
      </c>
      <c r="H40" s="5">
        <f>IF($A40="","",IF($E40&lt;$F40,"LOW",IF($E40=0,"EMPTY","OK")))</f>
        <v/>
      </c>
    </row>
    <row r="41">
      <c r="A41" s="5">
        <f>IF(Items!A41="","",Items!A41)</f>
        <v/>
      </c>
      <c r="B41" s="5">
        <f>IF($A41="","",IFERROR(XLOOKUP($A41,Items!$A:$A,Items!$E:$E),0))</f>
        <v/>
      </c>
      <c r="C41" s="5">
        <f>IF($A41="","",SUMIFS(Ledger!$F$3:$F$1002,Ledger!$D$3:$D$1002,$A41,Ledger!$C$3:$C$1002,"Issue"))</f>
        <v/>
      </c>
      <c r="D41" s="5">
        <f>IF($A41="","",SUMIFS(Ledger!$F$3:$F$1002,Ledger!$D$3:$D$1002,$A41,Ledger!$C$3:$C$1002,"Return"))</f>
        <v/>
      </c>
      <c r="E41" s="5">
        <f>IF($A41="","",$B41+$D41-$C41)</f>
        <v/>
      </c>
      <c r="F41" s="5">
        <f>IF($A41="","",IFERROR(XLOOKUP($A41,Items!$A:$A,Items!$F:$F),0))</f>
        <v/>
      </c>
      <c r="G41" s="6">
        <f>IF($A41="","",SUMIFS(Ledger!$H$3:$H$1002,Ledger!$D$3:$D$1002,$A41))</f>
        <v/>
      </c>
      <c r="H41" s="5">
        <f>IF($A41="","",IF($E41&lt;$F41,"LOW",IF($E41=0,"EMPTY","OK")))</f>
        <v/>
      </c>
    </row>
    <row r="42">
      <c r="A42" s="5">
        <f>IF(Items!A42="","",Items!A42)</f>
        <v/>
      </c>
      <c r="B42" s="5">
        <f>IF($A42="","",IFERROR(XLOOKUP($A42,Items!$A:$A,Items!$E:$E),0))</f>
        <v/>
      </c>
      <c r="C42" s="5">
        <f>IF($A42="","",SUMIFS(Ledger!$F$3:$F$1002,Ledger!$D$3:$D$1002,$A42,Ledger!$C$3:$C$1002,"Issue"))</f>
        <v/>
      </c>
      <c r="D42" s="5">
        <f>IF($A42="","",SUMIFS(Ledger!$F$3:$F$1002,Ledger!$D$3:$D$1002,$A42,Ledger!$C$3:$C$1002,"Return"))</f>
        <v/>
      </c>
      <c r="E42" s="5">
        <f>IF($A42="","",$B42+$D42-$C42)</f>
        <v/>
      </c>
      <c r="F42" s="5">
        <f>IF($A42="","",IFERROR(XLOOKUP($A42,Items!$A:$A,Items!$F:$F),0))</f>
        <v/>
      </c>
      <c r="G42" s="6">
        <f>IF($A42="","",SUMIFS(Ledger!$H$3:$H$1002,Ledger!$D$3:$D$1002,$A42))</f>
        <v/>
      </c>
      <c r="H42" s="5">
        <f>IF($A42="","",IF($E42&lt;$F42,"LOW",IF($E42=0,"EMPTY","OK")))</f>
        <v/>
      </c>
    </row>
    <row r="43">
      <c r="A43" s="5">
        <f>IF(Items!A43="","",Items!A43)</f>
        <v/>
      </c>
      <c r="B43" s="5">
        <f>IF($A43="","",IFERROR(XLOOKUP($A43,Items!$A:$A,Items!$E:$E),0))</f>
        <v/>
      </c>
      <c r="C43" s="5">
        <f>IF($A43="","",SUMIFS(Ledger!$F$3:$F$1002,Ledger!$D$3:$D$1002,$A43,Ledger!$C$3:$C$1002,"Issue"))</f>
        <v/>
      </c>
      <c r="D43" s="5">
        <f>IF($A43="","",SUMIFS(Ledger!$F$3:$F$1002,Ledger!$D$3:$D$1002,$A43,Ledger!$C$3:$C$1002,"Return"))</f>
        <v/>
      </c>
      <c r="E43" s="5">
        <f>IF($A43="","",$B43+$D43-$C43)</f>
        <v/>
      </c>
      <c r="F43" s="5">
        <f>IF($A43="","",IFERROR(XLOOKUP($A43,Items!$A:$A,Items!$F:$F),0))</f>
        <v/>
      </c>
      <c r="G43" s="6">
        <f>IF($A43="","",SUMIFS(Ledger!$H$3:$H$1002,Ledger!$D$3:$D$1002,$A43))</f>
        <v/>
      </c>
      <c r="H43" s="5">
        <f>IF($A43="","",IF($E43&lt;$F43,"LOW",IF($E43=0,"EMPTY","OK")))</f>
        <v/>
      </c>
    </row>
    <row r="44">
      <c r="A44" s="5">
        <f>IF(Items!A44="","",Items!A44)</f>
        <v/>
      </c>
      <c r="B44" s="5">
        <f>IF($A44="","",IFERROR(XLOOKUP($A44,Items!$A:$A,Items!$E:$E),0))</f>
        <v/>
      </c>
      <c r="C44" s="5">
        <f>IF($A44="","",SUMIFS(Ledger!$F$3:$F$1002,Ledger!$D$3:$D$1002,$A44,Ledger!$C$3:$C$1002,"Issue"))</f>
        <v/>
      </c>
      <c r="D44" s="5">
        <f>IF($A44="","",SUMIFS(Ledger!$F$3:$F$1002,Ledger!$D$3:$D$1002,$A44,Ledger!$C$3:$C$1002,"Return"))</f>
        <v/>
      </c>
      <c r="E44" s="5">
        <f>IF($A44="","",$B44+$D44-$C44)</f>
        <v/>
      </c>
      <c r="F44" s="5">
        <f>IF($A44="","",IFERROR(XLOOKUP($A44,Items!$A:$A,Items!$F:$F),0))</f>
        <v/>
      </c>
      <c r="G44" s="6">
        <f>IF($A44="","",SUMIFS(Ledger!$H$3:$H$1002,Ledger!$D$3:$D$1002,$A44))</f>
        <v/>
      </c>
      <c r="H44" s="5">
        <f>IF($A44="","",IF($E44&lt;$F44,"LOW",IF($E44=0,"EMPTY","OK")))</f>
        <v/>
      </c>
    </row>
    <row r="45">
      <c r="A45" s="5">
        <f>IF(Items!A45="","",Items!A45)</f>
        <v/>
      </c>
      <c r="B45" s="5">
        <f>IF($A45="","",IFERROR(XLOOKUP($A45,Items!$A:$A,Items!$E:$E),0))</f>
        <v/>
      </c>
      <c r="C45" s="5">
        <f>IF($A45="","",SUMIFS(Ledger!$F$3:$F$1002,Ledger!$D$3:$D$1002,$A45,Ledger!$C$3:$C$1002,"Issue"))</f>
        <v/>
      </c>
      <c r="D45" s="5">
        <f>IF($A45="","",SUMIFS(Ledger!$F$3:$F$1002,Ledger!$D$3:$D$1002,$A45,Ledger!$C$3:$C$1002,"Return"))</f>
        <v/>
      </c>
      <c r="E45" s="5">
        <f>IF($A45="","",$B45+$D45-$C45)</f>
        <v/>
      </c>
      <c r="F45" s="5">
        <f>IF($A45="","",IFERROR(XLOOKUP($A45,Items!$A:$A,Items!$F:$F),0))</f>
        <v/>
      </c>
      <c r="G45" s="6">
        <f>IF($A45="","",SUMIFS(Ledger!$H$3:$H$1002,Ledger!$D$3:$D$1002,$A45))</f>
        <v/>
      </c>
      <c r="H45" s="5">
        <f>IF($A45="","",IF($E45&lt;$F45,"LOW",IF($E45=0,"EMPTY","OK")))</f>
        <v/>
      </c>
    </row>
    <row r="46">
      <c r="A46" s="5">
        <f>IF(Items!A46="","",Items!A46)</f>
        <v/>
      </c>
      <c r="B46" s="5">
        <f>IF($A46="","",IFERROR(XLOOKUP($A46,Items!$A:$A,Items!$E:$E),0))</f>
        <v/>
      </c>
      <c r="C46" s="5">
        <f>IF($A46="","",SUMIFS(Ledger!$F$3:$F$1002,Ledger!$D$3:$D$1002,$A46,Ledger!$C$3:$C$1002,"Issue"))</f>
        <v/>
      </c>
      <c r="D46" s="5">
        <f>IF($A46="","",SUMIFS(Ledger!$F$3:$F$1002,Ledger!$D$3:$D$1002,$A46,Ledger!$C$3:$C$1002,"Return"))</f>
        <v/>
      </c>
      <c r="E46" s="5">
        <f>IF($A46="","",$B46+$D46-$C46)</f>
        <v/>
      </c>
      <c r="F46" s="5">
        <f>IF($A46="","",IFERROR(XLOOKUP($A46,Items!$A:$A,Items!$F:$F),0))</f>
        <v/>
      </c>
      <c r="G46" s="6">
        <f>IF($A46="","",SUMIFS(Ledger!$H$3:$H$1002,Ledger!$D$3:$D$1002,$A46))</f>
        <v/>
      </c>
      <c r="H46" s="5">
        <f>IF($A46="","",IF($E46&lt;$F46,"LOW",IF($E46=0,"EMPTY","OK")))</f>
        <v/>
      </c>
    </row>
    <row r="47">
      <c r="A47" s="5">
        <f>IF(Items!A47="","",Items!A47)</f>
        <v/>
      </c>
      <c r="B47" s="5">
        <f>IF($A47="","",IFERROR(XLOOKUP($A47,Items!$A:$A,Items!$E:$E),0))</f>
        <v/>
      </c>
      <c r="C47" s="5">
        <f>IF($A47="","",SUMIFS(Ledger!$F$3:$F$1002,Ledger!$D$3:$D$1002,$A47,Ledger!$C$3:$C$1002,"Issue"))</f>
        <v/>
      </c>
      <c r="D47" s="5">
        <f>IF($A47="","",SUMIFS(Ledger!$F$3:$F$1002,Ledger!$D$3:$D$1002,$A47,Ledger!$C$3:$C$1002,"Return"))</f>
        <v/>
      </c>
      <c r="E47" s="5">
        <f>IF($A47="","",$B47+$D47-$C47)</f>
        <v/>
      </c>
      <c r="F47" s="5">
        <f>IF($A47="","",IFERROR(XLOOKUP($A47,Items!$A:$A,Items!$F:$F),0))</f>
        <v/>
      </c>
      <c r="G47" s="6">
        <f>IF($A47="","",SUMIFS(Ledger!$H$3:$H$1002,Ledger!$D$3:$D$1002,$A47))</f>
        <v/>
      </c>
      <c r="H47" s="5">
        <f>IF($A47="","",IF($E47&lt;$F47,"LOW",IF($E47=0,"EMPTY","OK")))</f>
        <v/>
      </c>
    </row>
    <row r="48">
      <c r="A48" s="5">
        <f>IF(Items!A48="","",Items!A48)</f>
        <v/>
      </c>
      <c r="B48" s="5">
        <f>IF($A48="","",IFERROR(XLOOKUP($A48,Items!$A:$A,Items!$E:$E),0))</f>
        <v/>
      </c>
      <c r="C48" s="5">
        <f>IF($A48="","",SUMIFS(Ledger!$F$3:$F$1002,Ledger!$D$3:$D$1002,$A48,Ledger!$C$3:$C$1002,"Issue"))</f>
        <v/>
      </c>
      <c r="D48" s="5">
        <f>IF($A48="","",SUMIFS(Ledger!$F$3:$F$1002,Ledger!$D$3:$D$1002,$A48,Ledger!$C$3:$C$1002,"Return"))</f>
        <v/>
      </c>
      <c r="E48" s="5">
        <f>IF($A48="","",$B48+$D48-$C48)</f>
        <v/>
      </c>
      <c r="F48" s="5">
        <f>IF($A48="","",IFERROR(XLOOKUP($A48,Items!$A:$A,Items!$F:$F),0))</f>
        <v/>
      </c>
      <c r="G48" s="6">
        <f>IF($A48="","",SUMIFS(Ledger!$H$3:$H$1002,Ledger!$D$3:$D$1002,$A48))</f>
        <v/>
      </c>
      <c r="H48" s="5">
        <f>IF($A48="","",IF($E48&lt;$F48,"LOW",IF($E48=0,"EMPTY","OK")))</f>
        <v/>
      </c>
    </row>
    <row r="49">
      <c r="A49" s="5">
        <f>IF(Items!A49="","",Items!A49)</f>
        <v/>
      </c>
      <c r="B49" s="5">
        <f>IF($A49="","",IFERROR(XLOOKUP($A49,Items!$A:$A,Items!$E:$E),0))</f>
        <v/>
      </c>
      <c r="C49" s="5">
        <f>IF($A49="","",SUMIFS(Ledger!$F$3:$F$1002,Ledger!$D$3:$D$1002,$A49,Ledger!$C$3:$C$1002,"Issue"))</f>
        <v/>
      </c>
      <c r="D49" s="5">
        <f>IF($A49="","",SUMIFS(Ledger!$F$3:$F$1002,Ledger!$D$3:$D$1002,$A49,Ledger!$C$3:$C$1002,"Return"))</f>
        <v/>
      </c>
      <c r="E49" s="5">
        <f>IF($A49="","",$B49+$D49-$C49)</f>
        <v/>
      </c>
      <c r="F49" s="5">
        <f>IF($A49="","",IFERROR(XLOOKUP($A49,Items!$A:$A,Items!$F:$F),0))</f>
        <v/>
      </c>
      <c r="G49" s="6">
        <f>IF($A49="","",SUMIFS(Ledger!$H$3:$H$1002,Ledger!$D$3:$D$1002,$A49))</f>
        <v/>
      </c>
      <c r="H49" s="5">
        <f>IF($A49="","",IF($E49&lt;$F49,"LOW",IF($E49=0,"EMPTY","OK")))</f>
        <v/>
      </c>
    </row>
    <row r="50">
      <c r="A50" s="5">
        <f>IF(Items!A50="","",Items!A50)</f>
        <v/>
      </c>
      <c r="B50" s="5">
        <f>IF($A50="","",IFERROR(XLOOKUP($A50,Items!$A:$A,Items!$E:$E),0))</f>
        <v/>
      </c>
      <c r="C50" s="5">
        <f>IF($A50="","",SUMIFS(Ledger!$F$3:$F$1002,Ledger!$D$3:$D$1002,$A50,Ledger!$C$3:$C$1002,"Issue"))</f>
        <v/>
      </c>
      <c r="D50" s="5">
        <f>IF($A50="","",SUMIFS(Ledger!$F$3:$F$1002,Ledger!$D$3:$D$1002,$A50,Ledger!$C$3:$C$1002,"Return"))</f>
        <v/>
      </c>
      <c r="E50" s="5">
        <f>IF($A50="","",$B50+$D50-$C50)</f>
        <v/>
      </c>
      <c r="F50" s="5">
        <f>IF($A50="","",IFERROR(XLOOKUP($A50,Items!$A:$A,Items!$F:$F),0))</f>
        <v/>
      </c>
      <c r="G50" s="6">
        <f>IF($A50="","",SUMIFS(Ledger!$H$3:$H$1002,Ledger!$D$3:$D$1002,$A50))</f>
        <v/>
      </c>
      <c r="H50" s="5">
        <f>IF($A50="","",IF($E50&lt;$F50,"LOW",IF($E50=0,"EMPTY","OK")))</f>
        <v/>
      </c>
    </row>
    <row r="51">
      <c r="A51" s="5">
        <f>IF(Items!A51="","",Items!A51)</f>
        <v/>
      </c>
      <c r="B51" s="5">
        <f>IF($A51="","",IFERROR(XLOOKUP($A51,Items!$A:$A,Items!$E:$E),0))</f>
        <v/>
      </c>
      <c r="C51" s="5">
        <f>IF($A51="","",SUMIFS(Ledger!$F$3:$F$1002,Ledger!$D$3:$D$1002,$A51,Ledger!$C$3:$C$1002,"Issue"))</f>
        <v/>
      </c>
      <c r="D51" s="5">
        <f>IF($A51="","",SUMIFS(Ledger!$F$3:$F$1002,Ledger!$D$3:$D$1002,$A51,Ledger!$C$3:$C$1002,"Return"))</f>
        <v/>
      </c>
      <c r="E51" s="5">
        <f>IF($A51="","",$B51+$D51-$C51)</f>
        <v/>
      </c>
      <c r="F51" s="5">
        <f>IF($A51="","",IFERROR(XLOOKUP($A51,Items!$A:$A,Items!$F:$F),0))</f>
        <v/>
      </c>
      <c r="G51" s="6">
        <f>IF($A51="","",SUMIFS(Ledger!$H$3:$H$1002,Ledger!$D$3:$D$1002,$A51))</f>
        <v/>
      </c>
      <c r="H51" s="5">
        <f>IF($A51="","",IF($E51&lt;$F51,"LOW",IF($E51=0,"EMPTY","OK")))</f>
        <v/>
      </c>
    </row>
    <row r="52">
      <c r="A52" s="5">
        <f>IF(Items!A52="","",Items!A52)</f>
        <v/>
      </c>
      <c r="B52" s="5">
        <f>IF($A52="","",IFERROR(XLOOKUP($A52,Items!$A:$A,Items!$E:$E),0))</f>
        <v/>
      </c>
      <c r="C52" s="5">
        <f>IF($A52="","",SUMIFS(Ledger!$F$3:$F$1002,Ledger!$D$3:$D$1002,$A52,Ledger!$C$3:$C$1002,"Issue"))</f>
        <v/>
      </c>
      <c r="D52" s="5">
        <f>IF($A52="","",SUMIFS(Ledger!$F$3:$F$1002,Ledger!$D$3:$D$1002,$A52,Ledger!$C$3:$C$1002,"Return"))</f>
        <v/>
      </c>
      <c r="E52" s="5">
        <f>IF($A52="","",$B52+$D52-$C52)</f>
        <v/>
      </c>
      <c r="F52" s="5">
        <f>IF($A52="","",IFERROR(XLOOKUP($A52,Items!$A:$A,Items!$F:$F),0))</f>
        <v/>
      </c>
      <c r="G52" s="6">
        <f>IF($A52="","",SUMIFS(Ledger!$H$3:$H$1002,Ledger!$D$3:$D$1002,$A52))</f>
        <v/>
      </c>
      <c r="H52" s="5">
        <f>IF($A52="","",IF($E52&lt;$F52,"LOW",IF($E52=0,"EMPTY","OK")))</f>
        <v/>
      </c>
    </row>
    <row r="53">
      <c r="A53" s="5">
        <f>IF(Items!A53="","",Items!A53)</f>
        <v/>
      </c>
      <c r="B53" s="5">
        <f>IF($A53="","",IFERROR(XLOOKUP($A53,Items!$A:$A,Items!$E:$E),0))</f>
        <v/>
      </c>
      <c r="C53" s="5">
        <f>IF($A53="","",SUMIFS(Ledger!$F$3:$F$1002,Ledger!$D$3:$D$1002,$A53,Ledger!$C$3:$C$1002,"Issue"))</f>
        <v/>
      </c>
      <c r="D53" s="5">
        <f>IF($A53="","",SUMIFS(Ledger!$F$3:$F$1002,Ledger!$D$3:$D$1002,$A53,Ledger!$C$3:$C$1002,"Return"))</f>
        <v/>
      </c>
      <c r="E53" s="5">
        <f>IF($A53="","",$B53+$D53-$C53)</f>
        <v/>
      </c>
      <c r="F53" s="5">
        <f>IF($A53="","",IFERROR(XLOOKUP($A53,Items!$A:$A,Items!$F:$F),0))</f>
        <v/>
      </c>
      <c r="G53" s="6">
        <f>IF($A53="","",SUMIFS(Ledger!$H$3:$H$1002,Ledger!$D$3:$D$1002,$A53))</f>
        <v/>
      </c>
      <c r="H53" s="5">
        <f>IF($A53="","",IF($E53&lt;$F53,"LOW",IF($E53=0,"EMPTY","OK")))</f>
        <v/>
      </c>
    </row>
    <row r="54">
      <c r="A54" s="5">
        <f>IF(Items!A54="","",Items!A54)</f>
        <v/>
      </c>
      <c r="B54" s="5">
        <f>IF($A54="","",IFERROR(XLOOKUP($A54,Items!$A:$A,Items!$E:$E),0))</f>
        <v/>
      </c>
      <c r="C54" s="5">
        <f>IF($A54="","",SUMIFS(Ledger!$F$3:$F$1002,Ledger!$D$3:$D$1002,$A54,Ledger!$C$3:$C$1002,"Issue"))</f>
        <v/>
      </c>
      <c r="D54" s="5">
        <f>IF($A54="","",SUMIFS(Ledger!$F$3:$F$1002,Ledger!$D$3:$D$1002,$A54,Ledger!$C$3:$C$1002,"Return"))</f>
        <v/>
      </c>
      <c r="E54" s="5">
        <f>IF($A54="","",$B54+$D54-$C54)</f>
        <v/>
      </c>
      <c r="F54" s="5">
        <f>IF($A54="","",IFERROR(XLOOKUP($A54,Items!$A:$A,Items!$F:$F),0))</f>
        <v/>
      </c>
      <c r="G54" s="6">
        <f>IF($A54="","",SUMIFS(Ledger!$H$3:$H$1002,Ledger!$D$3:$D$1002,$A54))</f>
        <v/>
      </c>
      <c r="H54" s="5">
        <f>IF($A54="","",IF($E54&lt;$F54,"LOW",IF($E54=0,"EMPTY","OK")))</f>
        <v/>
      </c>
    </row>
    <row r="55">
      <c r="A55" s="5">
        <f>IF(Items!A55="","",Items!A55)</f>
        <v/>
      </c>
      <c r="B55" s="5">
        <f>IF($A55="","",IFERROR(XLOOKUP($A55,Items!$A:$A,Items!$E:$E),0))</f>
        <v/>
      </c>
      <c r="C55" s="5">
        <f>IF($A55="","",SUMIFS(Ledger!$F$3:$F$1002,Ledger!$D$3:$D$1002,$A55,Ledger!$C$3:$C$1002,"Issue"))</f>
        <v/>
      </c>
      <c r="D55" s="5">
        <f>IF($A55="","",SUMIFS(Ledger!$F$3:$F$1002,Ledger!$D$3:$D$1002,$A55,Ledger!$C$3:$C$1002,"Return"))</f>
        <v/>
      </c>
      <c r="E55" s="5">
        <f>IF($A55="","",$B55+$D55-$C55)</f>
        <v/>
      </c>
      <c r="F55" s="5">
        <f>IF($A55="","",IFERROR(XLOOKUP($A55,Items!$A:$A,Items!$F:$F),0))</f>
        <v/>
      </c>
      <c r="G55" s="6">
        <f>IF($A55="","",SUMIFS(Ledger!$H$3:$H$1002,Ledger!$D$3:$D$1002,$A55))</f>
        <v/>
      </c>
      <c r="H55" s="5">
        <f>IF($A55="","",IF($E55&lt;$F55,"LOW",IF($E55=0,"EMPTY","OK")))</f>
        <v/>
      </c>
    </row>
    <row r="56">
      <c r="A56" s="5">
        <f>IF(Items!A56="","",Items!A56)</f>
        <v/>
      </c>
      <c r="B56" s="5">
        <f>IF($A56="","",IFERROR(XLOOKUP($A56,Items!$A:$A,Items!$E:$E),0))</f>
        <v/>
      </c>
      <c r="C56" s="5">
        <f>IF($A56="","",SUMIFS(Ledger!$F$3:$F$1002,Ledger!$D$3:$D$1002,$A56,Ledger!$C$3:$C$1002,"Issue"))</f>
        <v/>
      </c>
      <c r="D56" s="5">
        <f>IF($A56="","",SUMIFS(Ledger!$F$3:$F$1002,Ledger!$D$3:$D$1002,$A56,Ledger!$C$3:$C$1002,"Return"))</f>
        <v/>
      </c>
      <c r="E56" s="5">
        <f>IF($A56="","",$B56+$D56-$C56)</f>
        <v/>
      </c>
      <c r="F56" s="5">
        <f>IF($A56="","",IFERROR(XLOOKUP($A56,Items!$A:$A,Items!$F:$F),0))</f>
        <v/>
      </c>
      <c r="G56" s="6">
        <f>IF($A56="","",SUMIFS(Ledger!$H$3:$H$1002,Ledger!$D$3:$D$1002,$A56))</f>
        <v/>
      </c>
      <c r="H56" s="5">
        <f>IF($A56="","",IF($E56&lt;$F56,"LOW",IF($E56=0,"EMPTY","OK")))</f>
        <v/>
      </c>
    </row>
    <row r="57">
      <c r="A57" s="5">
        <f>IF(Items!A57="","",Items!A57)</f>
        <v/>
      </c>
      <c r="B57" s="5">
        <f>IF($A57="","",IFERROR(XLOOKUP($A57,Items!$A:$A,Items!$E:$E),0))</f>
        <v/>
      </c>
      <c r="C57" s="5">
        <f>IF($A57="","",SUMIFS(Ledger!$F$3:$F$1002,Ledger!$D$3:$D$1002,$A57,Ledger!$C$3:$C$1002,"Issue"))</f>
        <v/>
      </c>
      <c r="D57" s="5">
        <f>IF($A57="","",SUMIFS(Ledger!$F$3:$F$1002,Ledger!$D$3:$D$1002,$A57,Ledger!$C$3:$C$1002,"Return"))</f>
        <v/>
      </c>
      <c r="E57" s="5">
        <f>IF($A57="","",$B57+$D57-$C57)</f>
        <v/>
      </c>
      <c r="F57" s="5">
        <f>IF($A57="","",IFERROR(XLOOKUP($A57,Items!$A:$A,Items!$F:$F),0))</f>
        <v/>
      </c>
      <c r="G57" s="6">
        <f>IF($A57="","",SUMIFS(Ledger!$H$3:$H$1002,Ledger!$D$3:$D$1002,$A57))</f>
        <v/>
      </c>
      <c r="H57" s="5">
        <f>IF($A57="","",IF($E57&lt;$F57,"LOW",IF($E57=0,"EMPTY","OK")))</f>
        <v/>
      </c>
    </row>
    <row r="58">
      <c r="A58" s="5">
        <f>IF(Items!A58="","",Items!A58)</f>
        <v/>
      </c>
      <c r="B58" s="5">
        <f>IF($A58="","",IFERROR(XLOOKUP($A58,Items!$A:$A,Items!$E:$E),0))</f>
        <v/>
      </c>
      <c r="C58" s="5">
        <f>IF($A58="","",SUMIFS(Ledger!$F$3:$F$1002,Ledger!$D$3:$D$1002,$A58,Ledger!$C$3:$C$1002,"Issue"))</f>
        <v/>
      </c>
      <c r="D58" s="5">
        <f>IF($A58="","",SUMIFS(Ledger!$F$3:$F$1002,Ledger!$D$3:$D$1002,$A58,Ledger!$C$3:$C$1002,"Return"))</f>
        <v/>
      </c>
      <c r="E58" s="5">
        <f>IF($A58="","",$B58+$D58-$C58)</f>
        <v/>
      </c>
      <c r="F58" s="5">
        <f>IF($A58="","",IFERROR(XLOOKUP($A58,Items!$A:$A,Items!$F:$F),0))</f>
        <v/>
      </c>
      <c r="G58" s="6">
        <f>IF($A58="","",SUMIFS(Ledger!$H$3:$H$1002,Ledger!$D$3:$D$1002,$A58))</f>
        <v/>
      </c>
      <c r="H58" s="5">
        <f>IF($A58="","",IF($E58&lt;$F58,"LOW",IF($E58=0,"EMPTY","OK")))</f>
        <v/>
      </c>
    </row>
    <row r="59">
      <c r="A59" s="5">
        <f>IF(Items!A59="","",Items!A59)</f>
        <v/>
      </c>
      <c r="B59" s="5">
        <f>IF($A59="","",IFERROR(XLOOKUP($A59,Items!$A:$A,Items!$E:$E),0))</f>
        <v/>
      </c>
      <c r="C59" s="5">
        <f>IF($A59="","",SUMIFS(Ledger!$F$3:$F$1002,Ledger!$D$3:$D$1002,$A59,Ledger!$C$3:$C$1002,"Issue"))</f>
        <v/>
      </c>
      <c r="D59" s="5">
        <f>IF($A59="","",SUMIFS(Ledger!$F$3:$F$1002,Ledger!$D$3:$D$1002,$A59,Ledger!$C$3:$C$1002,"Return"))</f>
        <v/>
      </c>
      <c r="E59" s="5">
        <f>IF($A59="","",$B59+$D59-$C59)</f>
        <v/>
      </c>
      <c r="F59" s="5">
        <f>IF($A59="","",IFERROR(XLOOKUP($A59,Items!$A:$A,Items!$F:$F),0))</f>
        <v/>
      </c>
      <c r="G59" s="6">
        <f>IF($A59="","",SUMIFS(Ledger!$H$3:$H$1002,Ledger!$D$3:$D$1002,$A59))</f>
        <v/>
      </c>
      <c r="H59" s="5">
        <f>IF($A59="","",IF($E59&lt;$F59,"LOW",IF($E59=0,"EMPTY","OK")))</f>
        <v/>
      </c>
    </row>
    <row r="60">
      <c r="A60" s="5">
        <f>IF(Items!A60="","",Items!A60)</f>
        <v/>
      </c>
      <c r="B60" s="5">
        <f>IF($A60="","",IFERROR(XLOOKUP($A60,Items!$A:$A,Items!$E:$E),0))</f>
        <v/>
      </c>
      <c r="C60" s="5">
        <f>IF($A60="","",SUMIFS(Ledger!$F$3:$F$1002,Ledger!$D$3:$D$1002,$A60,Ledger!$C$3:$C$1002,"Issue"))</f>
        <v/>
      </c>
      <c r="D60" s="5">
        <f>IF($A60="","",SUMIFS(Ledger!$F$3:$F$1002,Ledger!$D$3:$D$1002,$A60,Ledger!$C$3:$C$1002,"Return"))</f>
        <v/>
      </c>
      <c r="E60" s="5">
        <f>IF($A60="","",$B60+$D60-$C60)</f>
        <v/>
      </c>
      <c r="F60" s="5">
        <f>IF($A60="","",IFERROR(XLOOKUP($A60,Items!$A:$A,Items!$F:$F),0))</f>
        <v/>
      </c>
      <c r="G60" s="6">
        <f>IF($A60="","",SUMIFS(Ledger!$H$3:$H$1002,Ledger!$D$3:$D$1002,$A60))</f>
        <v/>
      </c>
      <c r="H60" s="5">
        <f>IF($A60="","",IF($E60&lt;$F60,"LOW",IF($E60=0,"EMPTY","OK")))</f>
        <v/>
      </c>
    </row>
    <row r="61">
      <c r="A61" s="5">
        <f>IF(Items!A61="","",Items!A61)</f>
        <v/>
      </c>
      <c r="B61" s="5">
        <f>IF($A61="","",IFERROR(XLOOKUP($A61,Items!$A:$A,Items!$E:$E),0))</f>
        <v/>
      </c>
      <c r="C61" s="5">
        <f>IF($A61="","",SUMIFS(Ledger!$F$3:$F$1002,Ledger!$D$3:$D$1002,$A61,Ledger!$C$3:$C$1002,"Issue"))</f>
        <v/>
      </c>
      <c r="D61" s="5">
        <f>IF($A61="","",SUMIFS(Ledger!$F$3:$F$1002,Ledger!$D$3:$D$1002,$A61,Ledger!$C$3:$C$1002,"Return"))</f>
        <v/>
      </c>
      <c r="E61" s="5">
        <f>IF($A61="","",$B61+$D61-$C61)</f>
        <v/>
      </c>
      <c r="F61" s="5">
        <f>IF($A61="","",IFERROR(XLOOKUP($A61,Items!$A:$A,Items!$F:$F),0))</f>
        <v/>
      </c>
      <c r="G61" s="6">
        <f>IF($A61="","",SUMIFS(Ledger!$H$3:$H$1002,Ledger!$D$3:$D$1002,$A61))</f>
        <v/>
      </c>
      <c r="H61" s="5">
        <f>IF($A61="","",IF($E61&lt;$F61,"LOW",IF($E61=0,"EMPTY","OK")))</f>
        <v/>
      </c>
    </row>
    <row r="62">
      <c r="A62" s="5">
        <f>IF(Items!A62="","",Items!A62)</f>
        <v/>
      </c>
      <c r="B62" s="5">
        <f>IF($A62="","",IFERROR(XLOOKUP($A62,Items!$A:$A,Items!$E:$E),0))</f>
        <v/>
      </c>
      <c r="C62" s="5">
        <f>IF($A62="","",SUMIFS(Ledger!$F$3:$F$1002,Ledger!$D$3:$D$1002,$A62,Ledger!$C$3:$C$1002,"Issue"))</f>
        <v/>
      </c>
      <c r="D62" s="5">
        <f>IF($A62="","",SUMIFS(Ledger!$F$3:$F$1002,Ledger!$D$3:$D$1002,$A62,Ledger!$C$3:$C$1002,"Return"))</f>
        <v/>
      </c>
      <c r="E62" s="5">
        <f>IF($A62="","",$B62+$D62-$C62)</f>
        <v/>
      </c>
      <c r="F62" s="5">
        <f>IF($A62="","",IFERROR(XLOOKUP($A62,Items!$A:$A,Items!$F:$F),0))</f>
        <v/>
      </c>
      <c r="G62" s="6">
        <f>IF($A62="","",SUMIFS(Ledger!$H$3:$H$1002,Ledger!$D$3:$D$1002,$A62))</f>
        <v/>
      </c>
      <c r="H62" s="5">
        <f>IF($A62="","",IF($E62&lt;$F62,"LOW",IF($E62=0,"EMPTY","OK")))</f>
        <v/>
      </c>
    </row>
    <row r="63">
      <c r="A63" s="5">
        <f>IF(Items!A63="","",Items!A63)</f>
        <v/>
      </c>
      <c r="B63" s="5">
        <f>IF($A63="","",IFERROR(XLOOKUP($A63,Items!$A:$A,Items!$E:$E),0))</f>
        <v/>
      </c>
      <c r="C63" s="5">
        <f>IF($A63="","",SUMIFS(Ledger!$F$3:$F$1002,Ledger!$D$3:$D$1002,$A63,Ledger!$C$3:$C$1002,"Issue"))</f>
        <v/>
      </c>
      <c r="D63" s="5">
        <f>IF($A63="","",SUMIFS(Ledger!$F$3:$F$1002,Ledger!$D$3:$D$1002,$A63,Ledger!$C$3:$C$1002,"Return"))</f>
        <v/>
      </c>
      <c r="E63" s="5">
        <f>IF($A63="","",$B63+$D63-$C63)</f>
        <v/>
      </c>
      <c r="F63" s="5">
        <f>IF($A63="","",IFERROR(XLOOKUP($A63,Items!$A:$A,Items!$F:$F),0))</f>
        <v/>
      </c>
      <c r="G63" s="6">
        <f>IF($A63="","",SUMIFS(Ledger!$H$3:$H$1002,Ledger!$D$3:$D$1002,$A63))</f>
        <v/>
      </c>
      <c r="H63" s="5">
        <f>IF($A63="","",IF($E63&lt;$F63,"LOW",IF($E63=0,"EMPTY","OK")))</f>
        <v/>
      </c>
    </row>
    <row r="64">
      <c r="A64" s="5">
        <f>IF(Items!A64="","",Items!A64)</f>
        <v/>
      </c>
      <c r="B64" s="5">
        <f>IF($A64="","",IFERROR(XLOOKUP($A64,Items!$A:$A,Items!$E:$E),0))</f>
        <v/>
      </c>
      <c r="C64" s="5">
        <f>IF($A64="","",SUMIFS(Ledger!$F$3:$F$1002,Ledger!$D$3:$D$1002,$A64,Ledger!$C$3:$C$1002,"Issue"))</f>
        <v/>
      </c>
      <c r="D64" s="5">
        <f>IF($A64="","",SUMIFS(Ledger!$F$3:$F$1002,Ledger!$D$3:$D$1002,$A64,Ledger!$C$3:$C$1002,"Return"))</f>
        <v/>
      </c>
      <c r="E64" s="5">
        <f>IF($A64="","",$B64+$D64-$C64)</f>
        <v/>
      </c>
      <c r="F64" s="5">
        <f>IF($A64="","",IFERROR(XLOOKUP($A64,Items!$A:$A,Items!$F:$F),0))</f>
        <v/>
      </c>
      <c r="G64" s="6">
        <f>IF($A64="","",SUMIFS(Ledger!$H$3:$H$1002,Ledger!$D$3:$D$1002,$A64))</f>
        <v/>
      </c>
      <c r="H64" s="5">
        <f>IF($A64="","",IF($E64&lt;$F64,"LOW",IF($E64=0,"EMPTY","OK")))</f>
        <v/>
      </c>
    </row>
    <row r="65">
      <c r="A65" s="5">
        <f>IF(Items!A65="","",Items!A65)</f>
        <v/>
      </c>
      <c r="B65" s="5">
        <f>IF($A65="","",IFERROR(XLOOKUP($A65,Items!$A:$A,Items!$E:$E),0))</f>
        <v/>
      </c>
      <c r="C65" s="5">
        <f>IF($A65="","",SUMIFS(Ledger!$F$3:$F$1002,Ledger!$D$3:$D$1002,$A65,Ledger!$C$3:$C$1002,"Issue"))</f>
        <v/>
      </c>
      <c r="D65" s="5">
        <f>IF($A65="","",SUMIFS(Ledger!$F$3:$F$1002,Ledger!$D$3:$D$1002,$A65,Ledger!$C$3:$C$1002,"Return"))</f>
        <v/>
      </c>
      <c r="E65" s="5">
        <f>IF($A65="","",$B65+$D65-$C65)</f>
        <v/>
      </c>
      <c r="F65" s="5">
        <f>IF($A65="","",IFERROR(XLOOKUP($A65,Items!$A:$A,Items!$F:$F),0))</f>
        <v/>
      </c>
      <c r="G65" s="6">
        <f>IF($A65="","",SUMIFS(Ledger!$H$3:$H$1002,Ledger!$D$3:$D$1002,$A65))</f>
        <v/>
      </c>
      <c r="H65" s="5">
        <f>IF($A65="","",IF($E65&lt;$F65,"LOW",IF($E65=0,"EMPTY","OK")))</f>
        <v/>
      </c>
    </row>
    <row r="66">
      <c r="A66" s="5">
        <f>IF(Items!A66="","",Items!A66)</f>
        <v/>
      </c>
      <c r="B66" s="5">
        <f>IF($A66="","",IFERROR(XLOOKUP($A66,Items!$A:$A,Items!$E:$E),0))</f>
        <v/>
      </c>
      <c r="C66" s="5">
        <f>IF($A66="","",SUMIFS(Ledger!$F$3:$F$1002,Ledger!$D$3:$D$1002,$A66,Ledger!$C$3:$C$1002,"Issue"))</f>
        <v/>
      </c>
      <c r="D66" s="5">
        <f>IF($A66="","",SUMIFS(Ledger!$F$3:$F$1002,Ledger!$D$3:$D$1002,$A66,Ledger!$C$3:$C$1002,"Return"))</f>
        <v/>
      </c>
      <c r="E66" s="5">
        <f>IF($A66="","",$B66+$D66-$C66)</f>
        <v/>
      </c>
      <c r="F66" s="5">
        <f>IF($A66="","",IFERROR(XLOOKUP($A66,Items!$A:$A,Items!$F:$F),0))</f>
        <v/>
      </c>
      <c r="G66" s="6">
        <f>IF($A66="","",SUMIFS(Ledger!$H$3:$H$1002,Ledger!$D$3:$D$1002,$A66))</f>
        <v/>
      </c>
      <c r="H66" s="5">
        <f>IF($A66="","",IF($E66&lt;$F66,"LOW",IF($E66=0,"EMPTY","OK")))</f>
        <v/>
      </c>
    </row>
    <row r="67">
      <c r="A67" s="5">
        <f>IF(Items!A67="","",Items!A67)</f>
        <v/>
      </c>
      <c r="B67" s="5">
        <f>IF($A67="","",IFERROR(XLOOKUP($A67,Items!$A:$A,Items!$E:$E),0))</f>
        <v/>
      </c>
      <c r="C67" s="5">
        <f>IF($A67="","",SUMIFS(Ledger!$F$3:$F$1002,Ledger!$D$3:$D$1002,$A67,Ledger!$C$3:$C$1002,"Issue"))</f>
        <v/>
      </c>
      <c r="D67" s="5">
        <f>IF($A67="","",SUMIFS(Ledger!$F$3:$F$1002,Ledger!$D$3:$D$1002,$A67,Ledger!$C$3:$C$1002,"Return"))</f>
        <v/>
      </c>
      <c r="E67" s="5">
        <f>IF($A67="","",$B67+$D67-$C67)</f>
        <v/>
      </c>
      <c r="F67" s="5">
        <f>IF($A67="","",IFERROR(XLOOKUP($A67,Items!$A:$A,Items!$F:$F),0))</f>
        <v/>
      </c>
      <c r="G67" s="6">
        <f>IF($A67="","",SUMIFS(Ledger!$H$3:$H$1002,Ledger!$D$3:$D$1002,$A67))</f>
        <v/>
      </c>
      <c r="H67" s="5">
        <f>IF($A67="","",IF($E67&lt;$F67,"LOW",IF($E67=0,"EMPTY","OK")))</f>
        <v/>
      </c>
    </row>
    <row r="68">
      <c r="A68" s="5">
        <f>IF(Items!A68="","",Items!A68)</f>
        <v/>
      </c>
      <c r="B68" s="5">
        <f>IF($A68="","",IFERROR(XLOOKUP($A68,Items!$A:$A,Items!$E:$E),0))</f>
        <v/>
      </c>
      <c r="C68" s="5">
        <f>IF($A68="","",SUMIFS(Ledger!$F$3:$F$1002,Ledger!$D$3:$D$1002,$A68,Ledger!$C$3:$C$1002,"Issue"))</f>
        <v/>
      </c>
      <c r="D68" s="5">
        <f>IF($A68="","",SUMIFS(Ledger!$F$3:$F$1002,Ledger!$D$3:$D$1002,$A68,Ledger!$C$3:$C$1002,"Return"))</f>
        <v/>
      </c>
      <c r="E68" s="5">
        <f>IF($A68="","",$B68+$D68-$C68)</f>
        <v/>
      </c>
      <c r="F68" s="5">
        <f>IF($A68="","",IFERROR(XLOOKUP($A68,Items!$A:$A,Items!$F:$F),0))</f>
        <v/>
      </c>
      <c r="G68" s="6">
        <f>IF($A68="","",SUMIFS(Ledger!$H$3:$H$1002,Ledger!$D$3:$D$1002,$A68))</f>
        <v/>
      </c>
      <c r="H68" s="5">
        <f>IF($A68="","",IF($E68&lt;$F68,"LOW",IF($E68=0,"EMPTY","OK")))</f>
        <v/>
      </c>
    </row>
    <row r="69">
      <c r="A69" s="5">
        <f>IF(Items!A69="","",Items!A69)</f>
        <v/>
      </c>
      <c r="B69" s="5">
        <f>IF($A69="","",IFERROR(XLOOKUP($A69,Items!$A:$A,Items!$E:$E),0))</f>
        <v/>
      </c>
      <c r="C69" s="5">
        <f>IF($A69="","",SUMIFS(Ledger!$F$3:$F$1002,Ledger!$D$3:$D$1002,$A69,Ledger!$C$3:$C$1002,"Issue"))</f>
        <v/>
      </c>
      <c r="D69" s="5">
        <f>IF($A69="","",SUMIFS(Ledger!$F$3:$F$1002,Ledger!$D$3:$D$1002,$A69,Ledger!$C$3:$C$1002,"Return"))</f>
        <v/>
      </c>
      <c r="E69" s="5">
        <f>IF($A69="","",$B69+$D69-$C69)</f>
        <v/>
      </c>
      <c r="F69" s="5">
        <f>IF($A69="","",IFERROR(XLOOKUP($A69,Items!$A:$A,Items!$F:$F),0))</f>
        <v/>
      </c>
      <c r="G69" s="6">
        <f>IF($A69="","",SUMIFS(Ledger!$H$3:$H$1002,Ledger!$D$3:$D$1002,$A69))</f>
        <v/>
      </c>
      <c r="H69" s="5">
        <f>IF($A69="","",IF($E69&lt;$F69,"LOW",IF($E69=0,"EMPTY","OK")))</f>
        <v/>
      </c>
    </row>
    <row r="70">
      <c r="A70" s="5">
        <f>IF(Items!A70="","",Items!A70)</f>
        <v/>
      </c>
      <c r="B70" s="5">
        <f>IF($A70="","",IFERROR(XLOOKUP($A70,Items!$A:$A,Items!$E:$E),0))</f>
        <v/>
      </c>
      <c r="C70" s="5">
        <f>IF($A70="","",SUMIFS(Ledger!$F$3:$F$1002,Ledger!$D$3:$D$1002,$A70,Ledger!$C$3:$C$1002,"Issue"))</f>
        <v/>
      </c>
      <c r="D70" s="5">
        <f>IF($A70="","",SUMIFS(Ledger!$F$3:$F$1002,Ledger!$D$3:$D$1002,$A70,Ledger!$C$3:$C$1002,"Return"))</f>
        <v/>
      </c>
      <c r="E70" s="5">
        <f>IF($A70="","",$B70+$D70-$C70)</f>
        <v/>
      </c>
      <c r="F70" s="5">
        <f>IF($A70="","",IFERROR(XLOOKUP($A70,Items!$A:$A,Items!$F:$F),0))</f>
        <v/>
      </c>
      <c r="G70" s="6">
        <f>IF($A70="","",SUMIFS(Ledger!$H$3:$H$1002,Ledger!$D$3:$D$1002,$A70))</f>
        <v/>
      </c>
      <c r="H70" s="5">
        <f>IF($A70="","",IF($E70&lt;$F70,"LOW",IF($E70=0,"EMPTY","OK")))</f>
        <v/>
      </c>
    </row>
    <row r="71">
      <c r="A71" s="5">
        <f>IF(Items!A71="","",Items!A71)</f>
        <v/>
      </c>
      <c r="B71" s="5">
        <f>IF($A71="","",IFERROR(XLOOKUP($A71,Items!$A:$A,Items!$E:$E),0))</f>
        <v/>
      </c>
      <c r="C71" s="5">
        <f>IF($A71="","",SUMIFS(Ledger!$F$3:$F$1002,Ledger!$D$3:$D$1002,$A71,Ledger!$C$3:$C$1002,"Issue"))</f>
        <v/>
      </c>
      <c r="D71" s="5">
        <f>IF($A71="","",SUMIFS(Ledger!$F$3:$F$1002,Ledger!$D$3:$D$1002,$A71,Ledger!$C$3:$C$1002,"Return"))</f>
        <v/>
      </c>
      <c r="E71" s="5">
        <f>IF($A71="","",$B71+$D71-$C71)</f>
        <v/>
      </c>
      <c r="F71" s="5">
        <f>IF($A71="","",IFERROR(XLOOKUP($A71,Items!$A:$A,Items!$F:$F),0))</f>
        <v/>
      </c>
      <c r="G71" s="6">
        <f>IF($A71="","",SUMIFS(Ledger!$H$3:$H$1002,Ledger!$D$3:$D$1002,$A71))</f>
        <v/>
      </c>
      <c r="H71" s="5">
        <f>IF($A71="","",IF($E71&lt;$F71,"LOW",IF($E71=0,"EMPTY","OK")))</f>
        <v/>
      </c>
    </row>
    <row r="72">
      <c r="A72" s="5">
        <f>IF(Items!A72="","",Items!A72)</f>
        <v/>
      </c>
      <c r="B72" s="5">
        <f>IF($A72="","",IFERROR(XLOOKUP($A72,Items!$A:$A,Items!$E:$E),0))</f>
        <v/>
      </c>
      <c r="C72" s="5">
        <f>IF($A72="","",SUMIFS(Ledger!$F$3:$F$1002,Ledger!$D$3:$D$1002,$A72,Ledger!$C$3:$C$1002,"Issue"))</f>
        <v/>
      </c>
      <c r="D72" s="5">
        <f>IF($A72="","",SUMIFS(Ledger!$F$3:$F$1002,Ledger!$D$3:$D$1002,$A72,Ledger!$C$3:$C$1002,"Return"))</f>
        <v/>
      </c>
      <c r="E72" s="5">
        <f>IF($A72="","",$B72+$D72-$C72)</f>
        <v/>
      </c>
      <c r="F72" s="5">
        <f>IF($A72="","",IFERROR(XLOOKUP($A72,Items!$A:$A,Items!$F:$F),0))</f>
        <v/>
      </c>
      <c r="G72" s="6">
        <f>IF($A72="","",SUMIFS(Ledger!$H$3:$H$1002,Ledger!$D$3:$D$1002,$A72))</f>
        <v/>
      </c>
      <c r="H72" s="5">
        <f>IF($A72="","",IF($E72&lt;$F72,"LOW",IF($E72=0,"EMPTY","OK")))</f>
        <v/>
      </c>
    </row>
    <row r="73">
      <c r="A73" s="5">
        <f>IF(Items!A73="","",Items!A73)</f>
        <v/>
      </c>
      <c r="B73" s="5">
        <f>IF($A73="","",IFERROR(XLOOKUP($A73,Items!$A:$A,Items!$E:$E),0))</f>
        <v/>
      </c>
      <c r="C73" s="5">
        <f>IF($A73="","",SUMIFS(Ledger!$F$3:$F$1002,Ledger!$D$3:$D$1002,$A73,Ledger!$C$3:$C$1002,"Issue"))</f>
        <v/>
      </c>
      <c r="D73" s="5">
        <f>IF($A73="","",SUMIFS(Ledger!$F$3:$F$1002,Ledger!$D$3:$D$1002,$A73,Ledger!$C$3:$C$1002,"Return"))</f>
        <v/>
      </c>
      <c r="E73" s="5">
        <f>IF($A73="","",$B73+$D73-$C73)</f>
        <v/>
      </c>
      <c r="F73" s="5">
        <f>IF($A73="","",IFERROR(XLOOKUP($A73,Items!$A:$A,Items!$F:$F),0))</f>
        <v/>
      </c>
      <c r="G73" s="6">
        <f>IF($A73="","",SUMIFS(Ledger!$H$3:$H$1002,Ledger!$D$3:$D$1002,$A73))</f>
        <v/>
      </c>
      <c r="H73" s="5">
        <f>IF($A73="","",IF($E73&lt;$F73,"LOW",IF($E73=0,"EMPTY","OK")))</f>
        <v/>
      </c>
    </row>
    <row r="74">
      <c r="A74" s="5">
        <f>IF(Items!A74="","",Items!A74)</f>
        <v/>
      </c>
      <c r="B74" s="5">
        <f>IF($A74="","",IFERROR(XLOOKUP($A74,Items!$A:$A,Items!$E:$E),0))</f>
        <v/>
      </c>
      <c r="C74" s="5">
        <f>IF($A74="","",SUMIFS(Ledger!$F$3:$F$1002,Ledger!$D$3:$D$1002,$A74,Ledger!$C$3:$C$1002,"Issue"))</f>
        <v/>
      </c>
      <c r="D74" s="5">
        <f>IF($A74="","",SUMIFS(Ledger!$F$3:$F$1002,Ledger!$D$3:$D$1002,$A74,Ledger!$C$3:$C$1002,"Return"))</f>
        <v/>
      </c>
      <c r="E74" s="5">
        <f>IF($A74="","",$B74+$D74-$C74)</f>
        <v/>
      </c>
      <c r="F74" s="5">
        <f>IF($A74="","",IFERROR(XLOOKUP($A74,Items!$A:$A,Items!$F:$F),0))</f>
        <v/>
      </c>
      <c r="G74" s="6">
        <f>IF($A74="","",SUMIFS(Ledger!$H$3:$H$1002,Ledger!$D$3:$D$1002,$A74))</f>
        <v/>
      </c>
      <c r="H74" s="5">
        <f>IF($A74="","",IF($E74&lt;$F74,"LOW",IF($E74=0,"EMPTY","OK")))</f>
        <v/>
      </c>
    </row>
    <row r="75">
      <c r="A75" s="5">
        <f>IF(Items!A75="","",Items!A75)</f>
        <v/>
      </c>
      <c r="B75" s="5">
        <f>IF($A75="","",IFERROR(XLOOKUP($A75,Items!$A:$A,Items!$E:$E),0))</f>
        <v/>
      </c>
      <c r="C75" s="5">
        <f>IF($A75="","",SUMIFS(Ledger!$F$3:$F$1002,Ledger!$D$3:$D$1002,$A75,Ledger!$C$3:$C$1002,"Issue"))</f>
        <v/>
      </c>
      <c r="D75" s="5">
        <f>IF($A75="","",SUMIFS(Ledger!$F$3:$F$1002,Ledger!$D$3:$D$1002,$A75,Ledger!$C$3:$C$1002,"Return"))</f>
        <v/>
      </c>
      <c r="E75" s="5">
        <f>IF($A75="","",$B75+$D75-$C75)</f>
        <v/>
      </c>
      <c r="F75" s="5">
        <f>IF($A75="","",IFERROR(XLOOKUP($A75,Items!$A:$A,Items!$F:$F),0))</f>
        <v/>
      </c>
      <c r="G75" s="6">
        <f>IF($A75="","",SUMIFS(Ledger!$H$3:$H$1002,Ledger!$D$3:$D$1002,$A75))</f>
        <v/>
      </c>
      <c r="H75" s="5">
        <f>IF($A75="","",IF($E75&lt;$F75,"LOW",IF($E75=0,"EMPTY","OK")))</f>
        <v/>
      </c>
    </row>
    <row r="76">
      <c r="A76" s="5">
        <f>IF(Items!A76="","",Items!A76)</f>
        <v/>
      </c>
      <c r="B76" s="5">
        <f>IF($A76="","",IFERROR(XLOOKUP($A76,Items!$A:$A,Items!$E:$E),0))</f>
        <v/>
      </c>
      <c r="C76" s="5">
        <f>IF($A76="","",SUMIFS(Ledger!$F$3:$F$1002,Ledger!$D$3:$D$1002,$A76,Ledger!$C$3:$C$1002,"Issue"))</f>
        <v/>
      </c>
      <c r="D76" s="5">
        <f>IF($A76="","",SUMIFS(Ledger!$F$3:$F$1002,Ledger!$D$3:$D$1002,$A76,Ledger!$C$3:$C$1002,"Return"))</f>
        <v/>
      </c>
      <c r="E76" s="5">
        <f>IF($A76="","",$B76+$D76-$C76)</f>
        <v/>
      </c>
      <c r="F76" s="5">
        <f>IF($A76="","",IFERROR(XLOOKUP($A76,Items!$A:$A,Items!$F:$F),0))</f>
        <v/>
      </c>
      <c r="G76" s="6">
        <f>IF($A76="","",SUMIFS(Ledger!$H$3:$H$1002,Ledger!$D$3:$D$1002,$A76))</f>
        <v/>
      </c>
      <c r="H76" s="5">
        <f>IF($A76="","",IF($E76&lt;$F76,"LOW",IF($E76=0,"EMPTY","OK")))</f>
        <v/>
      </c>
    </row>
    <row r="77">
      <c r="A77" s="5">
        <f>IF(Items!A77="","",Items!A77)</f>
        <v/>
      </c>
      <c r="B77" s="5">
        <f>IF($A77="","",IFERROR(XLOOKUP($A77,Items!$A:$A,Items!$E:$E),0))</f>
        <v/>
      </c>
      <c r="C77" s="5">
        <f>IF($A77="","",SUMIFS(Ledger!$F$3:$F$1002,Ledger!$D$3:$D$1002,$A77,Ledger!$C$3:$C$1002,"Issue"))</f>
        <v/>
      </c>
      <c r="D77" s="5">
        <f>IF($A77="","",SUMIFS(Ledger!$F$3:$F$1002,Ledger!$D$3:$D$1002,$A77,Ledger!$C$3:$C$1002,"Return"))</f>
        <v/>
      </c>
      <c r="E77" s="5">
        <f>IF($A77="","",$B77+$D77-$C77)</f>
        <v/>
      </c>
      <c r="F77" s="5">
        <f>IF($A77="","",IFERROR(XLOOKUP($A77,Items!$A:$A,Items!$F:$F),0))</f>
        <v/>
      </c>
      <c r="G77" s="6">
        <f>IF($A77="","",SUMIFS(Ledger!$H$3:$H$1002,Ledger!$D$3:$D$1002,$A77))</f>
        <v/>
      </c>
      <c r="H77" s="5">
        <f>IF($A77="","",IF($E77&lt;$F77,"LOW",IF($E77=0,"EMPTY","OK")))</f>
        <v/>
      </c>
    </row>
    <row r="78">
      <c r="A78" s="5">
        <f>IF(Items!A78="","",Items!A78)</f>
        <v/>
      </c>
      <c r="B78" s="5">
        <f>IF($A78="","",IFERROR(XLOOKUP($A78,Items!$A:$A,Items!$E:$E),0))</f>
        <v/>
      </c>
      <c r="C78" s="5">
        <f>IF($A78="","",SUMIFS(Ledger!$F$3:$F$1002,Ledger!$D$3:$D$1002,$A78,Ledger!$C$3:$C$1002,"Issue"))</f>
        <v/>
      </c>
      <c r="D78" s="5">
        <f>IF($A78="","",SUMIFS(Ledger!$F$3:$F$1002,Ledger!$D$3:$D$1002,$A78,Ledger!$C$3:$C$1002,"Return"))</f>
        <v/>
      </c>
      <c r="E78" s="5">
        <f>IF($A78="","",$B78+$D78-$C78)</f>
        <v/>
      </c>
      <c r="F78" s="5">
        <f>IF($A78="","",IFERROR(XLOOKUP($A78,Items!$A:$A,Items!$F:$F),0))</f>
        <v/>
      </c>
      <c r="G78" s="6">
        <f>IF($A78="","",SUMIFS(Ledger!$H$3:$H$1002,Ledger!$D$3:$D$1002,$A78))</f>
        <v/>
      </c>
      <c r="H78" s="5">
        <f>IF($A78="","",IF($E78&lt;$F78,"LOW",IF($E78=0,"EMPTY","OK")))</f>
        <v/>
      </c>
    </row>
    <row r="79">
      <c r="A79" s="5">
        <f>IF(Items!A79="","",Items!A79)</f>
        <v/>
      </c>
      <c r="B79" s="5">
        <f>IF($A79="","",IFERROR(XLOOKUP($A79,Items!$A:$A,Items!$E:$E),0))</f>
        <v/>
      </c>
      <c r="C79" s="5">
        <f>IF($A79="","",SUMIFS(Ledger!$F$3:$F$1002,Ledger!$D$3:$D$1002,$A79,Ledger!$C$3:$C$1002,"Issue"))</f>
        <v/>
      </c>
      <c r="D79" s="5">
        <f>IF($A79="","",SUMIFS(Ledger!$F$3:$F$1002,Ledger!$D$3:$D$1002,$A79,Ledger!$C$3:$C$1002,"Return"))</f>
        <v/>
      </c>
      <c r="E79" s="5">
        <f>IF($A79="","",$B79+$D79-$C79)</f>
        <v/>
      </c>
      <c r="F79" s="5">
        <f>IF($A79="","",IFERROR(XLOOKUP($A79,Items!$A:$A,Items!$F:$F),0))</f>
        <v/>
      </c>
      <c r="G79" s="6">
        <f>IF($A79="","",SUMIFS(Ledger!$H$3:$H$1002,Ledger!$D$3:$D$1002,$A79))</f>
        <v/>
      </c>
      <c r="H79" s="5">
        <f>IF($A79="","",IF($E79&lt;$F79,"LOW",IF($E79=0,"EMPTY","OK")))</f>
        <v/>
      </c>
    </row>
    <row r="80">
      <c r="A80" s="5">
        <f>IF(Items!A80="","",Items!A80)</f>
        <v/>
      </c>
      <c r="B80" s="5">
        <f>IF($A80="","",IFERROR(XLOOKUP($A80,Items!$A:$A,Items!$E:$E),0))</f>
        <v/>
      </c>
      <c r="C80" s="5">
        <f>IF($A80="","",SUMIFS(Ledger!$F$3:$F$1002,Ledger!$D$3:$D$1002,$A80,Ledger!$C$3:$C$1002,"Issue"))</f>
        <v/>
      </c>
      <c r="D80" s="5">
        <f>IF($A80="","",SUMIFS(Ledger!$F$3:$F$1002,Ledger!$D$3:$D$1002,$A80,Ledger!$C$3:$C$1002,"Return"))</f>
        <v/>
      </c>
      <c r="E80" s="5">
        <f>IF($A80="","",$B80+$D80-$C80)</f>
        <v/>
      </c>
      <c r="F80" s="5">
        <f>IF($A80="","",IFERROR(XLOOKUP($A80,Items!$A:$A,Items!$F:$F),0))</f>
        <v/>
      </c>
      <c r="G80" s="6">
        <f>IF($A80="","",SUMIFS(Ledger!$H$3:$H$1002,Ledger!$D$3:$D$1002,$A80))</f>
        <v/>
      </c>
      <c r="H80" s="5">
        <f>IF($A80="","",IF($E80&lt;$F80,"LOW",IF($E80=0,"EMPTY","OK")))</f>
        <v/>
      </c>
    </row>
    <row r="81">
      <c r="A81" s="5">
        <f>IF(Items!A81="","",Items!A81)</f>
        <v/>
      </c>
      <c r="B81" s="5">
        <f>IF($A81="","",IFERROR(XLOOKUP($A81,Items!$A:$A,Items!$E:$E),0))</f>
        <v/>
      </c>
      <c r="C81" s="5">
        <f>IF($A81="","",SUMIFS(Ledger!$F$3:$F$1002,Ledger!$D$3:$D$1002,$A81,Ledger!$C$3:$C$1002,"Issue"))</f>
        <v/>
      </c>
      <c r="D81" s="5">
        <f>IF($A81="","",SUMIFS(Ledger!$F$3:$F$1002,Ledger!$D$3:$D$1002,$A81,Ledger!$C$3:$C$1002,"Return"))</f>
        <v/>
      </c>
      <c r="E81" s="5">
        <f>IF($A81="","",$B81+$D81-$C81)</f>
        <v/>
      </c>
      <c r="F81" s="5">
        <f>IF($A81="","",IFERROR(XLOOKUP($A81,Items!$A:$A,Items!$F:$F),0))</f>
        <v/>
      </c>
      <c r="G81" s="6">
        <f>IF($A81="","",SUMIFS(Ledger!$H$3:$H$1002,Ledger!$D$3:$D$1002,$A81))</f>
        <v/>
      </c>
      <c r="H81" s="5">
        <f>IF($A81="","",IF($E81&lt;$F81,"LOW",IF($E81=0,"EMPTY","OK")))</f>
        <v/>
      </c>
    </row>
    <row r="82">
      <c r="A82" s="5">
        <f>IF(Items!A82="","",Items!A82)</f>
        <v/>
      </c>
      <c r="B82" s="5">
        <f>IF($A82="","",IFERROR(XLOOKUP($A82,Items!$A:$A,Items!$E:$E),0))</f>
        <v/>
      </c>
      <c r="C82" s="5">
        <f>IF($A82="","",SUMIFS(Ledger!$F$3:$F$1002,Ledger!$D$3:$D$1002,$A82,Ledger!$C$3:$C$1002,"Issue"))</f>
        <v/>
      </c>
      <c r="D82" s="5">
        <f>IF($A82="","",SUMIFS(Ledger!$F$3:$F$1002,Ledger!$D$3:$D$1002,$A82,Ledger!$C$3:$C$1002,"Return"))</f>
        <v/>
      </c>
      <c r="E82" s="5">
        <f>IF($A82="","",$B82+$D82-$C82)</f>
        <v/>
      </c>
      <c r="F82" s="5">
        <f>IF($A82="","",IFERROR(XLOOKUP($A82,Items!$A:$A,Items!$F:$F),0))</f>
        <v/>
      </c>
      <c r="G82" s="6">
        <f>IF($A82="","",SUMIFS(Ledger!$H$3:$H$1002,Ledger!$D$3:$D$1002,$A82))</f>
        <v/>
      </c>
      <c r="H82" s="5">
        <f>IF($A82="","",IF($E82&lt;$F82,"LOW",IF($E82=0,"EMPTY","OK")))</f>
        <v/>
      </c>
    </row>
    <row r="83">
      <c r="A83" s="5">
        <f>IF(Items!A83="","",Items!A83)</f>
        <v/>
      </c>
      <c r="B83" s="5">
        <f>IF($A83="","",IFERROR(XLOOKUP($A83,Items!$A:$A,Items!$E:$E),0))</f>
        <v/>
      </c>
      <c r="C83" s="5">
        <f>IF($A83="","",SUMIFS(Ledger!$F$3:$F$1002,Ledger!$D$3:$D$1002,$A83,Ledger!$C$3:$C$1002,"Issue"))</f>
        <v/>
      </c>
      <c r="D83" s="5">
        <f>IF($A83="","",SUMIFS(Ledger!$F$3:$F$1002,Ledger!$D$3:$D$1002,$A83,Ledger!$C$3:$C$1002,"Return"))</f>
        <v/>
      </c>
      <c r="E83" s="5">
        <f>IF($A83="","",$B83+$D83-$C83)</f>
        <v/>
      </c>
      <c r="F83" s="5">
        <f>IF($A83="","",IFERROR(XLOOKUP($A83,Items!$A:$A,Items!$F:$F),0))</f>
        <v/>
      </c>
      <c r="G83" s="6">
        <f>IF($A83="","",SUMIFS(Ledger!$H$3:$H$1002,Ledger!$D$3:$D$1002,$A83))</f>
        <v/>
      </c>
      <c r="H83" s="5">
        <f>IF($A83="","",IF($E83&lt;$F83,"LOW",IF($E83=0,"EMPTY","OK")))</f>
        <v/>
      </c>
    </row>
    <row r="84">
      <c r="A84" s="5">
        <f>IF(Items!A84="","",Items!A84)</f>
        <v/>
      </c>
      <c r="B84" s="5">
        <f>IF($A84="","",IFERROR(XLOOKUP($A84,Items!$A:$A,Items!$E:$E),0))</f>
        <v/>
      </c>
      <c r="C84" s="5">
        <f>IF($A84="","",SUMIFS(Ledger!$F$3:$F$1002,Ledger!$D$3:$D$1002,$A84,Ledger!$C$3:$C$1002,"Issue"))</f>
        <v/>
      </c>
      <c r="D84" s="5">
        <f>IF($A84="","",SUMIFS(Ledger!$F$3:$F$1002,Ledger!$D$3:$D$1002,$A84,Ledger!$C$3:$C$1002,"Return"))</f>
        <v/>
      </c>
      <c r="E84" s="5">
        <f>IF($A84="","",$B84+$D84-$C84)</f>
        <v/>
      </c>
      <c r="F84" s="5">
        <f>IF($A84="","",IFERROR(XLOOKUP($A84,Items!$A:$A,Items!$F:$F),0))</f>
        <v/>
      </c>
      <c r="G84" s="6">
        <f>IF($A84="","",SUMIFS(Ledger!$H$3:$H$1002,Ledger!$D$3:$D$1002,$A84))</f>
        <v/>
      </c>
      <c r="H84" s="5">
        <f>IF($A84="","",IF($E84&lt;$F84,"LOW",IF($E84=0,"EMPTY","OK")))</f>
        <v/>
      </c>
    </row>
    <row r="85">
      <c r="A85" s="5">
        <f>IF(Items!A85="","",Items!A85)</f>
        <v/>
      </c>
      <c r="B85" s="5">
        <f>IF($A85="","",IFERROR(XLOOKUP($A85,Items!$A:$A,Items!$E:$E),0))</f>
        <v/>
      </c>
      <c r="C85" s="5">
        <f>IF($A85="","",SUMIFS(Ledger!$F$3:$F$1002,Ledger!$D$3:$D$1002,$A85,Ledger!$C$3:$C$1002,"Issue"))</f>
        <v/>
      </c>
      <c r="D85" s="5">
        <f>IF($A85="","",SUMIFS(Ledger!$F$3:$F$1002,Ledger!$D$3:$D$1002,$A85,Ledger!$C$3:$C$1002,"Return"))</f>
        <v/>
      </c>
      <c r="E85" s="5">
        <f>IF($A85="","",$B85+$D85-$C85)</f>
        <v/>
      </c>
      <c r="F85" s="5">
        <f>IF($A85="","",IFERROR(XLOOKUP($A85,Items!$A:$A,Items!$F:$F),0))</f>
        <v/>
      </c>
      <c r="G85" s="6">
        <f>IF($A85="","",SUMIFS(Ledger!$H$3:$H$1002,Ledger!$D$3:$D$1002,$A85))</f>
        <v/>
      </c>
      <c r="H85" s="5">
        <f>IF($A85="","",IF($E85&lt;$F85,"LOW",IF($E85=0,"EMPTY","OK")))</f>
        <v/>
      </c>
    </row>
    <row r="86">
      <c r="A86" s="5">
        <f>IF(Items!A86="","",Items!A86)</f>
        <v/>
      </c>
      <c r="B86" s="5">
        <f>IF($A86="","",IFERROR(XLOOKUP($A86,Items!$A:$A,Items!$E:$E),0))</f>
        <v/>
      </c>
      <c r="C86" s="5">
        <f>IF($A86="","",SUMIFS(Ledger!$F$3:$F$1002,Ledger!$D$3:$D$1002,$A86,Ledger!$C$3:$C$1002,"Issue"))</f>
        <v/>
      </c>
      <c r="D86" s="5">
        <f>IF($A86="","",SUMIFS(Ledger!$F$3:$F$1002,Ledger!$D$3:$D$1002,$A86,Ledger!$C$3:$C$1002,"Return"))</f>
        <v/>
      </c>
      <c r="E86" s="5">
        <f>IF($A86="","",$B86+$D86-$C86)</f>
        <v/>
      </c>
      <c r="F86" s="5">
        <f>IF($A86="","",IFERROR(XLOOKUP($A86,Items!$A:$A,Items!$F:$F),0))</f>
        <v/>
      </c>
      <c r="G86" s="6">
        <f>IF($A86="","",SUMIFS(Ledger!$H$3:$H$1002,Ledger!$D$3:$D$1002,$A86))</f>
        <v/>
      </c>
      <c r="H86" s="5">
        <f>IF($A86="","",IF($E86&lt;$F86,"LOW",IF($E86=0,"EMPTY","OK")))</f>
        <v/>
      </c>
    </row>
    <row r="87">
      <c r="A87" s="5">
        <f>IF(Items!A87="","",Items!A87)</f>
        <v/>
      </c>
      <c r="B87" s="5">
        <f>IF($A87="","",IFERROR(XLOOKUP($A87,Items!$A:$A,Items!$E:$E),0))</f>
        <v/>
      </c>
      <c r="C87" s="5">
        <f>IF($A87="","",SUMIFS(Ledger!$F$3:$F$1002,Ledger!$D$3:$D$1002,$A87,Ledger!$C$3:$C$1002,"Issue"))</f>
        <v/>
      </c>
      <c r="D87" s="5">
        <f>IF($A87="","",SUMIFS(Ledger!$F$3:$F$1002,Ledger!$D$3:$D$1002,$A87,Ledger!$C$3:$C$1002,"Return"))</f>
        <v/>
      </c>
      <c r="E87" s="5">
        <f>IF($A87="","",$B87+$D87-$C87)</f>
        <v/>
      </c>
      <c r="F87" s="5">
        <f>IF($A87="","",IFERROR(XLOOKUP($A87,Items!$A:$A,Items!$F:$F),0))</f>
        <v/>
      </c>
      <c r="G87" s="6">
        <f>IF($A87="","",SUMIFS(Ledger!$H$3:$H$1002,Ledger!$D$3:$D$1002,$A87))</f>
        <v/>
      </c>
      <c r="H87" s="5">
        <f>IF($A87="","",IF($E87&lt;$F87,"LOW",IF($E87=0,"EMPTY","OK")))</f>
        <v/>
      </c>
    </row>
    <row r="88">
      <c r="A88" s="5">
        <f>IF(Items!A88="","",Items!A88)</f>
        <v/>
      </c>
      <c r="B88" s="5">
        <f>IF($A88="","",IFERROR(XLOOKUP($A88,Items!$A:$A,Items!$E:$E),0))</f>
        <v/>
      </c>
      <c r="C88" s="5">
        <f>IF($A88="","",SUMIFS(Ledger!$F$3:$F$1002,Ledger!$D$3:$D$1002,$A88,Ledger!$C$3:$C$1002,"Issue"))</f>
        <v/>
      </c>
      <c r="D88" s="5">
        <f>IF($A88="","",SUMIFS(Ledger!$F$3:$F$1002,Ledger!$D$3:$D$1002,$A88,Ledger!$C$3:$C$1002,"Return"))</f>
        <v/>
      </c>
      <c r="E88" s="5">
        <f>IF($A88="","",$B88+$D88-$C88)</f>
        <v/>
      </c>
      <c r="F88" s="5">
        <f>IF($A88="","",IFERROR(XLOOKUP($A88,Items!$A:$A,Items!$F:$F),0))</f>
        <v/>
      </c>
      <c r="G88" s="6">
        <f>IF($A88="","",SUMIFS(Ledger!$H$3:$H$1002,Ledger!$D$3:$D$1002,$A88))</f>
        <v/>
      </c>
      <c r="H88" s="5">
        <f>IF($A88="","",IF($E88&lt;$F88,"LOW",IF($E88=0,"EMPTY","OK")))</f>
        <v/>
      </c>
    </row>
    <row r="89">
      <c r="A89" s="5">
        <f>IF(Items!A89="","",Items!A89)</f>
        <v/>
      </c>
      <c r="B89" s="5">
        <f>IF($A89="","",IFERROR(XLOOKUP($A89,Items!$A:$A,Items!$E:$E),0))</f>
        <v/>
      </c>
      <c r="C89" s="5">
        <f>IF($A89="","",SUMIFS(Ledger!$F$3:$F$1002,Ledger!$D$3:$D$1002,$A89,Ledger!$C$3:$C$1002,"Issue"))</f>
        <v/>
      </c>
      <c r="D89" s="5">
        <f>IF($A89="","",SUMIFS(Ledger!$F$3:$F$1002,Ledger!$D$3:$D$1002,$A89,Ledger!$C$3:$C$1002,"Return"))</f>
        <v/>
      </c>
      <c r="E89" s="5">
        <f>IF($A89="","",$B89+$D89-$C89)</f>
        <v/>
      </c>
      <c r="F89" s="5">
        <f>IF($A89="","",IFERROR(XLOOKUP($A89,Items!$A:$A,Items!$F:$F),0))</f>
        <v/>
      </c>
      <c r="G89" s="6">
        <f>IF($A89="","",SUMIFS(Ledger!$H$3:$H$1002,Ledger!$D$3:$D$1002,$A89))</f>
        <v/>
      </c>
      <c r="H89" s="5">
        <f>IF($A89="","",IF($E89&lt;$F89,"LOW",IF($E89=0,"EMPTY","OK")))</f>
        <v/>
      </c>
    </row>
    <row r="90">
      <c r="A90" s="5">
        <f>IF(Items!A90="","",Items!A90)</f>
        <v/>
      </c>
      <c r="B90" s="5">
        <f>IF($A90="","",IFERROR(XLOOKUP($A90,Items!$A:$A,Items!$E:$E),0))</f>
        <v/>
      </c>
      <c r="C90" s="5">
        <f>IF($A90="","",SUMIFS(Ledger!$F$3:$F$1002,Ledger!$D$3:$D$1002,$A90,Ledger!$C$3:$C$1002,"Issue"))</f>
        <v/>
      </c>
      <c r="D90" s="5">
        <f>IF($A90="","",SUMIFS(Ledger!$F$3:$F$1002,Ledger!$D$3:$D$1002,$A90,Ledger!$C$3:$C$1002,"Return"))</f>
        <v/>
      </c>
      <c r="E90" s="5">
        <f>IF($A90="","",$B90+$D90-$C90)</f>
        <v/>
      </c>
      <c r="F90" s="5">
        <f>IF($A90="","",IFERROR(XLOOKUP($A90,Items!$A:$A,Items!$F:$F),0))</f>
        <v/>
      </c>
      <c r="G90" s="6">
        <f>IF($A90="","",SUMIFS(Ledger!$H$3:$H$1002,Ledger!$D$3:$D$1002,$A90))</f>
        <v/>
      </c>
      <c r="H90" s="5">
        <f>IF($A90="","",IF($E90&lt;$F90,"LOW",IF($E90=0,"EMPTY","OK")))</f>
        <v/>
      </c>
    </row>
    <row r="91">
      <c r="A91" s="5">
        <f>IF(Items!A91="","",Items!A91)</f>
        <v/>
      </c>
      <c r="B91" s="5">
        <f>IF($A91="","",IFERROR(XLOOKUP($A91,Items!$A:$A,Items!$E:$E),0))</f>
        <v/>
      </c>
      <c r="C91" s="5">
        <f>IF($A91="","",SUMIFS(Ledger!$F$3:$F$1002,Ledger!$D$3:$D$1002,$A91,Ledger!$C$3:$C$1002,"Issue"))</f>
        <v/>
      </c>
      <c r="D91" s="5">
        <f>IF($A91="","",SUMIFS(Ledger!$F$3:$F$1002,Ledger!$D$3:$D$1002,$A91,Ledger!$C$3:$C$1002,"Return"))</f>
        <v/>
      </c>
      <c r="E91" s="5">
        <f>IF($A91="","",$B91+$D91-$C91)</f>
        <v/>
      </c>
      <c r="F91" s="5">
        <f>IF($A91="","",IFERROR(XLOOKUP($A91,Items!$A:$A,Items!$F:$F),0))</f>
        <v/>
      </c>
      <c r="G91" s="6">
        <f>IF($A91="","",SUMIFS(Ledger!$H$3:$H$1002,Ledger!$D$3:$D$1002,$A91))</f>
        <v/>
      </c>
      <c r="H91" s="5">
        <f>IF($A91="","",IF($E91&lt;$F91,"LOW",IF($E91=0,"EMPTY","OK")))</f>
        <v/>
      </c>
    </row>
    <row r="92">
      <c r="A92" s="5">
        <f>IF(Items!A92="","",Items!A92)</f>
        <v/>
      </c>
      <c r="B92" s="5">
        <f>IF($A92="","",IFERROR(XLOOKUP($A92,Items!$A:$A,Items!$E:$E),0))</f>
        <v/>
      </c>
      <c r="C92" s="5">
        <f>IF($A92="","",SUMIFS(Ledger!$F$3:$F$1002,Ledger!$D$3:$D$1002,$A92,Ledger!$C$3:$C$1002,"Issue"))</f>
        <v/>
      </c>
      <c r="D92" s="5">
        <f>IF($A92="","",SUMIFS(Ledger!$F$3:$F$1002,Ledger!$D$3:$D$1002,$A92,Ledger!$C$3:$C$1002,"Return"))</f>
        <v/>
      </c>
      <c r="E92" s="5">
        <f>IF($A92="","",$B92+$D92-$C92)</f>
        <v/>
      </c>
      <c r="F92" s="5">
        <f>IF($A92="","",IFERROR(XLOOKUP($A92,Items!$A:$A,Items!$F:$F),0))</f>
        <v/>
      </c>
      <c r="G92" s="6">
        <f>IF($A92="","",SUMIFS(Ledger!$H$3:$H$1002,Ledger!$D$3:$D$1002,$A92))</f>
        <v/>
      </c>
      <c r="H92" s="5">
        <f>IF($A92="","",IF($E92&lt;$F92,"LOW",IF($E92=0,"EMPTY","OK")))</f>
        <v/>
      </c>
    </row>
    <row r="93">
      <c r="A93" s="5">
        <f>IF(Items!A93="","",Items!A93)</f>
        <v/>
      </c>
      <c r="B93" s="5">
        <f>IF($A93="","",IFERROR(XLOOKUP($A93,Items!$A:$A,Items!$E:$E),0))</f>
        <v/>
      </c>
      <c r="C93" s="5">
        <f>IF($A93="","",SUMIFS(Ledger!$F$3:$F$1002,Ledger!$D$3:$D$1002,$A93,Ledger!$C$3:$C$1002,"Issue"))</f>
        <v/>
      </c>
      <c r="D93" s="5">
        <f>IF($A93="","",SUMIFS(Ledger!$F$3:$F$1002,Ledger!$D$3:$D$1002,$A93,Ledger!$C$3:$C$1002,"Return"))</f>
        <v/>
      </c>
      <c r="E93" s="5">
        <f>IF($A93="","",$B93+$D93-$C93)</f>
        <v/>
      </c>
      <c r="F93" s="5">
        <f>IF($A93="","",IFERROR(XLOOKUP($A93,Items!$A:$A,Items!$F:$F),0))</f>
        <v/>
      </c>
      <c r="G93" s="6">
        <f>IF($A93="","",SUMIFS(Ledger!$H$3:$H$1002,Ledger!$D$3:$D$1002,$A93))</f>
        <v/>
      </c>
      <c r="H93" s="5">
        <f>IF($A93="","",IF($E93&lt;$F93,"LOW",IF($E93=0,"EMPTY","OK")))</f>
        <v/>
      </c>
    </row>
    <row r="94">
      <c r="A94" s="5">
        <f>IF(Items!A94="","",Items!A94)</f>
        <v/>
      </c>
      <c r="B94" s="5">
        <f>IF($A94="","",IFERROR(XLOOKUP($A94,Items!$A:$A,Items!$E:$E),0))</f>
        <v/>
      </c>
      <c r="C94" s="5">
        <f>IF($A94="","",SUMIFS(Ledger!$F$3:$F$1002,Ledger!$D$3:$D$1002,$A94,Ledger!$C$3:$C$1002,"Issue"))</f>
        <v/>
      </c>
      <c r="D94" s="5">
        <f>IF($A94="","",SUMIFS(Ledger!$F$3:$F$1002,Ledger!$D$3:$D$1002,$A94,Ledger!$C$3:$C$1002,"Return"))</f>
        <v/>
      </c>
      <c r="E94" s="5">
        <f>IF($A94="","",$B94+$D94-$C94)</f>
        <v/>
      </c>
      <c r="F94" s="5">
        <f>IF($A94="","",IFERROR(XLOOKUP($A94,Items!$A:$A,Items!$F:$F),0))</f>
        <v/>
      </c>
      <c r="G94" s="6">
        <f>IF($A94="","",SUMIFS(Ledger!$H$3:$H$1002,Ledger!$D$3:$D$1002,$A94))</f>
        <v/>
      </c>
      <c r="H94" s="5">
        <f>IF($A94="","",IF($E94&lt;$F94,"LOW",IF($E94=0,"EMPTY","OK")))</f>
        <v/>
      </c>
    </row>
    <row r="95">
      <c r="A95" s="5">
        <f>IF(Items!A95="","",Items!A95)</f>
        <v/>
      </c>
      <c r="B95" s="5">
        <f>IF($A95="","",IFERROR(XLOOKUP($A95,Items!$A:$A,Items!$E:$E),0))</f>
        <v/>
      </c>
      <c r="C95" s="5">
        <f>IF($A95="","",SUMIFS(Ledger!$F$3:$F$1002,Ledger!$D$3:$D$1002,$A95,Ledger!$C$3:$C$1002,"Issue"))</f>
        <v/>
      </c>
      <c r="D95" s="5">
        <f>IF($A95="","",SUMIFS(Ledger!$F$3:$F$1002,Ledger!$D$3:$D$1002,$A95,Ledger!$C$3:$C$1002,"Return"))</f>
        <v/>
      </c>
      <c r="E95" s="5">
        <f>IF($A95="","",$B95+$D95-$C95)</f>
        <v/>
      </c>
      <c r="F95" s="5">
        <f>IF($A95="","",IFERROR(XLOOKUP($A95,Items!$A:$A,Items!$F:$F),0))</f>
        <v/>
      </c>
      <c r="G95" s="6">
        <f>IF($A95="","",SUMIFS(Ledger!$H$3:$H$1002,Ledger!$D$3:$D$1002,$A95))</f>
        <v/>
      </c>
      <c r="H95" s="5">
        <f>IF($A95="","",IF($E95&lt;$F95,"LOW",IF($E95=0,"EMPTY","OK")))</f>
        <v/>
      </c>
    </row>
    <row r="96">
      <c r="A96" s="5">
        <f>IF(Items!A96="","",Items!A96)</f>
        <v/>
      </c>
      <c r="B96" s="5">
        <f>IF($A96="","",IFERROR(XLOOKUP($A96,Items!$A:$A,Items!$E:$E),0))</f>
        <v/>
      </c>
      <c r="C96" s="5">
        <f>IF($A96="","",SUMIFS(Ledger!$F$3:$F$1002,Ledger!$D$3:$D$1002,$A96,Ledger!$C$3:$C$1002,"Issue"))</f>
        <v/>
      </c>
      <c r="D96" s="5">
        <f>IF($A96="","",SUMIFS(Ledger!$F$3:$F$1002,Ledger!$D$3:$D$1002,$A96,Ledger!$C$3:$C$1002,"Return"))</f>
        <v/>
      </c>
      <c r="E96" s="5">
        <f>IF($A96="","",$B96+$D96-$C96)</f>
        <v/>
      </c>
      <c r="F96" s="5">
        <f>IF($A96="","",IFERROR(XLOOKUP($A96,Items!$A:$A,Items!$F:$F),0))</f>
        <v/>
      </c>
      <c r="G96" s="6">
        <f>IF($A96="","",SUMIFS(Ledger!$H$3:$H$1002,Ledger!$D$3:$D$1002,$A96))</f>
        <v/>
      </c>
      <c r="H96" s="5">
        <f>IF($A96="","",IF($E96&lt;$F96,"LOW",IF($E96=0,"EMPTY","OK")))</f>
        <v/>
      </c>
    </row>
    <row r="97">
      <c r="A97" s="5">
        <f>IF(Items!A97="","",Items!A97)</f>
        <v/>
      </c>
      <c r="B97" s="5">
        <f>IF($A97="","",IFERROR(XLOOKUP($A97,Items!$A:$A,Items!$E:$E),0))</f>
        <v/>
      </c>
      <c r="C97" s="5">
        <f>IF($A97="","",SUMIFS(Ledger!$F$3:$F$1002,Ledger!$D$3:$D$1002,$A97,Ledger!$C$3:$C$1002,"Issue"))</f>
        <v/>
      </c>
      <c r="D97" s="5">
        <f>IF($A97="","",SUMIFS(Ledger!$F$3:$F$1002,Ledger!$D$3:$D$1002,$A97,Ledger!$C$3:$C$1002,"Return"))</f>
        <v/>
      </c>
      <c r="E97" s="5">
        <f>IF($A97="","",$B97+$D97-$C97)</f>
        <v/>
      </c>
      <c r="F97" s="5">
        <f>IF($A97="","",IFERROR(XLOOKUP($A97,Items!$A:$A,Items!$F:$F),0))</f>
        <v/>
      </c>
      <c r="G97" s="6">
        <f>IF($A97="","",SUMIFS(Ledger!$H$3:$H$1002,Ledger!$D$3:$D$1002,$A97))</f>
        <v/>
      </c>
      <c r="H97" s="5">
        <f>IF($A97="","",IF($E97&lt;$F97,"LOW",IF($E97=0,"EMPTY","OK")))</f>
        <v/>
      </c>
    </row>
    <row r="98">
      <c r="A98" s="5">
        <f>IF(Items!A98="","",Items!A98)</f>
        <v/>
      </c>
      <c r="B98" s="5">
        <f>IF($A98="","",IFERROR(XLOOKUP($A98,Items!$A:$A,Items!$E:$E),0))</f>
        <v/>
      </c>
      <c r="C98" s="5">
        <f>IF($A98="","",SUMIFS(Ledger!$F$3:$F$1002,Ledger!$D$3:$D$1002,$A98,Ledger!$C$3:$C$1002,"Issue"))</f>
        <v/>
      </c>
      <c r="D98" s="5">
        <f>IF($A98="","",SUMIFS(Ledger!$F$3:$F$1002,Ledger!$D$3:$D$1002,$A98,Ledger!$C$3:$C$1002,"Return"))</f>
        <v/>
      </c>
      <c r="E98" s="5">
        <f>IF($A98="","",$B98+$D98-$C98)</f>
        <v/>
      </c>
      <c r="F98" s="5">
        <f>IF($A98="","",IFERROR(XLOOKUP($A98,Items!$A:$A,Items!$F:$F),0))</f>
        <v/>
      </c>
      <c r="G98" s="6">
        <f>IF($A98="","",SUMIFS(Ledger!$H$3:$H$1002,Ledger!$D$3:$D$1002,$A98))</f>
        <v/>
      </c>
      <c r="H98" s="5">
        <f>IF($A98="","",IF($E98&lt;$F98,"LOW",IF($E98=0,"EMPTY","OK")))</f>
        <v/>
      </c>
    </row>
    <row r="99">
      <c r="A99" s="5">
        <f>IF(Items!A99="","",Items!A99)</f>
        <v/>
      </c>
      <c r="B99" s="5">
        <f>IF($A99="","",IFERROR(XLOOKUP($A99,Items!$A:$A,Items!$E:$E),0))</f>
        <v/>
      </c>
      <c r="C99" s="5">
        <f>IF($A99="","",SUMIFS(Ledger!$F$3:$F$1002,Ledger!$D$3:$D$1002,$A99,Ledger!$C$3:$C$1002,"Issue"))</f>
        <v/>
      </c>
      <c r="D99" s="5">
        <f>IF($A99="","",SUMIFS(Ledger!$F$3:$F$1002,Ledger!$D$3:$D$1002,$A99,Ledger!$C$3:$C$1002,"Return"))</f>
        <v/>
      </c>
      <c r="E99" s="5">
        <f>IF($A99="","",$B99+$D99-$C99)</f>
        <v/>
      </c>
      <c r="F99" s="5">
        <f>IF($A99="","",IFERROR(XLOOKUP($A99,Items!$A:$A,Items!$F:$F),0))</f>
        <v/>
      </c>
      <c r="G99" s="6">
        <f>IF($A99="","",SUMIFS(Ledger!$H$3:$H$1002,Ledger!$D$3:$D$1002,$A99))</f>
        <v/>
      </c>
      <c r="H99" s="5">
        <f>IF($A99="","",IF($E99&lt;$F99,"LOW",IF($E99=0,"EMPTY","OK")))</f>
        <v/>
      </c>
    </row>
    <row r="100">
      <c r="A100" s="5">
        <f>IF(Items!A100="","",Items!A100)</f>
        <v/>
      </c>
      <c r="B100" s="5">
        <f>IF($A100="","",IFERROR(XLOOKUP($A100,Items!$A:$A,Items!$E:$E),0))</f>
        <v/>
      </c>
      <c r="C100" s="5">
        <f>IF($A100="","",SUMIFS(Ledger!$F$3:$F$1002,Ledger!$D$3:$D$1002,$A100,Ledger!$C$3:$C$1002,"Issue"))</f>
        <v/>
      </c>
      <c r="D100" s="5">
        <f>IF($A100="","",SUMIFS(Ledger!$F$3:$F$1002,Ledger!$D$3:$D$1002,$A100,Ledger!$C$3:$C$1002,"Return"))</f>
        <v/>
      </c>
      <c r="E100" s="5">
        <f>IF($A100="","",$B100+$D100-$C100)</f>
        <v/>
      </c>
      <c r="F100" s="5">
        <f>IF($A100="","",IFERROR(XLOOKUP($A100,Items!$A:$A,Items!$F:$F),0))</f>
        <v/>
      </c>
      <c r="G100" s="6">
        <f>IF($A100="","",SUMIFS(Ledger!$H$3:$H$1002,Ledger!$D$3:$D$1002,$A100))</f>
        <v/>
      </c>
      <c r="H100" s="5">
        <f>IF($A100="","",IF($E100&lt;$F100,"LOW",IF($E100=0,"EMPTY","OK")))</f>
        <v/>
      </c>
    </row>
    <row r="101">
      <c r="A101" s="5">
        <f>IF(Items!A101="","",Items!A101)</f>
        <v/>
      </c>
      <c r="B101" s="5">
        <f>IF($A101="","",IFERROR(XLOOKUP($A101,Items!$A:$A,Items!$E:$E),0))</f>
        <v/>
      </c>
      <c r="C101" s="5">
        <f>IF($A101="","",SUMIFS(Ledger!$F$3:$F$1002,Ledger!$D$3:$D$1002,$A101,Ledger!$C$3:$C$1002,"Issue"))</f>
        <v/>
      </c>
      <c r="D101" s="5">
        <f>IF($A101="","",SUMIFS(Ledger!$F$3:$F$1002,Ledger!$D$3:$D$1002,$A101,Ledger!$C$3:$C$1002,"Return"))</f>
        <v/>
      </c>
      <c r="E101" s="5">
        <f>IF($A101="","",$B101+$D101-$C101)</f>
        <v/>
      </c>
      <c r="F101" s="5">
        <f>IF($A101="","",IFERROR(XLOOKUP($A101,Items!$A:$A,Items!$F:$F),0))</f>
        <v/>
      </c>
      <c r="G101" s="6">
        <f>IF($A101="","",SUMIFS(Ledger!$H$3:$H$1002,Ledger!$D$3:$D$1002,$A101))</f>
        <v/>
      </c>
      <c r="H101" s="5">
        <f>IF($A101="","",IF($E101&lt;$F101,"LOW",IF($E101=0,"EMPTY","OK")))</f>
        <v/>
      </c>
    </row>
    <row r="102">
      <c r="A102" s="5">
        <f>IF(Items!A102="","",Items!A102)</f>
        <v/>
      </c>
      <c r="B102" s="5">
        <f>IF($A102="","",IFERROR(XLOOKUP($A102,Items!$A:$A,Items!$E:$E),0))</f>
        <v/>
      </c>
      <c r="C102" s="5">
        <f>IF($A102="","",SUMIFS(Ledger!$F$3:$F$1002,Ledger!$D$3:$D$1002,$A102,Ledger!$C$3:$C$1002,"Issue"))</f>
        <v/>
      </c>
      <c r="D102" s="5">
        <f>IF($A102="","",SUMIFS(Ledger!$F$3:$F$1002,Ledger!$D$3:$D$1002,$A102,Ledger!$C$3:$C$1002,"Return"))</f>
        <v/>
      </c>
      <c r="E102" s="5">
        <f>IF($A102="","",$B102+$D102-$C102)</f>
        <v/>
      </c>
      <c r="F102" s="5">
        <f>IF($A102="","",IFERROR(XLOOKUP($A102,Items!$A:$A,Items!$F:$F),0))</f>
        <v/>
      </c>
      <c r="G102" s="6">
        <f>IF($A102="","",SUMIFS(Ledger!$H$3:$H$1002,Ledger!$D$3:$D$1002,$A102))</f>
        <v/>
      </c>
      <c r="H102" s="5">
        <f>IF($A102="","",IF($E102&lt;$F102,"LOW",IF($E102=0,"EMPTY","OK")))</f>
        <v/>
      </c>
    </row>
    <row r="103">
      <c r="A103" s="5">
        <f>IF(Items!A103="","",Items!A103)</f>
        <v/>
      </c>
      <c r="B103" s="5">
        <f>IF($A103="","",IFERROR(XLOOKUP($A103,Items!$A:$A,Items!$E:$E),0))</f>
        <v/>
      </c>
      <c r="C103" s="5">
        <f>IF($A103="","",SUMIFS(Ledger!$F$3:$F$1002,Ledger!$D$3:$D$1002,$A103,Ledger!$C$3:$C$1002,"Issue"))</f>
        <v/>
      </c>
      <c r="D103" s="5">
        <f>IF($A103="","",SUMIFS(Ledger!$F$3:$F$1002,Ledger!$D$3:$D$1002,$A103,Ledger!$C$3:$C$1002,"Return"))</f>
        <v/>
      </c>
      <c r="E103" s="5">
        <f>IF($A103="","",$B103+$D103-$C103)</f>
        <v/>
      </c>
      <c r="F103" s="5">
        <f>IF($A103="","",IFERROR(XLOOKUP($A103,Items!$A:$A,Items!$F:$F),0))</f>
        <v/>
      </c>
      <c r="G103" s="6">
        <f>IF($A103="","",SUMIFS(Ledger!$H$3:$H$1002,Ledger!$D$3:$D$1002,$A103))</f>
        <v/>
      </c>
      <c r="H103" s="5">
        <f>IF($A103="","",IF($E103&lt;$F103,"LOW",IF($E103=0,"EMPTY","OK")))</f>
        <v/>
      </c>
    </row>
    <row r="104">
      <c r="A104" s="5">
        <f>IF(Items!A104="","",Items!A104)</f>
        <v/>
      </c>
      <c r="B104" s="5">
        <f>IF($A104="","",IFERROR(XLOOKUP($A104,Items!$A:$A,Items!$E:$E),0))</f>
        <v/>
      </c>
      <c r="C104" s="5">
        <f>IF($A104="","",SUMIFS(Ledger!$F$3:$F$1002,Ledger!$D$3:$D$1002,$A104,Ledger!$C$3:$C$1002,"Issue"))</f>
        <v/>
      </c>
      <c r="D104" s="5">
        <f>IF($A104="","",SUMIFS(Ledger!$F$3:$F$1002,Ledger!$D$3:$D$1002,$A104,Ledger!$C$3:$C$1002,"Return"))</f>
        <v/>
      </c>
      <c r="E104" s="5">
        <f>IF($A104="","",$B104+$D104-$C104)</f>
        <v/>
      </c>
      <c r="F104" s="5">
        <f>IF($A104="","",IFERROR(XLOOKUP($A104,Items!$A:$A,Items!$F:$F),0))</f>
        <v/>
      </c>
      <c r="G104" s="6">
        <f>IF($A104="","",SUMIFS(Ledger!$H$3:$H$1002,Ledger!$D$3:$D$1002,$A104))</f>
        <v/>
      </c>
      <c r="H104" s="5">
        <f>IF($A104="","",IF($E104&lt;$F104,"LOW",IF($E104=0,"EMPTY","OK")))</f>
        <v/>
      </c>
    </row>
    <row r="105">
      <c r="A105" s="5">
        <f>IF(Items!A105="","",Items!A105)</f>
        <v/>
      </c>
      <c r="B105" s="5">
        <f>IF($A105="","",IFERROR(XLOOKUP($A105,Items!$A:$A,Items!$E:$E),0))</f>
        <v/>
      </c>
      <c r="C105" s="5">
        <f>IF($A105="","",SUMIFS(Ledger!$F$3:$F$1002,Ledger!$D$3:$D$1002,$A105,Ledger!$C$3:$C$1002,"Issue"))</f>
        <v/>
      </c>
      <c r="D105" s="5">
        <f>IF($A105="","",SUMIFS(Ledger!$F$3:$F$1002,Ledger!$D$3:$D$1002,$A105,Ledger!$C$3:$C$1002,"Return"))</f>
        <v/>
      </c>
      <c r="E105" s="5">
        <f>IF($A105="","",$B105+$D105-$C105)</f>
        <v/>
      </c>
      <c r="F105" s="5">
        <f>IF($A105="","",IFERROR(XLOOKUP($A105,Items!$A:$A,Items!$F:$F),0))</f>
        <v/>
      </c>
      <c r="G105" s="6">
        <f>IF($A105="","",SUMIFS(Ledger!$H$3:$H$1002,Ledger!$D$3:$D$1002,$A105))</f>
        <v/>
      </c>
      <c r="H105" s="5">
        <f>IF($A105="","",IF($E105&lt;$F105,"LOW",IF($E105=0,"EMPTY","OK")))</f>
        <v/>
      </c>
    </row>
    <row r="106">
      <c r="A106" s="5">
        <f>IF(Items!A106="","",Items!A106)</f>
        <v/>
      </c>
      <c r="B106" s="5">
        <f>IF($A106="","",IFERROR(XLOOKUP($A106,Items!$A:$A,Items!$E:$E),0))</f>
        <v/>
      </c>
      <c r="C106" s="5">
        <f>IF($A106="","",SUMIFS(Ledger!$F$3:$F$1002,Ledger!$D$3:$D$1002,$A106,Ledger!$C$3:$C$1002,"Issue"))</f>
        <v/>
      </c>
      <c r="D106" s="5">
        <f>IF($A106="","",SUMIFS(Ledger!$F$3:$F$1002,Ledger!$D$3:$D$1002,$A106,Ledger!$C$3:$C$1002,"Return"))</f>
        <v/>
      </c>
      <c r="E106" s="5">
        <f>IF($A106="","",$B106+$D106-$C106)</f>
        <v/>
      </c>
      <c r="F106" s="5">
        <f>IF($A106="","",IFERROR(XLOOKUP($A106,Items!$A:$A,Items!$F:$F),0))</f>
        <v/>
      </c>
      <c r="G106" s="6">
        <f>IF($A106="","",SUMIFS(Ledger!$H$3:$H$1002,Ledger!$D$3:$D$1002,$A106))</f>
        <v/>
      </c>
      <c r="H106" s="5">
        <f>IF($A106="","",IF($E106&lt;$F106,"LOW",IF($E106=0,"EMPTY","OK")))</f>
        <v/>
      </c>
    </row>
    <row r="107">
      <c r="A107" s="5">
        <f>IF(Items!A107="","",Items!A107)</f>
        <v/>
      </c>
      <c r="B107" s="5">
        <f>IF($A107="","",IFERROR(XLOOKUP($A107,Items!$A:$A,Items!$E:$E),0))</f>
        <v/>
      </c>
      <c r="C107" s="5">
        <f>IF($A107="","",SUMIFS(Ledger!$F$3:$F$1002,Ledger!$D$3:$D$1002,$A107,Ledger!$C$3:$C$1002,"Issue"))</f>
        <v/>
      </c>
      <c r="D107" s="5">
        <f>IF($A107="","",SUMIFS(Ledger!$F$3:$F$1002,Ledger!$D$3:$D$1002,$A107,Ledger!$C$3:$C$1002,"Return"))</f>
        <v/>
      </c>
      <c r="E107" s="5">
        <f>IF($A107="","",$B107+$D107-$C107)</f>
        <v/>
      </c>
      <c r="F107" s="5">
        <f>IF($A107="","",IFERROR(XLOOKUP($A107,Items!$A:$A,Items!$F:$F),0))</f>
        <v/>
      </c>
      <c r="G107" s="6">
        <f>IF($A107="","",SUMIFS(Ledger!$H$3:$H$1002,Ledger!$D$3:$D$1002,$A107))</f>
        <v/>
      </c>
      <c r="H107" s="5">
        <f>IF($A107="","",IF($E107&lt;$F107,"LOW",IF($E107=0,"EMPTY","OK")))</f>
        <v/>
      </c>
    </row>
    <row r="108">
      <c r="A108" s="5">
        <f>IF(Items!A108="","",Items!A108)</f>
        <v/>
      </c>
      <c r="B108" s="5">
        <f>IF($A108="","",IFERROR(XLOOKUP($A108,Items!$A:$A,Items!$E:$E),0))</f>
        <v/>
      </c>
      <c r="C108" s="5">
        <f>IF($A108="","",SUMIFS(Ledger!$F$3:$F$1002,Ledger!$D$3:$D$1002,$A108,Ledger!$C$3:$C$1002,"Issue"))</f>
        <v/>
      </c>
      <c r="D108" s="5">
        <f>IF($A108="","",SUMIFS(Ledger!$F$3:$F$1002,Ledger!$D$3:$D$1002,$A108,Ledger!$C$3:$C$1002,"Return"))</f>
        <v/>
      </c>
      <c r="E108" s="5">
        <f>IF($A108="","",$B108+$D108-$C108)</f>
        <v/>
      </c>
      <c r="F108" s="5">
        <f>IF($A108="","",IFERROR(XLOOKUP($A108,Items!$A:$A,Items!$F:$F),0))</f>
        <v/>
      </c>
      <c r="G108" s="6">
        <f>IF($A108="","",SUMIFS(Ledger!$H$3:$H$1002,Ledger!$D$3:$D$1002,$A108))</f>
        <v/>
      </c>
      <c r="H108" s="5">
        <f>IF($A108="","",IF($E108&lt;$F108,"LOW",IF($E108=0,"EMPTY","OK")))</f>
        <v/>
      </c>
    </row>
    <row r="109">
      <c r="A109" s="5">
        <f>IF(Items!A109="","",Items!A109)</f>
        <v/>
      </c>
      <c r="B109" s="5">
        <f>IF($A109="","",IFERROR(XLOOKUP($A109,Items!$A:$A,Items!$E:$E),0))</f>
        <v/>
      </c>
      <c r="C109" s="5">
        <f>IF($A109="","",SUMIFS(Ledger!$F$3:$F$1002,Ledger!$D$3:$D$1002,$A109,Ledger!$C$3:$C$1002,"Issue"))</f>
        <v/>
      </c>
      <c r="D109" s="5">
        <f>IF($A109="","",SUMIFS(Ledger!$F$3:$F$1002,Ledger!$D$3:$D$1002,$A109,Ledger!$C$3:$C$1002,"Return"))</f>
        <v/>
      </c>
      <c r="E109" s="5">
        <f>IF($A109="","",$B109+$D109-$C109)</f>
        <v/>
      </c>
      <c r="F109" s="5">
        <f>IF($A109="","",IFERROR(XLOOKUP($A109,Items!$A:$A,Items!$F:$F),0))</f>
        <v/>
      </c>
      <c r="G109" s="6">
        <f>IF($A109="","",SUMIFS(Ledger!$H$3:$H$1002,Ledger!$D$3:$D$1002,$A109))</f>
        <v/>
      </c>
      <c r="H109" s="5">
        <f>IF($A109="","",IF($E109&lt;$F109,"LOW",IF($E109=0,"EMPTY","OK")))</f>
        <v/>
      </c>
    </row>
    <row r="110">
      <c r="A110" s="5">
        <f>IF(Items!A110="","",Items!A110)</f>
        <v/>
      </c>
      <c r="B110" s="5">
        <f>IF($A110="","",IFERROR(XLOOKUP($A110,Items!$A:$A,Items!$E:$E),0))</f>
        <v/>
      </c>
      <c r="C110" s="5">
        <f>IF($A110="","",SUMIFS(Ledger!$F$3:$F$1002,Ledger!$D$3:$D$1002,$A110,Ledger!$C$3:$C$1002,"Issue"))</f>
        <v/>
      </c>
      <c r="D110" s="5">
        <f>IF($A110="","",SUMIFS(Ledger!$F$3:$F$1002,Ledger!$D$3:$D$1002,$A110,Ledger!$C$3:$C$1002,"Return"))</f>
        <v/>
      </c>
      <c r="E110" s="5">
        <f>IF($A110="","",$B110+$D110-$C110)</f>
        <v/>
      </c>
      <c r="F110" s="5">
        <f>IF($A110="","",IFERROR(XLOOKUP($A110,Items!$A:$A,Items!$F:$F),0))</f>
        <v/>
      </c>
      <c r="G110" s="6">
        <f>IF($A110="","",SUMIFS(Ledger!$H$3:$H$1002,Ledger!$D$3:$D$1002,$A110))</f>
        <v/>
      </c>
      <c r="H110" s="5">
        <f>IF($A110="","",IF($E110&lt;$F110,"LOW",IF($E110=0,"EMPTY","OK")))</f>
        <v/>
      </c>
    </row>
    <row r="111">
      <c r="A111" s="5">
        <f>IF(Items!A111="","",Items!A111)</f>
        <v/>
      </c>
      <c r="B111" s="5">
        <f>IF($A111="","",IFERROR(XLOOKUP($A111,Items!$A:$A,Items!$E:$E),0))</f>
        <v/>
      </c>
      <c r="C111" s="5">
        <f>IF($A111="","",SUMIFS(Ledger!$F$3:$F$1002,Ledger!$D$3:$D$1002,$A111,Ledger!$C$3:$C$1002,"Issue"))</f>
        <v/>
      </c>
      <c r="D111" s="5">
        <f>IF($A111="","",SUMIFS(Ledger!$F$3:$F$1002,Ledger!$D$3:$D$1002,$A111,Ledger!$C$3:$C$1002,"Return"))</f>
        <v/>
      </c>
      <c r="E111" s="5">
        <f>IF($A111="","",$B111+$D111-$C111)</f>
        <v/>
      </c>
      <c r="F111" s="5">
        <f>IF($A111="","",IFERROR(XLOOKUP($A111,Items!$A:$A,Items!$F:$F),0))</f>
        <v/>
      </c>
      <c r="G111" s="6">
        <f>IF($A111="","",SUMIFS(Ledger!$H$3:$H$1002,Ledger!$D$3:$D$1002,$A111))</f>
        <v/>
      </c>
      <c r="H111" s="5">
        <f>IF($A111="","",IF($E111&lt;$F111,"LOW",IF($E111=0,"EMPTY","OK")))</f>
        <v/>
      </c>
    </row>
    <row r="112">
      <c r="A112" s="5">
        <f>IF(Items!A112="","",Items!A112)</f>
        <v/>
      </c>
      <c r="B112" s="5">
        <f>IF($A112="","",IFERROR(XLOOKUP($A112,Items!$A:$A,Items!$E:$E),0))</f>
        <v/>
      </c>
      <c r="C112" s="5">
        <f>IF($A112="","",SUMIFS(Ledger!$F$3:$F$1002,Ledger!$D$3:$D$1002,$A112,Ledger!$C$3:$C$1002,"Issue"))</f>
        <v/>
      </c>
      <c r="D112" s="5">
        <f>IF($A112="","",SUMIFS(Ledger!$F$3:$F$1002,Ledger!$D$3:$D$1002,$A112,Ledger!$C$3:$C$1002,"Return"))</f>
        <v/>
      </c>
      <c r="E112" s="5">
        <f>IF($A112="","",$B112+$D112-$C112)</f>
        <v/>
      </c>
      <c r="F112" s="5">
        <f>IF($A112="","",IFERROR(XLOOKUP($A112,Items!$A:$A,Items!$F:$F),0))</f>
        <v/>
      </c>
      <c r="G112" s="6">
        <f>IF($A112="","",SUMIFS(Ledger!$H$3:$H$1002,Ledger!$D$3:$D$1002,$A112))</f>
        <v/>
      </c>
      <c r="H112" s="5">
        <f>IF($A112="","",IF($E112&lt;$F112,"LOW",IF($E112=0,"EMPTY","OK")))</f>
        <v/>
      </c>
    </row>
    <row r="113">
      <c r="A113" s="5">
        <f>IF(Items!A113="","",Items!A113)</f>
        <v/>
      </c>
      <c r="B113" s="5">
        <f>IF($A113="","",IFERROR(XLOOKUP($A113,Items!$A:$A,Items!$E:$E),0))</f>
        <v/>
      </c>
      <c r="C113" s="5">
        <f>IF($A113="","",SUMIFS(Ledger!$F$3:$F$1002,Ledger!$D$3:$D$1002,$A113,Ledger!$C$3:$C$1002,"Issue"))</f>
        <v/>
      </c>
      <c r="D113" s="5">
        <f>IF($A113="","",SUMIFS(Ledger!$F$3:$F$1002,Ledger!$D$3:$D$1002,$A113,Ledger!$C$3:$C$1002,"Return"))</f>
        <v/>
      </c>
      <c r="E113" s="5">
        <f>IF($A113="","",$B113+$D113-$C113)</f>
        <v/>
      </c>
      <c r="F113" s="5">
        <f>IF($A113="","",IFERROR(XLOOKUP($A113,Items!$A:$A,Items!$F:$F),0))</f>
        <v/>
      </c>
      <c r="G113" s="6">
        <f>IF($A113="","",SUMIFS(Ledger!$H$3:$H$1002,Ledger!$D$3:$D$1002,$A113))</f>
        <v/>
      </c>
      <c r="H113" s="5">
        <f>IF($A113="","",IF($E113&lt;$F113,"LOW",IF($E113=0,"EMPTY","OK")))</f>
        <v/>
      </c>
    </row>
    <row r="114">
      <c r="A114" s="5">
        <f>IF(Items!A114="","",Items!A114)</f>
        <v/>
      </c>
      <c r="B114" s="5">
        <f>IF($A114="","",IFERROR(XLOOKUP($A114,Items!$A:$A,Items!$E:$E),0))</f>
        <v/>
      </c>
      <c r="C114" s="5">
        <f>IF($A114="","",SUMIFS(Ledger!$F$3:$F$1002,Ledger!$D$3:$D$1002,$A114,Ledger!$C$3:$C$1002,"Issue"))</f>
        <v/>
      </c>
      <c r="D114" s="5">
        <f>IF($A114="","",SUMIFS(Ledger!$F$3:$F$1002,Ledger!$D$3:$D$1002,$A114,Ledger!$C$3:$C$1002,"Return"))</f>
        <v/>
      </c>
      <c r="E114" s="5">
        <f>IF($A114="","",$B114+$D114-$C114)</f>
        <v/>
      </c>
      <c r="F114" s="5">
        <f>IF($A114="","",IFERROR(XLOOKUP($A114,Items!$A:$A,Items!$F:$F),0))</f>
        <v/>
      </c>
      <c r="G114" s="6">
        <f>IF($A114="","",SUMIFS(Ledger!$H$3:$H$1002,Ledger!$D$3:$D$1002,$A114))</f>
        <v/>
      </c>
      <c r="H114" s="5">
        <f>IF($A114="","",IF($E114&lt;$F114,"LOW",IF($E114=0,"EMPTY","OK")))</f>
        <v/>
      </c>
    </row>
    <row r="115">
      <c r="A115" s="5">
        <f>IF(Items!A115="","",Items!A115)</f>
        <v/>
      </c>
      <c r="B115" s="5">
        <f>IF($A115="","",IFERROR(XLOOKUP($A115,Items!$A:$A,Items!$E:$E),0))</f>
        <v/>
      </c>
      <c r="C115" s="5">
        <f>IF($A115="","",SUMIFS(Ledger!$F$3:$F$1002,Ledger!$D$3:$D$1002,$A115,Ledger!$C$3:$C$1002,"Issue"))</f>
        <v/>
      </c>
      <c r="D115" s="5">
        <f>IF($A115="","",SUMIFS(Ledger!$F$3:$F$1002,Ledger!$D$3:$D$1002,$A115,Ledger!$C$3:$C$1002,"Return"))</f>
        <v/>
      </c>
      <c r="E115" s="5">
        <f>IF($A115="","",$B115+$D115-$C115)</f>
        <v/>
      </c>
      <c r="F115" s="5">
        <f>IF($A115="","",IFERROR(XLOOKUP($A115,Items!$A:$A,Items!$F:$F),0))</f>
        <v/>
      </c>
      <c r="G115" s="6">
        <f>IF($A115="","",SUMIFS(Ledger!$H$3:$H$1002,Ledger!$D$3:$D$1002,$A115))</f>
        <v/>
      </c>
      <c r="H115" s="5">
        <f>IF($A115="","",IF($E115&lt;$F115,"LOW",IF($E115=0,"EMPTY","OK")))</f>
        <v/>
      </c>
    </row>
    <row r="116">
      <c r="A116" s="5">
        <f>IF(Items!A116="","",Items!A116)</f>
        <v/>
      </c>
      <c r="B116" s="5">
        <f>IF($A116="","",IFERROR(XLOOKUP($A116,Items!$A:$A,Items!$E:$E),0))</f>
        <v/>
      </c>
      <c r="C116" s="5">
        <f>IF($A116="","",SUMIFS(Ledger!$F$3:$F$1002,Ledger!$D$3:$D$1002,$A116,Ledger!$C$3:$C$1002,"Issue"))</f>
        <v/>
      </c>
      <c r="D116" s="5">
        <f>IF($A116="","",SUMIFS(Ledger!$F$3:$F$1002,Ledger!$D$3:$D$1002,$A116,Ledger!$C$3:$C$1002,"Return"))</f>
        <v/>
      </c>
      <c r="E116" s="5">
        <f>IF($A116="","",$B116+$D116-$C116)</f>
        <v/>
      </c>
      <c r="F116" s="5">
        <f>IF($A116="","",IFERROR(XLOOKUP($A116,Items!$A:$A,Items!$F:$F),0))</f>
        <v/>
      </c>
      <c r="G116" s="6">
        <f>IF($A116="","",SUMIFS(Ledger!$H$3:$H$1002,Ledger!$D$3:$D$1002,$A116))</f>
        <v/>
      </c>
      <c r="H116" s="5">
        <f>IF($A116="","",IF($E116&lt;$F116,"LOW",IF($E116=0,"EMPTY","OK")))</f>
        <v/>
      </c>
    </row>
    <row r="117">
      <c r="A117" s="5">
        <f>IF(Items!A117="","",Items!A117)</f>
        <v/>
      </c>
      <c r="B117" s="5">
        <f>IF($A117="","",IFERROR(XLOOKUP($A117,Items!$A:$A,Items!$E:$E),0))</f>
        <v/>
      </c>
      <c r="C117" s="5">
        <f>IF($A117="","",SUMIFS(Ledger!$F$3:$F$1002,Ledger!$D$3:$D$1002,$A117,Ledger!$C$3:$C$1002,"Issue"))</f>
        <v/>
      </c>
      <c r="D117" s="5">
        <f>IF($A117="","",SUMIFS(Ledger!$F$3:$F$1002,Ledger!$D$3:$D$1002,$A117,Ledger!$C$3:$C$1002,"Return"))</f>
        <v/>
      </c>
      <c r="E117" s="5">
        <f>IF($A117="","",$B117+$D117-$C117)</f>
        <v/>
      </c>
      <c r="F117" s="5">
        <f>IF($A117="","",IFERROR(XLOOKUP($A117,Items!$A:$A,Items!$F:$F),0))</f>
        <v/>
      </c>
      <c r="G117" s="6">
        <f>IF($A117="","",SUMIFS(Ledger!$H$3:$H$1002,Ledger!$D$3:$D$1002,$A117))</f>
        <v/>
      </c>
      <c r="H117" s="5">
        <f>IF($A117="","",IF($E117&lt;$F117,"LOW",IF($E117=0,"EMPTY","OK")))</f>
        <v/>
      </c>
    </row>
    <row r="118">
      <c r="A118" s="5">
        <f>IF(Items!A118="","",Items!A118)</f>
        <v/>
      </c>
      <c r="B118" s="5">
        <f>IF($A118="","",IFERROR(XLOOKUP($A118,Items!$A:$A,Items!$E:$E),0))</f>
        <v/>
      </c>
      <c r="C118" s="5">
        <f>IF($A118="","",SUMIFS(Ledger!$F$3:$F$1002,Ledger!$D$3:$D$1002,$A118,Ledger!$C$3:$C$1002,"Issue"))</f>
        <v/>
      </c>
      <c r="D118" s="5">
        <f>IF($A118="","",SUMIFS(Ledger!$F$3:$F$1002,Ledger!$D$3:$D$1002,$A118,Ledger!$C$3:$C$1002,"Return"))</f>
        <v/>
      </c>
      <c r="E118" s="5">
        <f>IF($A118="","",$B118+$D118-$C118)</f>
        <v/>
      </c>
      <c r="F118" s="5">
        <f>IF($A118="","",IFERROR(XLOOKUP($A118,Items!$A:$A,Items!$F:$F),0))</f>
        <v/>
      </c>
      <c r="G118" s="6">
        <f>IF($A118="","",SUMIFS(Ledger!$H$3:$H$1002,Ledger!$D$3:$D$1002,$A118))</f>
        <v/>
      </c>
      <c r="H118" s="5">
        <f>IF($A118="","",IF($E118&lt;$F118,"LOW",IF($E118=0,"EMPTY","OK")))</f>
        <v/>
      </c>
    </row>
    <row r="119">
      <c r="A119" s="5">
        <f>IF(Items!A119="","",Items!A119)</f>
        <v/>
      </c>
      <c r="B119" s="5">
        <f>IF($A119="","",IFERROR(XLOOKUP($A119,Items!$A:$A,Items!$E:$E),0))</f>
        <v/>
      </c>
      <c r="C119" s="5">
        <f>IF($A119="","",SUMIFS(Ledger!$F$3:$F$1002,Ledger!$D$3:$D$1002,$A119,Ledger!$C$3:$C$1002,"Issue"))</f>
        <v/>
      </c>
      <c r="D119" s="5">
        <f>IF($A119="","",SUMIFS(Ledger!$F$3:$F$1002,Ledger!$D$3:$D$1002,$A119,Ledger!$C$3:$C$1002,"Return"))</f>
        <v/>
      </c>
      <c r="E119" s="5">
        <f>IF($A119="","",$B119+$D119-$C119)</f>
        <v/>
      </c>
      <c r="F119" s="5">
        <f>IF($A119="","",IFERROR(XLOOKUP($A119,Items!$A:$A,Items!$F:$F),0))</f>
        <v/>
      </c>
      <c r="G119" s="6">
        <f>IF($A119="","",SUMIFS(Ledger!$H$3:$H$1002,Ledger!$D$3:$D$1002,$A119))</f>
        <v/>
      </c>
      <c r="H119" s="5">
        <f>IF($A119="","",IF($E119&lt;$F119,"LOW",IF($E119=0,"EMPTY","OK")))</f>
        <v/>
      </c>
    </row>
    <row r="120">
      <c r="A120" s="5">
        <f>IF(Items!A120="","",Items!A120)</f>
        <v/>
      </c>
      <c r="B120" s="5">
        <f>IF($A120="","",IFERROR(XLOOKUP($A120,Items!$A:$A,Items!$E:$E),0))</f>
        <v/>
      </c>
      <c r="C120" s="5">
        <f>IF($A120="","",SUMIFS(Ledger!$F$3:$F$1002,Ledger!$D$3:$D$1002,$A120,Ledger!$C$3:$C$1002,"Issue"))</f>
        <v/>
      </c>
      <c r="D120" s="5">
        <f>IF($A120="","",SUMIFS(Ledger!$F$3:$F$1002,Ledger!$D$3:$D$1002,$A120,Ledger!$C$3:$C$1002,"Return"))</f>
        <v/>
      </c>
      <c r="E120" s="5">
        <f>IF($A120="","",$B120+$D120-$C120)</f>
        <v/>
      </c>
      <c r="F120" s="5">
        <f>IF($A120="","",IFERROR(XLOOKUP($A120,Items!$A:$A,Items!$F:$F),0))</f>
        <v/>
      </c>
      <c r="G120" s="6">
        <f>IF($A120="","",SUMIFS(Ledger!$H$3:$H$1002,Ledger!$D$3:$D$1002,$A120))</f>
        <v/>
      </c>
      <c r="H120" s="5">
        <f>IF($A120="","",IF($E120&lt;$F120,"LOW",IF($E120=0,"EMPTY","OK")))</f>
        <v/>
      </c>
    </row>
    <row r="121">
      <c r="A121" s="5">
        <f>IF(Items!A121="","",Items!A121)</f>
        <v/>
      </c>
      <c r="B121" s="5">
        <f>IF($A121="","",IFERROR(XLOOKUP($A121,Items!$A:$A,Items!$E:$E),0))</f>
        <v/>
      </c>
      <c r="C121" s="5">
        <f>IF($A121="","",SUMIFS(Ledger!$F$3:$F$1002,Ledger!$D$3:$D$1002,$A121,Ledger!$C$3:$C$1002,"Issue"))</f>
        <v/>
      </c>
      <c r="D121" s="5">
        <f>IF($A121="","",SUMIFS(Ledger!$F$3:$F$1002,Ledger!$D$3:$D$1002,$A121,Ledger!$C$3:$C$1002,"Return"))</f>
        <v/>
      </c>
      <c r="E121" s="5">
        <f>IF($A121="","",$B121+$D121-$C121)</f>
        <v/>
      </c>
      <c r="F121" s="5">
        <f>IF($A121="","",IFERROR(XLOOKUP($A121,Items!$A:$A,Items!$F:$F),0))</f>
        <v/>
      </c>
      <c r="G121" s="6">
        <f>IF($A121="","",SUMIFS(Ledger!$H$3:$H$1002,Ledger!$D$3:$D$1002,$A121))</f>
        <v/>
      </c>
      <c r="H121" s="5">
        <f>IF($A121="","",IF($E121&lt;$F121,"LOW",IF($E121=0,"EMPTY","OK")))</f>
        <v/>
      </c>
    </row>
    <row r="122">
      <c r="A122" s="5">
        <f>IF(Items!A122="","",Items!A122)</f>
        <v/>
      </c>
      <c r="B122" s="5">
        <f>IF($A122="","",IFERROR(XLOOKUP($A122,Items!$A:$A,Items!$E:$E),0))</f>
        <v/>
      </c>
      <c r="C122" s="5">
        <f>IF($A122="","",SUMIFS(Ledger!$F$3:$F$1002,Ledger!$D$3:$D$1002,$A122,Ledger!$C$3:$C$1002,"Issue"))</f>
        <v/>
      </c>
      <c r="D122" s="5">
        <f>IF($A122="","",SUMIFS(Ledger!$F$3:$F$1002,Ledger!$D$3:$D$1002,$A122,Ledger!$C$3:$C$1002,"Return"))</f>
        <v/>
      </c>
      <c r="E122" s="5">
        <f>IF($A122="","",$B122+$D122-$C122)</f>
        <v/>
      </c>
      <c r="F122" s="5">
        <f>IF($A122="","",IFERROR(XLOOKUP($A122,Items!$A:$A,Items!$F:$F),0))</f>
        <v/>
      </c>
      <c r="G122" s="6">
        <f>IF($A122="","",SUMIFS(Ledger!$H$3:$H$1002,Ledger!$D$3:$D$1002,$A122))</f>
        <v/>
      </c>
      <c r="H122" s="5">
        <f>IF($A122="","",IF($E122&lt;$F122,"LOW",IF($E122=0,"EMPTY","OK")))</f>
        <v/>
      </c>
    </row>
    <row r="123">
      <c r="A123" s="5">
        <f>IF(Items!A123="","",Items!A123)</f>
        <v/>
      </c>
      <c r="B123" s="5">
        <f>IF($A123="","",IFERROR(XLOOKUP($A123,Items!$A:$A,Items!$E:$E),0))</f>
        <v/>
      </c>
      <c r="C123" s="5">
        <f>IF($A123="","",SUMIFS(Ledger!$F$3:$F$1002,Ledger!$D$3:$D$1002,$A123,Ledger!$C$3:$C$1002,"Issue"))</f>
        <v/>
      </c>
      <c r="D123" s="5">
        <f>IF($A123="","",SUMIFS(Ledger!$F$3:$F$1002,Ledger!$D$3:$D$1002,$A123,Ledger!$C$3:$C$1002,"Return"))</f>
        <v/>
      </c>
      <c r="E123" s="5">
        <f>IF($A123="","",$B123+$D123-$C123)</f>
        <v/>
      </c>
      <c r="F123" s="5">
        <f>IF($A123="","",IFERROR(XLOOKUP($A123,Items!$A:$A,Items!$F:$F),0))</f>
        <v/>
      </c>
      <c r="G123" s="6">
        <f>IF($A123="","",SUMIFS(Ledger!$H$3:$H$1002,Ledger!$D$3:$D$1002,$A123))</f>
        <v/>
      </c>
      <c r="H123" s="5">
        <f>IF($A123="","",IF($E123&lt;$F123,"LOW",IF($E123=0,"EMPTY","OK")))</f>
        <v/>
      </c>
    </row>
    <row r="124">
      <c r="A124" s="5">
        <f>IF(Items!A124="","",Items!A124)</f>
        <v/>
      </c>
      <c r="B124" s="5">
        <f>IF($A124="","",IFERROR(XLOOKUP($A124,Items!$A:$A,Items!$E:$E),0))</f>
        <v/>
      </c>
      <c r="C124" s="5">
        <f>IF($A124="","",SUMIFS(Ledger!$F$3:$F$1002,Ledger!$D$3:$D$1002,$A124,Ledger!$C$3:$C$1002,"Issue"))</f>
        <v/>
      </c>
      <c r="D124" s="5">
        <f>IF($A124="","",SUMIFS(Ledger!$F$3:$F$1002,Ledger!$D$3:$D$1002,$A124,Ledger!$C$3:$C$1002,"Return"))</f>
        <v/>
      </c>
      <c r="E124" s="5">
        <f>IF($A124="","",$B124+$D124-$C124)</f>
        <v/>
      </c>
      <c r="F124" s="5">
        <f>IF($A124="","",IFERROR(XLOOKUP($A124,Items!$A:$A,Items!$F:$F),0))</f>
        <v/>
      </c>
      <c r="G124" s="6">
        <f>IF($A124="","",SUMIFS(Ledger!$H$3:$H$1002,Ledger!$D$3:$D$1002,$A124))</f>
        <v/>
      </c>
      <c r="H124" s="5">
        <f>IF($A124="","",IF($E124&lt;$F124,"LOW",IF($E124=0,"EMPTY","OK")))</f>
        <v/>
      </c>
    </row>
    <row r="125">
      <c r="A125" s="5">
        <f>IF(Items!A125="","",Items!A125)</f>
        <v/>
      </c>
      <c r="B125" s="5">
        <f>IF($A125="","",IFERROR(XLOOKUP($A125,Items!$A:$A,Items!$E:$E),0))</f>
        <v/>
      </c>
      <c r="C125" s="5">
        <f>IF($A125="","",SUMIFS(Ledger!$F$3:$F$1002,Ledger!$D$3:$D$1002,$A125,Ledger!$C$3:$C$1002,"Issue"))</f>
        <v/>
      </c>
      <c r="D125" s="5">
        <f>IF($A125="","",SUMIFS(Ledger!$F$3:$F$1002,Ledger!$D$3:$D$1002,$A125,Ledger!$C$3:$C$1002,"Return"))</f>
        <v/>
      </c>
      <c r="E125" s="5">
        <f>IF($A125="","",$B125+$D125-$C125)</f>
        <v/>
      </c>
      <c r="F125" s="5">
        <f>IF($A125="","",IFERROR(XLOOKUP($A125,Items!$A:$A,Items!$F:$F),0))</f>
        <v/>
      </c>
      <c r="G125" s="6">
        <f>IF($A125="","",SUMIFS(Ledger!$H$3:$H$1002,Ledger!$D$3:$D$1002,$A125))</f>
        <v/>
      </c>
      <c r="H125" s="5">
        <f>IF($A125="","",IF($E125&lt;$F125,"LOW",IF($E125=0,"EMPTY","OK")))</f>
        <v/>
      </c>
    </row>
    <row r="126">
      <c r="A126" s="5">
        <f>IF(Items!A126="","",Items!A126)</f>
        <v/>
      </c>
      <c r="B126" s="5">
        <f>IF($A126="","",IFERROR(XLOOKUP($A126,Items!$A:$A,Items!$E:$E),0))</f>
        <v/>
      </c>
      <c r="C126" s="5">
        <f>IF($A126="","",SUMIFS(Ledger!$F$3:$F$1002,Ledger!$D$3:$D$1002,$A126,Ledger!$C$3:$C$1002,"Issue"))</f>
        <v/>
      </c>
      <c r="D126" s="5">
        <f>IF($A126="","",SUMIFS(Ledger!$F$3:$F$1002,Ledger!$D$3:$D$1002,$A126,Ledger!$C$3:$C$1002,"Return"))</f>
        <v/>
      </c>
      <c r="E126" s="5">
        <f>IF($A126="","",$B126+$D126-$C126)</f>
        <v/>
      </c>
      <c r="F126" s="5">
        <f>IF($A126="","",IFERROR(XLOOKUP($A126,Items!$A:$A,Items!$F:$F),0))</f>
        <v/>
      </c>
      <c r="G126" s="6">
        <f>IF($A126="","",SUMIFS(Ledger!$H$3:$H$1002,Ledger!$D$3:$D$1002,$A126))</f>
        <v/>
      </c>
      <c r="H126" s="5">
        <f>IF($A126="","",IF($E126&lt;$F126,"LOW",IF($E126=0,"EMPTY","OK")))</f>
        <v/>
      </c>
    </row>
    <row r="127">
      <c r="A127" s="5">
        <f>IF(Items!A127="","",Items!A127)</f>
        <v/>
      </c>
      <c r="B127" s="5">
        <f>IF($A127="","",IFERROR(XLOOKUP($A127,Items!$A:$A,Items!$E:$E),0))</f>
        <v/>
      </c>
      <c r="C127" s="5">
        <f>IF($A127="","",SUMIFS(Ledger!$F$3:$F$1002,Ledger!$D$3:$D$1002,$A127,Ledger!$C$3:$C$1002,"Issue"))</f>
        <v/>
      </c>
      <c r="D127" s="5">
        <f>IF($A127="","",SUMIFS(Ledger!$F$3:$F$1002,Ledger!$D$3:$D$1002,$A127,Ledger!$C$3:$C$1002,"Return"))</f>
        <v/>
      </c>
      <c r="E127" s="5">
        <f>IF($A127="","",$B127+$D127-$C127)</f>
        <v/>
      </c>
      <c r="F127" s="5">
        <f>IF($A127="","",IFERROR(XLOOKUP($A127,Items!$A:$A,Items!$F:$F),0))</f>
        <v/>
      </c>
      <c r="G127" s="6">
        <f>IF($A127="","",SUMIFS(Ledger!$H$3:$H$1002,Ledger!$D$3:$D$1002,$A127))</f>
        <v/>
      </c>
      <c r="H127" s="5">
        <f>IF($A127="","",IF($E127&lt;$F127,"LOW",IF($E127=0,"EMPTY","OK")))</f>
        <v/>
      </c>
    </row>
    <row r="128">
      <c r="A128" s="5">
        <f>IF(Items!A128="","",Items!A128)</f>
        <v/>
      </c>
      <c r="B128" s="5">
        <f>IF($A128="","",IFERROR(XLOOKUP($A128,Items!$A:$A,Items!$E:$E),0))</f>
        <v/>
      </c>
      <c r="C128" s="5">
        <f>IF($A128="","",SUMIFS(Ledger!$F$3:$F$1002,Ledger!$D$3:$D$1002,$A128,Ledger!$C$3:$C$1002,"Issue"))</f>
        <v/>
      </c>
      <c r="D128" s="5">
        <f>IF($A128="","",SUMIFS(Ledger!$F$3:$F$1002,Ledger!$D$3:$D$1002,$A128,Ledger!$C$3:$C$1002,"Return"))</f>
        <v/>
      </c>
      <c r="E128" s="5">
        <f>IF($A128="","",$B128+$D128-$C128)</f>
        <v/>
      </c>
      <c r="F128" s="5">
        <f>IF($A128="","",IFERROR(XLOOKUP($A128,Items!$A:$A,Items!$F:$F),0))</f>
        <v/>
      </c>
      <c r="G128" s="6">
        <f>IF($A128="","",SUMIFS(Ledger!$H$3:$H$1002,Ledger!$D$3:$D$1002,$A128))</f>
        <v/>
      </c>
      <c r="H128" s="5">
        <f>IF($A128="","",IF($E128&lt;$F128,"LOW",IF($E128=0,"EMPTY","OK")))</f>
        <v/>
      </c>
    </row>
    <row r="129">
      <c r="A129" s="5">
        <f>IF(Items!A129="","",Items!A129)</f>
        <v/>
      </c>
      <c r="B129" s="5">
        <f>IF($A129="","",IFERROR(XLOOKUP($A129,Items!$A:$A,Items!$E:$E),0))</f>
        <v/>
      </c>
      <c r="C129" s="5">
        <f>IF($A129="","",SUMIFS(Ledger!$F$3:$F$1002,Ledger!$D$3:$D$1002,$A129,Ledger!$C$3:$C$1002,"Issue"))</f>
        <v/>
      </c>
      <c r="D129" s="5">
        <f>IF($A129="","",SUMIFS(Ledger!$F$3:$F$1002,Ledger!$D$3:$D$1002,$A129,Ledger!$C$3:$C$1002,"Return"))</f>
        <v/>
      </c>
      <c r="E129" s="5">
        <f>IF($A129="","",$B129+$D129-$C129)</f>
        <v/>
      </c>
      <c r="F129" s="5">
        <f>IF($A129="","",IFERROR(XLOOKUP($A129,Items!$A:$A,Items!$F:$F),0))</f>
        <v/>
      </c>
      <c r="G129" s="6">
        <f>IF($A129="","",SUMIFS(Ledger!$H$3:$H$1002,Ledger!$D$3:$D$1002,$A129))</f>
        <v/>
      </c>
      <c r="H129" s="5">
        <f>IF($A129="","",IF($E129&lt;$F129,"LOW",IF($E129=0,"EMPTY","OK")))</f>
        <v/>
      </c>
    </row>
    <row r="130">
      <c r="A130" s="5">
        <f>IF(Items!A130="","",Items!A130)</f>
        <v/>
      </c>
      <c r="B130" s="5">
        <f>IF($A130="","",IFERROR(XLOOKUP($A130,Items!$A:$A,Items!$E:$E),0))</f>
        <v/>
      </c>
      <c r="C130" s="5">
        <f>IF($A130="","",SUMIFS(Ledger!$F$3:$F$1002,Ledger!$D$3:$D$1002,$A130,Ledger!$C$3:$C$1002,"Issue"))</f>
        <v/>
      </c>
      <c r="D130" s="5">
        <f>IF($A130="","",SUMIFS(Ledger!$F$3:$F$1002,Ledger!$D$3:$D$1002,$A130,Ledger!$C$3:$C$1002,"Return"))</f>
        <v/>
      </c>
      <c r="E130" s="5">
        <f>IF($A130="","",$B130+$D130-$C130)</f>
        <v/>
      </c>
      <c r="F130" s="5">
        <f>IF($A130="","",IFERROR(XLOOKUP($A130,Items!$A:$A,Items!$F:$F),0))</f>
        <v/>
      </c>
      <c r="G130" s="6">
        <f>IF($A130="","",SUMIFS(Ledger!$H$3:$H$1002,Ledger!$D$3:$D$1002,$A130))</f>
        <v/>
      </c>
      <c r="H130" s="5">
        <f>IF($A130="","",IF($E130&lt;$F130,"LOW",IF($E130=0,"EMPTY","OK")))</f>
        <v/>
      </c>
    </row>
    <row r="131">
      <c r="A131" s="5">
        <f>IF(Items!A131="","",Items!A131)</f>
        <v/>
      </c>
      <c r="B131" s="5">
        <f>IF($A131="","",IFERROR(XLOOKUP($A131,Items!$A:$A,Items!$E:$E),0))</f>
        <v/>
      </c>
      <c r="C131" s="5">
        <f>IF($A131="","",SUMIFS(Ledger!$F$3:$F$1002,Ledger!$D$3:$D$1002,$A131,Ledger!$C$3:$C$1002,"Issue"))</f>
        <v/>
      </c>
      <c r="D131" s="5">
        <f>IF($A131="","",SUMIFS(Ledger!$F$3:$F$1002,Ledger!$D$3:$D$1002,$A131,Ledger!$C$3:$C$1002,"Return"))</f>
        <v/>
      </c>
      <c r="E131" s="5">
        <f>IF($A131="","",$B131+$D131-$C131)</f>
        <v/>
      </c>
      <c r="F131" s="5">
        <f>IF($A131="","",IFERROR(XLOOKUP($A131,Items!$A:$A,Items!$F:$F),0))</f>
        <v/>
      </c>
      <c r="G131" s="6">
        <f>IF($A131="","",SUMIFS(Ledger!$H$3:$H$1002,Ledger!$D$3:$D$1002,$A131))</f>
        <v/>
      </c>
      <c r="H131" s="5">
        <f>IF($A131="","",IF($E131&lt;$F131,"LOW",IF($E131=0,"EMPTY","OK")))</f>
        <v/>
      </c>
    </row>
    <row r="132">
      <c r="A132" s="5">
        <f>IF(Items!A132="","",Items!A132)</f>
        <v/>
      </c>
      <c r="B132" s="5">
        <f>IF($A132="","",IFERROR(XLOOKUP($A132,Items!$A:$A,Items!$E:$E),0))</f>
        <v/>
      </c>
      <c r="C132" s="5">
        <f>IF($A132="","",SUMIFS(Ledger!$F$3:$F$1002,Ledger!$D$3:$D$1002,$A132,Ledger!$C$3:$C$1002,"Issue"))</f>
        <v/>
      </c>
      <c r="D132" s="5">
        <f>IF($A132="","",SUMIFS(Ledger!$F$3:$F$1002,Ledger!$D$3:$D$1002,$A132,Ledger!$C$3:$C$1002,"Return"))</f>
        <v/>
      </c>
      <c r="E132" s="5">
        <f>IF($A132="","",$B132+$D132-$C132)</f>
        <v/>
      </c>
      <c r="F132" s="5">
        <f>IF($A132="","",IFERROR(XLOOKUP($A132,Items!$A:$A,Items!$F:$F),0))</f>
        <v/>
      </c>
      <c r="G132" s="6">
        <f>IF($A132="","",SUMIFS(Ledger!$H$3:$H$1002,Ledger!$D$3:$D$1002,$A132))</f>
        <v/>
      </c>
      <c r="H132" s="5">
        <f>IF($A132="","",IF($E132&lt;$F132,"LOW",IF($E132=0,"EMPTY","OK")))</f>
        <v/>
      </c>
    </row>
    <row r="133">
      <c r="A133" s="5">
        <f>IF(Items!A133="","",Items!A133)</f>
        <v/>
      </c>
      <c r="B133" s="5">
        <f>IF($A133="","",IFERROR(XLOOKUP($A133,Items!$A:$A,Items!$E:$E),0))</f>
        <v/>
      </c>
      <c r="C133" s="5">
        <f>IF($A133="","",SUMIFS(Ledger!$F$3:$F$1002,Ledger!$D$3:$D$1002,$A133,Ledger!$C$3:$C$1002,"Issue"))</f>
        <v/>
      </c>
      <c r="D133" s="5">
        <f>IF($A133="","",SUMIFS(Ledger!$F$3:$F$1002,Ledger!$D$3:$D$1002,$A133,Ledger!$C$3:$C$1002,"Return"))</f>
        <v/>
      </c>
      <c r="E133" s="5">
        <f>IF($A133="","",$B133+$D133-$C133)</f>
        <v/>
      </c>
      <c r="F133" s="5">
        <f>IF($A133="","",IFERROR(XLOOKUP($A133,Items!$A:$A,Items!$F:$F),0))</f>
        <v/>
      </c>
      <c r="G133" s="6">
        <f>IF($A133="","",SUMIFS(Ledger!$H$3:$H$1002,Ledger!$D$3:$D$1002,$A133))</f>
        <v/>
      </c>
      <c r="H133" s="5">
        <f>IF($A133="","",IF($E133&lt;$F133,"LOW",IF($E133=0,"EMPTY","OK")))</f>
        <v/>
      </c>
    </row>
    <row r="134">
      <c r="A134" s="5">
        <f>IF(Items!A134="","",Items!A134)</f>
        <v/>
      </c>
      <c r="B134" s="5">
        <f>IF($A134="","",IFERROR(XLOOKUP($A134,Items!$A:$A,Items!$E:$E),0))</f>
        <v/>
      </c>
      <c r="C134" s="5">
        <f>IF($A134="","",SUMIFS(Ledger!$F$3:$F$1002,Ledger!$D$3:$D$1002,$A134,Ledger!$C$3:$C$1002,"Issue"))</f>
        <v/>
      </c>
      <c r="D134" s="5">
        <f>IF($A134="","",SUMIFS(Ledger!$F$3:$F$1002,Ledger!$D$3:$D$1002,$A134,Ledger!$C$3:$C$1002,"Return"))</f>
        <v/>
      </c>
      <c r="E134" s="5">
        <f>IF($A134="","",$B134+$D134-$C134)</f>
        <v/>
      </c>
      <c r="F134" s="5">
        <f>IF($A134="","",IFERROR(XLOOKUP($A134,Items!$A:$A,Items!$F:$F),0))</f>
        <v/>
      </c>
      <c r="G134" s="6">
        <f>IF($A134="","",SUMIFS(Ledger!$H$3:$H$1002,Ledger!$D$3:$D$1002,$A134))</f>
        <v/>
      </c>
      <c r="H134" s="5">
        <f>IF($A134="","",IF($E134&lt;$F134,"LOW",IF($E134=0,"EMPTY","OK")))</f>
        <v/>
      </c>
    </row>
    <row r="135">
      <c r="A135" s="5">
        <f>IF(Items!A135="","",Items!A135)</f>
        <v/>
      </c>
      <c r="B135" s="5">
        <f>IF($A135="","",IFERROR(XLOOKUP($A135,Items!$A:$A,Items!$E:$E),0))</f>
        <v/>
      </c>
      <c r="C135" s="5">
        <f>IF($A135="","",SUMIFS(Ledger!$F$3:$F$1002,Ledger!$D$3:$D$1002,$A135,Ledger!$C$3:$C$1002,"Issue"))</f>
        <v/>
      </c>
      <c r="D135" s="5">
        <f>IF($A135="","",SUMIFS(Ledger!$F$3:$F$1002,Ledger!$D$3:$D$1002,$A135,Ledger!$C$3:$C$1002,"Return"))</f>
        <v/>
      </c>
      <c r="E135" s="5">
        <f>IF($A135="","",$B135+$D135-$C135)</f>
        <v/>
      </c>
      <c r="F135" s="5">
        <f>IF($A135="","",IFERROR(XLOOKUP($A135,Items!$A:$A,Items!$F:$F),0))</f>
        <v/>
      </c>
      <c r="G135" s="6">
        <f>IF($A135="","",SUMIFS(Ledger!$H$3:$H$1002,Ledger!$D$3:$D$1002,$A135))</f>
        <v/>
      </c>
      <c r="H135" s="5">
        <f>IF($A135="","",IF($E135&lt;$F135,"LOW",IF($E135=0,"EMPTY","OK")))</f>
        <v/>
      </c>
    </row>
    <row r="136">
      <c r="A136" s="5">
        <f>IF(Items!A136="","",Items!A136)</f>
        <v/>
      </c>
      <c r="B136" s="5">
        <f>IF($A136="","",IFERROR(XLOOKUP($A136,Items!$A:$A,Items!$E:$E),0))</f>
        <v/>
      </c>
      <c r="C136" s="5">
        <f>IF($A136="","",SUMIFS(Ledger!$F$3:$F$1002,Ledger!$D$3:$D$1002,$A136,Ledger!$C$3:$C$1002,"Issue"))</f>
        <v/>
      </c>
      <c r="D136" s="5">
        <f>IF($A136="","",SUMIFS(Ledger!$F$3:$F$1002,Ledger!$D$3:$D$1002,$A136,Ledger!$C$3:$C$1002,"Return"))</f>
        <v/>
      </c>
      <c r="E136" s="5">
        <f>IF($A136="","",$B136+$D136-$C136)</f>
        <v/>
      </c>
      <c r="F136" s="5">
        <f>IF($A136="","",IFERROR(XLOOKUP($A136,Items!$A:$A,Items!$F:$F),0))</f>
        <v/>
      </c>
      <c r="G136" s="6">
        <f>IF($A136="","",SUMIFS(Ledger!$H$3:$H$1002,Ledger!$D$3:$D$1002,$A136))</f>
        <v/>
      </c>
      <c r="H136" s="5">
        <f>IF($A136="","",IF($E136&lt;$F136,"LOW",IF($E136=0,"EMPTY","OK")))</f>
        <v/>
      </c>
    </row>
    <row r="137">
      <c r="A137" s="5">
        <f>IF(Items!A137="","",Items!A137)</f>
        <v/>
      </c>
      <c r="B137" s="5">
        <f>IF($A137="","",IFERROR(XLOOKUP($A137,Items!$A:$A,Items!$E:$E),0))</f>
        <v/>
      </c>
      <c r="C137" s="5">
        <f>IF($A137="","",SUMIFS(Ledger!$F$3:$F$1002,Ledger!$D$3:$D$1002,$A137,Ledger!$C$3:$C$1002,"Issue"))</f>
        <v/>
      </c>
      <c r="D137" s="5">
        <f>IF($A137="","",SUMIFS(Ledger!$F$3:$F$1002,Ledger!$D$3:$D$1002,$A137,Ledger!$C$3:$C$1002,"Return"))</f>
        <v/>
      </c>
      <c r="E137" s="5">
        <f>IF($A137="","",$B137+$D137-$C137)</f>
        <v/>
      </c>
      <c r="F137" s="5">
        <f>IF($A137="","",IFERROR(XLOOKUP($A137,Items!$A:$A,Items!$F:$F),0))</f>
        <v/>
      </c>
      <c r="G137" s="6">
        <f>IF($A137="","",SUMIFS(Ledger!$H$3:$H$1002,Ledger!$D$3:$D$1002,$A137))</f>
        <v/>
      </c>
      <c r="H137" s="5">
        <f>IF($A137="","",IF($E137&lt;$F137,"LOW",IF($E137=0,"EMPTY","OK")))</f>
        <v/>
      </c>
    </row>
    <row r="138">
      <c r="A138" s="5">
        <f>IF(Items!A138="","",Items!A138)</f>
        <v/>
      </c>
      <c r="B138" s="5">
        <f>IF($A138="","",IFERROR(XLOOKUP($A138,Items!$A:$A,Items!$E:$E),0))</f>
        <v/>
      </c>
      <c r="C138" s="5">
        <f>IF($A138="","",SUMIFS(Ledger!$F$3:$F$1002,Ledger!$D$3:$D$1002,$A138,Ledger!$C$3:$C$1002,"Issue"))</f>
        <v/>
      </c>
      <c r="D138" s="5">
        <f>IF($A138="","",SUMIFS(Ledger!$F$3:$F$1002,Ledger!$D$3:$D$1002,$A138,Ledger!$C$3:$C$1002,"Return"))</f>
        <v/>
      </c>
      <c r="E138" s="5">
        <f>IF($A138="","",$B138+$D138-$C138)</f>
        <v/>
      </c>
      <c r="F138" s="5">
        <f>IF($A138="","",IFERROR(XLOOKUP($A138,Items!$A:$A,Items!$F:$F),0))</f>
        <v/>
      </c>
      <c r="G138" s="6">
        <f>IF($A138="","",SUMIFS(Ledger!$H$3:$H$1002,Ledger!$D$3:$D$1002,$A138))</f>
        <v/>
      </c>
      <c r="H138" s="5">
        <f>IF($A138="","",IF($E138&lt;$F138,"LOW",IF($E138=0,"EMPTY","OK")))</f>
        <v/>
      </c>
    </row>
    <row r="139">
      <c r="A139" s="5">
        <f>IF(Items!A139="","",Items!A139)</f>
        <v/>
      </c>
      <c r="B139" s="5">
        <f>IF($A139="","",IFERROR(XLOOKUP($A139,Items!$A:$A,Items!$E:$E),0))</f>
        <v/>
      </c>
      <c r="C139" s="5">
        <f>IF($A139="","",SUMIFS(Ledger!$F$3:$F$1002,Ledger!$D$3:$D$1002,$A139,Ledger!$C$3:$C$1002,"Issue"))</f>
        <v/>
      </c>
      <c r="D139" s="5">
        <f>IF($A139="","",SUMIFS(Ledger!$F$3:$F$1002,Ledger!$D$3:$D$1002,$A139,Ledger!$C$3:$C$1002,"Return"))</f>
        <v/>
      </c>
      <c r="E139" s="5">
        <f>IF($A139="","",$B139+$D139-$C139)</f>
        <v/>
      </c>
      <c r="F139" s="5">
        <f>IF($A139="","",IFERROR(XLOOKUP($A139,Items!$A:$A,Items!$F:$F),0))</f>
        <v/>
      </c>
      <c r="G139" s="6">
        <f>IF($A139="","",SUMIFS(Ledger!$H$3:$H$1002,Ledger!$D$3:$D$1002,$A139))</f>
        <v/>
      </c>
      <c r="H139" s="5">
        <f>IF($A139="","",IF($E139&lt;$F139,"LOW",IF($E139=0,"EMPTY","OK")))</f>
        <v/>
      </c>
    </row>
    <row r="140">
      <c r="A140" s="5">
        <f>IF(Items!A140="","",Items!A140)</f>
        <v/>
      </c>
      <c r="B140" s="5">
        <f>IF($A140="","",IFERROR(XLOOKUP($A140,Items!$A:$A,Items!$E:$E),0))</f>
        <v/>
      </c>
      <c r="C140" s="5">
        <f>IF($A140="","",SUMIFS(Ledger!$F$3:$F$1002,Ledger!$D$3:$D$1002,$A140,Ledger!$C$3:$C$1002,"Issue"))</f>
        <v/>
      </c>
      <c r="D140" s="5">
        <f>IF($A140="","",SUMIFS(Ledger!$F$3:$F$1002,Ledger!$D$3:$D$1002,$A140,Ledger!$C$3:$C$1002,"Return"))</f>
        <v/>
      </c>
      <c r="E140" s="5">
        <f>IF($A140="","",$B140+$D140-$C140)</f>
        <v/>
      </c>
      <c r="F140" s="5">
        <f>IF($A140="","",IFERROR(XLOOKUP($A140,Items!$A:$A,Items!$F:$F),0))</f>
        <v/>
      </c>
      <c r="G140" s="6">
        <f>IF($A140="","",SUMIFS(Ledger!$H$3:$H$1002,Ledger!$D$3:$D$1002,$A140))</f>
        <v/>
      </c>
      <c r="H140" s="5">
        <f>IF($A140="","",IF($E140&lt;$F140,"LOW",IF($E140=0,"EMPTY","OK")))</f>
        <v/>
      </c>
    </row>
    <row r="141">
      <c r="A141" s="5">
        <f>IF(Items!A141="","",Items!A141)</f>
        <v/>
      </c>
      <c r="B141" s="5">
        <f>IF($A141="","",IFERROR(XLOOKUP($A141,Items!$A:$A,Items!$E:$E),0))</f>
        <v/>
      </c>
      <c r="C141" s="5">
        <f>IF($A141="","",SUMIFS(Ledger!$F$3:$F$1002,Ledger!$D$3:$D$1002,$A141,Ledger!$C$3:$C$1002,"Issue"))</f>
        <v/>
      </c>
      <c r="D141" s="5">
        <f>IF($A141="","",SUMIFS(Ledger!$F$3:$F$1002,Ledger!$D$3:$D$1002,$A141,Ledger!$C$3:$C$1002,"Return"))</f>
        <v/>
      </c>
      <c r="E141" s="5">
        <f>IF($A141="","",$B141+$D141-$C141)</f>
        <v/>
      </c>
      <c r="F141" s="5">
        <f>IF($A141="","",IFERROR(XLOOKUP($A141,Items!$A:$A,Items!$F:$F),0))</f>
        <v/>
      </c>
      <c r="G141" s="6">
        <f>IF($A141="","",SUMIFS(Ledger!$H$3:$H$1002,Ledger!$D$3:$D$1002,$A141))</f>
        <v/>
      </c>
      <c r="H141" s="5">
        <f>IF($A141="","",IF($E141&lt;$F141,"LOW",IF($E141=0,"EMPTY","OK")))</f>
        <v/>
      </c>
    </row>
    <row r="142">
      <c r="A142" s="5">
        <f>IF(Items!A142="","",Items!A142)</f>
        <v/>
      </c>
      <c r="B142" s="5">
        <f>IF($A142="","",IFERROR(XLOOKUP($A142,Items!$A:$A,Items!$E:$E),0))</f>
        <v/>
      </c>
      <c r="C142" s="5">
        <f>IF($A142="","",SUMIFS(Ledger!$F$3:$F$1002,Ledger!$D$3:$D$1002,$A142,Ledger!$C$3:$C$1002,"Issue"))</f>
        <v/>
      </c>
      <c r="D142" s="5">
        <f>IF($A142="","",SUMIFS(Ledger!$F$3:$F$1002,Ledger!$D$3:$D$1002,$A142,Ledger!$C$3:$C$1002,"Return"))</f>
        <v/>
      </c>
      <c r="E142" s="5">
        <f>IF($A142="","",$B142+$D142-$C142)</f>
        <v/>
      </c>
      <c r="F142" s="5">
        <f>IF($A142="","",IFERROR(XLOOKUP($A142,Items!$A:$A,Items!$F:$F),0))</f>
        <v/>
      </c>
      <c r="G142" s="6">
        <f>IF($A142="","",SUMIFS(Ledger!$H$3:$H$1002,Ledger!$D$3:$D$1002,$A142))</f>
        <v/>
      </c>
      <c r="H142" s="5">
        <f>IF($A142="","",IF($E142&lt;$F142,"LOW",IF($E142=0,"EMPTY","OK")))</f>
        <v/>
      </c>
    </row>
    <row r="143">
      <c r="A143" s="5">
        <f>IF(Items!A143="","",Items!A143)</f>
        <v/>
      </c>
      <c r="B143" s="5">
        <f>IF($A143="","",IFERROR(XLOOKUP($A143,Items!$A:$A,Items!$E:$E),0))</f>
        <v/>
      </c>
      <c r="C143" s="5">
        <f>IF($A143="","",SUMIFS(Ledger!$F$3:$F$1002,Ledger!$D$3:$D$1002,$A143,Ledger!$C$3:$C$1002,"Issue"))</f>
        <v/>
      </c>
      <c r="D143" s="5">
        <f>IF($A143="","",SUMIFS(Ledger!$F$3:$F$1002,Ledger!$D$3:$D$1002,$A143,Ledger!$C$3:$C$1002,"Return"))</f>
        <v/>
      </c>
      <c r="E143" s="5">
        <f>IF($A143="","",$B143+$D143-$C143)</f>
        <v/>
      </c>
      <c r="F143" s="5">
        <f>IF($A143="","",IFERROR(XLOOKUP($A143,Items!$A:$A,Items!$F:$F),0))</f>
        <v/>
      </c>
      <c r="G143" s="6">
        <f>IF($A143="","",SUMIFS(Ledger!$H$3:$H$1002,Ledger!$D$3:$D$1002,$A143))</f>
        <v/>
      </c>
      <c r="H143" s="5">
        <f>IF($A143="","",IF($E143&lt;$F143,"LOW",IF($E143=0,"EMPTY","OK")))</f>
        <v/>
      </c>
    </row>
    <row r="144">
      <c r="A144" s="5">
        <f>IF(Items!A144="","",Items!A144)</f>
        <v/>
      </c>
      <c r="B144" s="5">
        <f>IF($A144="","",IFERROR(XLOOKUP($A144,Items!$A:$A,Items!$E:$E),0))</f>
        <v/>
      </c>
      <c r="C144" s="5">
        <f>IF($A144="","",SUMIFS(Ledger!$F$3:$F$1002,Ledger!$D$3:$D$1002,$A144,Ledger!$C$3:$C$1002,"Issue"))</f>
        <v/>
      </c>
      <c r="D144" s="5">
        <f>IF($A144="","",SUMIFS(Ledger!$F$3:$F$1002,Ledger!$D$3:$D$1002,$A144,Ledger!$C$3:$C$1002,"Return"))</f>
        <v/>
      </c>
      <c r="E144" s="5">
        <f>IF($A144="","",$B144+$D144-$C144)</f>
        <v/>
      </c>
      <c r="F144" s="5">
        <f>IF($A144="","",IFERROR(XLOOKUP($A144,Items!$A:$A,Items!$F:$F),0))</f>
        <v/>
      </c>
      <c r="G144" s="6">
        <f>IF($A144="","",SUMIFS(Ledger!$H$3:$H$1002,Ledger!$D$3:$D$1002,$A144))</f>
        <v/>
      </c>
      <c r="H144" s="5">
        <f>IF($A144="","",IF($E144&lt;$F144,"LOW",IF($E144=0,"EMPTY","OK")))</f>
        <v/>
      </c>
    </row>
    <row r="145">
      <c r="A145" s="5">
        <f>IF(Items!A145="","",Items!A145)</f>
        <v/>
      </c>
      <c r="B145" s="5">
        <f>IF($A145="","",IFERROR(XLOOKUP($A145,Items!$A:$A,Items!$E:$E),0))</f>
        <v/>
      </c>
      <c r="C145" s="5">
        <f>IF($A145="","",SUMIFS(Ledger!$F$3:$F$1002,Ledger!$D$3:$D$1002,$A145,Ledger!$C$3:$C$1002,"Issue"))</f>
        <v/>
      </c>
      <c r="D145" s="5">
        <f>IF($A145="","",SUMIFS(Ledger!$F$3:$F$1002,Ledger!$D$3:$D$1002,$A145,Ledger!$C$3:$C$1002,"Return"))</f>
        <v/>
      </c>
      <c r="E145" s="5">
        <f>IF($A145="","",$B145+$D145-$C145)</f>
        <v/>
      </c>
      <c r="F145" s="5">
        <f>IF($A145="","",IFERROR(XLOOKUP($A145,Items!$A:$A,Items!$F:$F),0))</f>
        <v/>
      </c>
      <c r="G145" s="6">
        <f>IF($A145="","",SUMIFS(Ledger!$H$3:$H$1002,Ledger!$D$3:$D$1002,$A145))</f>
        <v/>
      </c>
      <c r="H145" s="5">
        <f>IF($A145="","",IF($E145&lt;$F145,"LOW",IF($E145=0,"EMPTY","OK")))</f>
        <v/>
      </c>
    </row>
    <row r="146">
      <c r="A146" s="5">
        <f>IF(Items!A146="","",Items!A146)</f>
        <v/>
      </c>
      <c r="B146" s="5">
        <f>IF($A146="","",IFERROR(XLOOKUP($A146,Items!$A:$A,Items!$E:$E),0))</f>
        <v/>
      </c>
      <c r="C146" s="5">
        <f>IF($A146="","",SUMIFS(Ledger!$F$3:$F$1002,Ledger!$D$3:$D$1002,$A146,Ledger!$C$3:$C$1002,"Issue"))</f>
        <v/>
      </c>
      <c r="D146" s="5">
        <f>IF($A146="","",SUMIFS(Ledger!$F$3:$F$1002,Ledger!$D$3:$D$1002,$A146,Ledger!$C$3:$C$1002,"Return"))</f>
        <v/>
      </c>
      <c r="E146" s="5">
        <f>IF($A146="","",$B146+$D146-$C146)</f>
        <v/>
      </c>
      <c r="F146" s="5">
        <f>IF($A146="","",IFERROR(XLOOKUP($A146,Items!$A:$A,Items!$F:$F),0))</f>
        <v/>
      </c>
      <c r="G146" s="6">
        <f>IF($A146="","",SUMIFS(Ledger!$H$3:$H$1002,Ledger!$D$3:$D$1002,$A146))</f>
        <v/>
      </c>
      <c r="H146" s="5">
        <f>IF($A146="","",IF($E146&lt;$F146,"LOW",IF($E146=0,"EMPTY","OK")))</f>
        <v/>
      </c>
    </row>
    <row r="147">
      <c r="A147" s="5">
        <f>IF(Items!A147="","",Items!A147)</f>
        <v/>
      </c>
      <c r="B147" s="5">
        <f>IF($A147="","",IFERROR(XLOOKUP($A147,Items!$A:$A,Items!$E:$E),0))</f>
        <v/>
      </c>
      <c r="C147" s="5">
        <f>IF($A147="","",SUMIFS(Ledger!$F$3:$F$1002,Ledger!$D$3:$D$1002,$A147,Ledger!$C$3:$C$1002,"Issue"))</f>
        <v/>
      </c>
      <c r="D147" s="5">
        <f>IF($A147="","",SUMIFS(Ledger!$F$3:$F$1002,Ledger!$D$3:$D$1002,$A147,Ledger!$C$3:$C$1002,"Return"))</f>
        <v/>
      </c>
      <c r="E147" s="5">
        <f>IF($A147="","",$B147+$D147-$C147)</f>
        <v/>
      </c>
      <c r="F147" s="5">
        <f>IF($A147="","",IFERROR(XLOOKUP($A147,Items!$A:$A,Items!$F:$F),0))</f>
        <v/>
      </c>
      <c r="G147" s="6">
        <f>IF($A147="","",SUMIFS(Ledger!$H$3:$H$1002,Ledger!$D$3:$D$1002,$A147))</f>
        <v/>
      </c>
      <c r="H147" s="5">
        <f>IF($A147="","",IF($E147&lt;$F147,"LOW",IF($E147=0,"EMPTY","OK")))</f>
        <v/>
      </c>
    </row>
    <row r="148">
      <c r="A148" s="5">
        <f>IF(Items!A148="","",Items!A148)</f>
        <v/>
      </c>
      <c r="B148" s="5">
        <f>IF($A148="","",IFERROR(XLOOKUP($A148,Items!$A:$A,Items!$E:$E),0))</f>
        <v/>
      </c>
      <c r="C148" s="5">
        <f>IF($A148="","",SUMIFS(Ledger!$F$3:$F$1002,Ledger!$D$3:$D$1002,$A148,Ledger!$C$3:$C$1002,"Issue"))</f>
        <v/>
      </c>
      <c r="D148" s="5">
        <f>IF($A148="","",SUMIFS(Ledger!$F$3:$F$1002,Ledger!$D$3:$D$1002,$A148,Ledger!$C$3:$C$1002,"Return"))</f>
        <v/>
      </c>
      <c r="E148" s="5">
        <f>IF($A148="","",$B148+$D148-$C148)</f>
        <v/>
      </c>
      <c r="F148" s="5">
        <f>IF($A148="","",IFERROR(XLOOKUP($A148,Items!$A:$A,Items!$F:$F),0))</f>
        <v/>
      </c>
      <c r="G148" s="6">
        <f>IF($A148="","",SUMIFS(Ledger!$H$3:$H$1002,Ledger!$D$3:$D$1002,$A148))</f>
        <v/>
      </c>
      <c r="H148" s="5">
        <f>IF($A148="","",IF($E148&lt;$F148,"LOW",IF($E148=0,"EMPTY","OK")))</f>
        <v/>
      </c>
    </row>
    <row r="149">
      <c r="A149" s="5">
        <f>IF(Items!A149="","",Items!A149)</f>
        <v/>
      </c>
      <c r="B149" s="5">
        <f>IF($A149="","",IFERROR(XLOOKUP($A149,Items!$A:$A,Items!$E:$E),0))</f>
        <v/>
      </c>
      <c r="C149" s="5">
        <f>IF($A149="","",SUMIFS(Ledger!$F$3:$F$1002,Ledger!$D$3:$D$1002,$A149,Ledger!$C$3:$C$1002,"Issue"))</f>
        <v/>
      </c>
      <c r="D149" s="5">
        <f>IF($A149="","",SUMIFS(Ledger!$F$3:$F$1002,Ledger!$D$3:$D$1002,$A149,Ledger!$C$3:$C$1002,"Return"))</f>
        <v/>
      </c>
      <c r="E149" s="5">
        <f>IF($A149="","",$B149+$D149-$C149)</f>
        <v/>
      </c>
      <c r="F149" s="5">
        <f>IF($A149="","",IFERROR(XLOOKUP($A149,Items!$A:$A,Items!$F:$F),0))</f>
        <v/>
      </c>
      <c r="G149" s="6">
        <f>IF($A149="","",SUMIFS(Ledger!$H$3:$H$1002,Ledger!$D$3:$D$1002,$A149))</f>
        <v/>
      </c>
      <c r="H149" s="5">
        <f>IF($A149="","",IF($E149&lt;$F149,"LOW",IF($E149=0,"EMPTY","OK")))</f>
        <v/>
      </c>
    </row>
    <row r="150">
      <c r="A150" s="5">
        <f>IF(Items!A150="","",Items!A150)</f>
        <v/>
      </c>
      <c r="B150" s="5">
        <f>IF($A150="","",IFERROR(XLOOKUP($A150,Items!$A:$A,Items!$E:$E),0))</f>
        <v/>
      </c>
      <c r="C150" s="5">
        <f>IF($A150="","",SUMIFS(Ledger!$F$3:$F$1002,Ledger!$D$3:$D$1002,$A150,Ledger!$C$3:$C$1002,"Issue"))</f>
        <v/>
      </c>
      <c r="D150" s="5">
        <f>IF($A150="","",SUMIFS(Ledger!$F$3:$F$1002,Ledger!$D$3:$D$1002,$A150,Ledger!$C$3:$C$1002,"Return"))</f>
        <v/>
      </c>
      <c r="E150" s="5">
        <f>IF($A150="","",$B150+$D150-$C150)</f>
        <v/>
      </c>
      <c r="F150" s="5">
        <f>IF($A150="","",IFERROR(XLOOKUP($A150,Items!$A:$A,Items!$F:$F),0))</f>
        <v/>
      </c>
      <c r="G150" s="6">
        <f>IF($A150="","",SUMIFS(Ledger!$H$3:$H$1002,Ledger!$D$3:$D$1002,$A150))</f>
        <v/>
      </c>
      <c r="H150" s="5">
        <f>IF($A150="","",IF($E150&lt;$F150,"LOW",IF($E150=0,"EMPTY","OK")))</f>
        <v/>
      </c>
    </row>
    <row r="151">
      <c r="A151" s="5">
        <f>IF(Items!A151="","",Items!A151)</f>
        <v/>
      </c>
      <c r="B151" s="5">
        <f>IF($A151="","",IFERROR(XLOOKUP($A151,Items!$A:$A,Items!$E:$E),0))</f>
        <v/>
      </c>
      <c r="C151" s="5">
        <f>IF($A151="","",SUMIFS(Ledger!$F$3:$F$1002,Ledger!$D$3:$D$1002,$A151,Ledger!$C$3:$C$1002,"Issue"))</f>
        <v/>
      </c>
      <c r="D151" s="5">
        <f>IF($A151="","",SUMIFS(Ledger!$F$3:$F$1002,Ledger!$D$3:$D$1002,$A151,Ledger!$C$3:$C$1002,"Return"))</f>
        <v/>
      </c>
      <c r="E151" s="5">
        <f>IF($A151="","",$B151+$D151-$C151)</f>
        <v/>
      </c>
      <c r="F151" s="5">
        <f>IF($A151="","",IFERROR(XLOOKUP($A151,Items!$A:$A,Items!$F:$F),0))</f>
        <v/>
      </c>
      <c r="G151" s="6">
        <f>IF($A151="","",SUMIFS(Ledger!$H$3:$H$1002,Ledger!$D$3:$D$1002,$A151))</f>
        <v/>
      </c>
      <c r="H151" s="5">
        <f>IF($A151="","",IF($E151&lt;$F151,"LOW",IF($E151=0,"EMPTY","OK")))</f>
        <v/>
      </c>
    </row>
    <row r="152">
      <c r="A152" s="5">
        <f>IF(Items!A152="","",Items!A152)</f>
        <v/>
      </c>
      <c r="B152" s="5">
        <f>IF($A152="","",IFERROR(XLOOKUP($A152,Items!$A:$A,Items!$E:$E),0))</f>
        <v/>
      </c>
      <c r="C152" s="5">
        <f>IF($A152="","",SUMIFS(Ledger!$F$3:$F$1002,Ledger!$D$3:$D$1002,$A152,Ledger!$C$3:$C$1002,"Issue"))</f>
        <v/>
      </c>
      <c r="D152" s="5">
        <f>IF($A152="","",SUMIFS(Ledger!$F$3:$F$1002,Ledger!$D$3:$D$1002,$A152,Ledger!$C$3:$C$1002,"Return"))</f>
        <v/>
      </c>
      <c r="E152" s="5">
        <f>IF($A152="","",$B152+$D152-$C152)</f>
        <v/>
      </c>
      <c r="F152" s="5">
        <f>IF($A152="","",IFERROR(XLOOKUP($A152,Items!$A:$A,Items!$F:$F),0))</f>
        <v/>
      </c>
      <c r="G152" s="6">
        <f>IF($A152="","",SUMIFS(Ledger!$H$3:$H$1002,Ledger!$D$3:$D$1002,$A152))</f>
        <v/>
      </c>
      <c r="H152" s="5">
        <f>IF($A152="","",IF($E152&lt;$F152,"LOW",IF($E152=0,"EMPTY","OK")))</f>
        <v/>
      </c>
    </row>
    <row r="153">
      <c r="A153" s="5">
        <f>IF(Items!A153="","",Items!A153)</f>
        <v/>
      </c>
      <c r="B153" s="5">
        <f>IF($A153="","",IFERROR(XLOOKUP($A153,Items!$A:$A,Items!$E:$E),0))</f>
        <v/>
      </c>
      <c r="C153" s="5">
        <f>IF($A153="","",SUMIFS(Ledger!$F$3:$F$1002,Ledger!$D$3:$D$1002,$A153,Ledger!$C$3:$C$1002,"Issue"))</f>
        <v/>
      </c>
      <c r="D153" s="5">
        <f>IF($A153="","",SUMIFS(Ledger!$F$3:$F$1002,Ledger!$D$3:$D$1002,$A153,Ledger!$C$3:$C$1002,"Return"))</f>
        <v/>
      </c>
      <c r="E153" s="5">
        <f>IF($A153="","",$B153+$D153-$C153)</f>
        <v/>
      </c>
      <c r="F153" s="5">
        <f>IF($A153="","",IFERROR(XLOOKUP($A153,Items!$A:$A,Items!$F:$F),0))</f>
        <v/>
      </c>
      <c r="G153" s="6">
        <f>IF($A153="","",SUMIFS(Ledger!$H$3:$H$1002,Ledger!$D$3:$D$1002,$A153))</f>
        <v/>
      </c>
      <c r="H153" s="5">
        <f>IF($A153="","",IF($E153&lt;$F153,"LOW",IF($E153=0,"EMPTY","OK")))</f>
        <v/>
      </c>
    </row>
    <row r="154">
      <c r="A154" s="5">
        <f>IF(Items!A154="","",Items!A154)</f>
        <v/>
      </c>
      <c r="B154" s="5">
        <f>IF($A154="","",IFERROR(XLOOKUP($A154,Items!$A:$A,Items!$E:$E),0))</f>
        <v/>
      </c>
      <c r="C154" s="5">
        <f>IF($A154="","",SUMIFS(Ledger!$F$3:$F$1002,Ledger!$D$3:$D$1002,$A154,Ledger!$C$3:$C$1002,"Issue"))</f>
        <v/>
      </c>
      <c r="D154" s="5">
        <f>IF($A154="","",SUMIFS(Ledger!$F$3:$F$1002,Ledger!$D$3:$D$1002,$A154,Ledger!$C$3:$C$1002,"Return"))</f>
        <v/>
      </c>
      <c r="E154" s="5">
        <f>IF($A154="","",$B154+$D154-$C154)</f>
        <v/>
      </c>
      <c r="F154" s="5">
        <f>IF($A154="","",IFERROR(XLOOKUP($A154,Items!$A:$A,Items!$F:$F),0))</f>
        <v/>
      </c>
      <c r="G154" s="6">
        <f>IF($A154="","",SUMIFS(Ledger!$H$3:$H$1002,Ledger!$D$3:$D$1002,$A154))</f>
        <v/>
      </c>
      <c r="H154" s="5">
        <f>IF($A154="","",IF($E154&lt;$F154,"LOW",IF($E154=0,"EMPTY","OK")))</f>
        <v/>
      </c>
    </row>
    <row r="155">
      <c r="A155" s="5">
        <f>IF(Items!A155="","",Items!A155)</f>
        <v/>
      </c>
      <c r="B155" s="5">
        <f>IF($A155="","",IFERROR(XLOOKUP($A155,Items!$A:$A,Items!$E:$E),0))</f>
        <v/>
      </c>
      <c r="C155" s="5">
        <f>IF($A155="","",SUMIFS(Ledger!$F$3:$F$1002,Ledger!$D$3:$D$1002,$A155,Ledger!$C$3:$C$1002,"Issue"))</f>
        <v/>
      </c>
      <c r="D155" s="5">
        <f>IF($A155="","",SUMIFS(Ledger!$F$3:$F$1002,Ledger!$D$3:$D$1002,$A155,Ledger!$C$3:$C$1002,"Return"))</f>
        <v/>
      </c>
      <c r="E155" s="5">
        <f>IF($A155="","",$B155+$D155-$C155)</f>
        <v/>
      </c>
      <c r="F155" s="5">
        <f>IF($A155="","",IFERROR(XLOOKUP($A155,Items!$A:$A,Items!$F:$F),0))</f>
        <v/>
      </c>
      <c r="G155" s="6">
        <f>IF($A155="","",SUMIFS(Ledger!$H$3:$H$1002,Ledger!$D$3:$D$1002,$A155))</f>
        <v/>
      </c>
      <c r="H155" s="5">
        <f>IF($A155="","",IF($E155&lt;$F155,"LOW",IF($E155=0,"EMPTY","OK")))</f>
        <v/>
      </c>
    </row>
    <row r="156">
      <c r="A156" s="5">
        <f>IF(Items!A156="","",Items!A156)</f>
        <v/>
      </c>
      <c r="B156" s="5">
        <f>IF($A156="","",IFERROR(XLOOKUP($A156,Items!$A:$A,Items!$E:$E),0))</f>
        <v/>
      </c>
      <c r="C156" s="5">
        <f>IF($A156="","",SUMIFS(Ledger!$F$3:$F$1002,Ledger!$D$3:$D$1002,$A156,Ledger!$C$3:$C$1002,"Issue"))</f>
        <v/>
      </c>
      <c r="D156" s="5">
        <f>IF($A156="","",SUMIFS(Ledger!$F$3:$F$1002,Ledger!$D$3:$D$1002,$A156,Ledger!$C$3:$C$1002,"Return"))</f>
        <v/>
      </c>
      <c r="E156" s="5">
        <f>IF($A156="","",$B156+$D156-$C156)</f>
        <v/>
      </c>
      <c r="F156" s="5">
        <f>IF($A156="","",IFERROR(XLOOKUP($A156,Items!$A:$A,Items!$F:$F),0))</f>
        <v/>
      </c>
      <c r="G156" s="6">
        <f>IF($A156="","",SUMIFS(Ledger!$H$3:$H$1002,Ledger!$D$3:$D$1002,$A156))</f>
        <v/>
      </c>
      <c r="H156" s="5">
        <f>IF($A156="","",IF($E156&lt;$F156,"LOW",IF($E156=0,"EMPTY","OK")))</f>
        <v/>
      </c>
    </row>
    <row r="157">
      <c r="A157" s="5">
        <f>IF(Items!A157="","",Items!A157)</f>
        <v/>
      </c>
      <c r="B157" s="5">
        <f>IF($A157="","",IFERROR(XLOOKUP($A157,Items!$A:$A,Items!$E:$E),0))</f>
        <v/>
      </c>
      <c r="C157" s="5">
        <f>IF($A157="","",SUMIFS(Ledger!$F$3:$F$1002,Ledger!$D$3:$D$1002,$A157,Ledger!$C$3:$C$1002,"Issue"))</f>
        <v/>
      </c>
      <c r="D157" s="5">
        <f>IF($A157="","",SUMIFS(Ledger!$F$3:$F$1002,Ledger!$D$3:$D$1002,$A157,Ledger!$C$3:$C$1002,"Return"))</f>
        <v/>
      </c>
      <c r="E157" s="5">
        <f>IF($A157="","",$B157+$D157-$C157)</f>
        <v/>
      </c>
      <c r="F157" s="5">
        <f>IF($A157="","",IFERROR(XLOOKUP($A157,Items!$A:$A,Items!$F:$F),0))</f>
        <v/>
      </c>
      <c r="G157" s="6">
        <f>IF($A157="","",SUMIFS(Ledger!$H$3:$H$1002,Ledger!$D$3:$D$1002,$A157))</f>
        <v/>
      </c>
      <c r="H157" s="5">
        <f>IF($A157="","",IF($E157&lt;$F157,"LOW",IF($E157=0,"EMPTY","OK")))</f>
        <v/>
      </c>
    </row>
    <row r="158">
      <c r="A158" s="5">
        <f>IF(Items!A158="","",Items!A158)</f>
        <v/>
      </c>
      <c r="B158" s="5">
        <f>IF($A158="","",IFERROR(XLOOKUP($A158,Items!$A:$A,Items!$E:$E),0))</f>
        <v/>
      </c>
      <c r="C158" s="5">
        <f>IF($A158="","",SUMIFS(Ledger!$F$3:$F$1002,Ledger!$D$3:$D$1002,$A158,Ledger!$C$3:$C$1002,"Issue"))</f>
        <v/>
      </c>
      <c r="D158" s="5">
        <f>IF($A158="","",SUMIFS(Ledger!$F$3:$F$1002,Ledger!$D$3:$D$1002,$A158,Ledger!$C$3:$C$1002,"Return"))</f>
        <v/>
      </c>
      <c r="E158" s="5">
        <f>IF($A158="","",$B158+$D158-$C158)</f>
        <v/>
      </c>
      <c r="F158" s="5">
        <f>IF($A158="","",IFERROR(XLOOKUP($A158,Items!$A:$A,Items!$F:$F),0))</f>
        <v/>
      </c>
      <c r="G158" s="6">
        <f>IF($A158="","",SUMIFS(Ledger!$H$3:$H$1002,Ledger!$D$3:$D$1002,$A158))</f>
        <v/>
      </c>
      <c r="H158" s="5">
        <f>IF($A158="","",IF($E158&lt;$F158,"LOW",IF($E158=0,"EMPTY","OK")))</f>
        <v/>
      </c>
    </row>
    <row r="159">
      <c r="A159" s="5">
        <f>IF(Items!A159="","",Items!A159)</f>
        <v/>
      </c>
      <c r="B159" s="5">
        <f>IF($A159="","",IFERROR(XLOOKUP($A159,Items!$A:$A,Items!$E:$E),0))</f>
        <v/>
      </c>
      <c r="C159" s="5">
        <f>IF($A159="","",SUMIFS(Ledger!$F$3:$F$1002,Ledger!$D$3:$D$1002,$A159,Ledger!$C$3:$C$1002,"Issue"))</f>
        <v/>
      </c>
      <c r="D159" s="5">
        <f>IF($A159="","",SUMIFS(Ledger!$F$3:$F$1002,Ledger!$D$3:$D$1002,$A159,Ledger!$C$3:$C$1002,"Return"))</f>
        <v/>
      </c>
      <c r="E159" s="5">
        <f>IF($A159="","",$B159+$D159-$C159)</f>
        <v/>
      </c>
      <c r="F159" s="5">
        <f>IF($A159="","",IFERROR(XLOOKUP($A159,Items!$A:$A,Items!$F:$F),0))</f>
        <v/>
      </c>
      <c r="G159" s="6">
        <f>IF($A159="","",SUMIFS(Ledger!$H$3:$H$1002,Ledger!$D$3:$D$1002,$A159))</f>
        <v/>
      </c>
      <c r="H159" s="5">
        <f>IF($A159="","",IF($E159&lt;$F159,"LOW",IF($E159=0,"EMPTY","OK")))</f>
        <v/>
      </c>
    </row>
    <row r="160">
      <c r="A160" s="5">
        <f>IF(Items!A160="","",Items!A160)</f>
        <v/>
      </c>
      <c r="B160" s="5">
        <f>IF($A160="","",IFERROR(XLOOKUP($A160,Items!$A:$A,Items!$E:$E),0))</f>
        <v/>
      </c>
      <c r="C160" s="5">
        <f>IF($A160="","",SUMIFS(Ledger!$F$3:$F$1002,Ledger!$D$3:$D$1002,$A160,Ledger!$C$3:$C$1002,"Issue"))</f>
        <v/>
      </c>
      <c r="D160" s="5">
        <f>IF($A160="","",SUMIFS(Ledger!$F$3:$F$1002,Ledger!$D$3:$D$1002,$A160,Ledger!$C$3:$C$1002,"Return"))</f>
        <v/>
      </c>
      <c r="E160" s="5">
        <f>IF($A160="","",$B160+$D160-$C160)</f>
        <v/>
      </c>
      <c r="F160" s="5">
        <f>IF($A160="","",IFERROR(XLOOKUP($A160,Items!$A:$A,Items!$F:$F),0))</f>
        <v/>
      </c>
      <c r="G160" s="6">
        <f>IF($A160="","",SUMIFS(Ledger!$H$3:$H$1002,Ledger!$D$3:$D$1002,$A160))</f>
        <v/>
      </c>
      <c r="H160" s="5">
        <f>IF($A160="","",IF($E160&lt;$F160,"LOW",IF($E160=0,"EMPTY","OK")))</f>
        <v/>
      </c>
    </row>
    <row r="161">
      <c r="A161" s="5">
        <f>IF(Items!A161="","",Items!A161)</f>
        <v/>
      </c>
      <c r="B161" s="5">
        <f>IF($A161="","",IFERROR(XLOOKUP($A161,Items!$A:$A,Items!$E:$E),0))</f>
        <v/>
      </c>
      <c r="C161" s="5">
        <f>IF($A161="","",SUMIFS(Ledger!$F$3:$F$1002,Ledger!$D$3:$D$1002,$A161,Ledger!$C$3:$C$1002,"Issue"))</f>
        <v/>
      </c>
      <c r="D161" s="5">
        <f>IF($A161="","",SUMIFS(Ledger!$F$3:$F$1002,Ledger!$D$3:$D$1002,$A161,Ledger!$C$3:$C$1002,"Return"))</f>
        <v/>
      </c>
      <c r="E161" s="5">
        <f>IF($A161="","",$B161+$D161-$C161)</f>
        <v/>
      </c>
      <c r="F161" s="5">
        <f>IF($A161="","",IFERROR(XLOOKUP($A161,Items!$A:$A,Items!$F:$F),0))</f>
        <v/>
      </c>
      <c r="G161" s="6">
        <f>IF($A161="","",SUMIFS(Ledger!$H$3:$H$1002,Ledger!$D$3:$D$1002,$A161))</f>
        <v/>
      </c>
      <c r="H161" s="5">
        <f>IF($A161="","",IF($E161&lt;$F161,"LOW",IF($E161=0,"EMPTY","OK")))</f>
        <v/>
      </c>
    </row>
    <row r="162">
      <c r="A162" s="5">
        <f>IF(Items!A162="","",Items!A162)</f>
        <v/>
      </c>
      <c r="B162" s="5">
        <f>IF($A162="","",IFERROR(XLOOKUP($A162,Items!$A:$A,Items!$E:$E),0))</f>
        <v/>
      </c>
      <c r="C162" s="5">
        <f>IF($A162="","",SUMIFS(Ledger!$F$3:$F$1002,Ledger!$D$3:$D$1002,$A162,Ledger!$C$3:$C$1002,"Issue"))</f>
        <v/>
      </c>
      <c r="D162" s="5">
        <f>IF($A162="","",SUMIFS(Ledger!$F$3:$F$1002,Ledger!$D$3:$D$1002,$A162,Ledger!$C$3:$C$1002,"Return"))</f>
        <v/>
      </c>
      <c r="E162" s="5">
        <f>IF($A162="","",$B162+$D162-$C162)</f>
        <v/>
      </c>
      <c r="F162" s="5">
        <f>IF($A162="","",IFERROR(XLOOKUP($A162,Items!$A:$A,Items!$F:$F),0))</f>
        <v/>
      </c>
      <c r="G162" s="6">
        <f>IF($A162="","",SUMIFS(Ledger!$H$3:$H$1002,Ledger!$D$3:$D$1002,$A162))</f>
        <v/>
      </c>
      <c r="H162" s="5">
        <f>IF($A162="","",IF($E162&lt;$F162,"LOW",IF($E162=0,"EMPTY","OK")))</f>
        <v/>
      </c>
    </row>
    <row r="163">
      <c r="A163" s="5">
        <f>IF(Items!A163="","",Items!A163)</f>
        <v/>
      </c>
      <c r="B163" s="5">
        <f>IF($A163="","",IFERROR(XLOOKUP($A163,Items!$A:$A,Items!$E:$E),0))</f>
        <v/>
      </c>
      <c r="C163" s="5">
        <f>IF($A163="","",SUMIFS(Ledger!$F$3:$F$1002,Ledger!$D$3:$D$1002,$A163,Ledger!$C$3:$C$1002,"Issue"))</f>
        <v/>
      </c>
      <c r="D163" s="5">
        <f>IF($A163="","",SUMIFS(Ledger!$F$3:$F$1002,Ledger!$D$3:$D$1002,$A163,Ledger!$C$3:$C$1002,"Return"))</f>
        <v/>
      </c>
      <c r="E163" s="5">
        <f>IF($A163="","",$B163+$D163-$C163)</f>
        <v/>
      </c>
      <c r="F163" s="5">
        <f>IF($A163="","",IFERROR(XLOOKUP($A163,Items!$A:$A,Items!$F:$F),0))</f>
        <v/>
      </c>
      <c r="G163" s="6">
        <f>IF($A163="","",SUMIFS(Ledger!$H$3:$H$1002,Ledger!$D$3:$D$1002,$A163))</f>
        <v/>
      </c>
      <c r="H163" s="5">
        <f>IF($A163="","",IF($E163&lt;$F163,"LOW",IF($E163=0,"EMPTY","OK")))</f>
        <v/>
      </c>
    </row>
    <row r="164">
      <c r="A164" s="5">
        <f>IF(Items!A164="","",Items!A164)</f>
        <v/>
      </c>
      <c r="B164" s="5">
        <f>IF($A164="","",IFERROR(XLOOKUP($A164,Items!$A:$A,Items!$E:$E),0))</f>
        <v/>
      </c>
      <c r="C164" s="5">
        <f>IF($A164="","",SUMIFS(Ledger!$F$3:$F$1002,Ledger!$D$3:$D$1002,$A164,Ledger!$C$3:$C$1002,"Issue"))</f>
        <v/>
      </c>
      <c r="D164" s="5">
        <f>IF($A164="","",SUMIFS(Ledger!$F$3:$F$1002,Ledger!$D$3:$D$1002,$A164,Ledger!$C$3:$C$1002,"Return"))</f>
        <v/>
      </c>
      <c r="E164" s="5">
        <f>IF($A164="","",$B164+$D164-$C164)</f>
        <v/>
      </c>
      <c r="F164" s="5">
        <f>IF($A164="","",IFERROR(XLOOKUP($A164,Items!$A:$A,Items!$F:$F),0))</f>
        <v/>
      </c>
      <c r="G164" s="6">
        <f>IF($A164="","",SUMIFS(Ledger!$H$3:$H$1002,Ledger!$D$3:$D$1002,$A164))</f>
        <v/>
      </c>
      <c r="H164" s="5">
        <f>IF($A164="","",IF($E164&lt;$F164,"LOW",IF($E164=0,"EMPTY","OK")))</f>
        <v/>
      </c>
    </row>
    <row r="165">
      <c r="A165" s="5">
        <f>IF(Items!A165="","",Items!A165)</f>
        <v/>
      </c>
      <c r="B165" s="5">
        <f>IF($A165="","",IFERROR(XLOOKUP($A165,Items!$A:$A,Items!$E:$E),0))</f>
        <v/>
      </c>
      <c r="C165" s="5">
        <f>IF($A165="","",SUMIFS(Ledger!$F$3:$F$1002,Ledger!$D$3:$D$1002,$A165,Ledger!$C$3:$C$1002,"Issue"))</f>
        <v/>
      </c>
      <c r="D165" s="5">
        <f>IF($A165="","",SUMIFS(Ledger!$F$3:$F$1002,Ledger!$D$3:$D$1002,$A165,Ledger!$C$3:$C$1002,"Return"))</f>
        <v/>
      </c>
      <c r="E165" s="5">
        <f>IF($A165="","",$B165+$D165-$C165)</f>
        <v/>
      </c>
      <c r="F165" s="5">
        <f>IF($A165="","",IFERROR(XLOOKUP($A165,Items!$A:$A,Items!$F:$F),0))</f>
        <v/>
      </c>
      <c r="G165" s="6">
        <f>IF($A165="","",SUMIFS(Ledger!$H$3:$H$1002,Ledger!$D$3:$D$1002,$A165))</f>
        <v/>
      </c>
      <c r="H165" s="5">
        <f>IF($A165="","",IF($E165&lt;$F165,"LOW",IF($E165=0,"EMPTY","OK")))</f>
        <v/>
      </c>
    </row>
    <row r="166">
      <c r="A166" s="5">
        <f>IF(Items!A166="","",Items!A166)</f>
        <v/>
      </c>
      <c r="B166" s="5">
        <f>IF($A166="","",IFERROR(XLOOKUP($A166,Items!$A:$A,Items!$E:$E),0))</f>
        <v/>
      </c>
      <c r="C166" s="5">
        <f>IF($A166="","",SUMIFS(Ledger!$F$3:$F$1002,Ledger!$D$3:$D$1002,$A166,Ledger!$C$3:$C$1002,"Issue"))</f>
        <v/>
      </c>
      <c r="D166" s="5">
        <f>IF($A166="","",SUMIFS(Ledger!$F$3:$F$1002,Ledger!$D$3:$D$1002,$A166,Ledger!$C$3:$C$1002,"Return"))</f>
        <v/>
      </c>
      <c r="E166" s="5">
        <f>IF($A166="","",$B166+$D166-$C166)</f>
        <v/>
      </c>
      <c r="F166" s="5">
        <f>IF($A166="","",IFERROR(XLOOKUP($A166,Items!$A:$A,Items!$F:$F),0))</f>
        <v/>
      </c>
      <c r="G166" s="6">
        <f>IF($A166="","",SUMIFS(Ledger!$H$3:$H$1002,Ledger!$D$3:$D$1002,$A166))</f>
        <v/>
      </c>
      <c r="H166" s="5">
        <f>IF($A166="","",IF($E166&lt;$F166,"LOW",IF($E166=0,"EMPTY","OK")))</f>
        <v/>
      </c>
    </row>
    <row r="167">
      <c r="A167" s="5">
        <f>IF(Items!A167="","",Items!A167)</f>
        <v/>
      </c>
      <c r="B167" s="5">
        <f>IF($A167="","",IFERROR(XLOOKUP($A167,Items!$A:$A,Items!$E:$E),0))</f>
        <v/>
      </c>
      <c r="C167" s="5">
        <f>IF($A167="","",SUMIFS(Ledger!$F$3:$F$1002,Ledger!$D$3:$D$1002,$A167,Ledger!$C$3:$C$1002,"Issue"))</f>
        <v/>
      </c>
      <c r="D167" s="5">
        <f>IF($A167="","",SUMIFS(Ledger!$F$3:$F$1002,Ledger!$D$3:$D$1002,$A167,Ledger!$C$3:$C$1002,"Return"))</f>
        <v/>
      </c>
      <c r="E167" s="5">
        <f>IF($A167="","",$B167+$D167-$C167)</f>
        <v/>
      </c>
      <c r="F167" s="5">
        <f>IF($A167="","",IFERROR(XLOOKUP($A167,Items!$A:$A,Items!$F:$F),0))</f>
        <v/>
      </c>
      <c r="G167" s="6">
        <f>IF($A167="","",SUMIFS(Ledger!$H$3:$H$1002,Ledger!$D$3:$D$1002,$A167))</f>
        <v/>
      </c>
      <c r="H167" s="5">
        <f>IF($A167="","",IF($E167&lt;$F167,"LOW",IF($E167=0,"EMPTY","OK")))</f>
        <v/>
      </c>
    </row>
    <row r="168">
      <c r="A168" s="5">
        <f>IF(Items!A168="","",Items!A168)</f>
        <v/>
      </c>
      <c r="B168" s="5">
        <f>IF($A168="","",IFERROR(XLOOKUP($A168,Items!$A:$A,Items!$E:$E),0))</f>
        <v/>
      </c>
      <c r="C168" s="5">
        <f>IF($A168="","",SUMIFS(Ledger!$F$3:$F$1002,Ledger!$D$3:$D$1002,$A168,Ledger!$C$3:$C$1002,"Issue"))</f>
        <v/>
      </c>
      <c r="D168" s="5">
        <f>IF($A168="","",SUMIFS(Ledger!$F$3:$F$1002,Ledger!$D$3:$D$1002,$A168,Ledger!$C$3:$C$1002,"Return"))</f>
        <v/>
      </c>
      <c r="E168" s="5">
        <f>IF($A168="","",$B168+$D168-$C168)</f>
        <v/>
      </c>
      <c r="F168" s="5">
        <f>IF($A168="","",IFERROR(XLOOKUP($A168,Items!$A:$A,Items!$F:$F),0))</f>
        <v/>
      </c>
      <c r="G168" s="6">
        <f>IF($A168="","",SUMIFS(Ledger!$H$3:$H$1002,Ledger!$D$3:$D$1002,$A168))</f>
        <v/>
      </c>
      <c r="H168" s="5">
        <f>IF($A168="","",IF($E168&lt;$F168,"LOW",IF($E168=0,"EMPTY","OK")))</f>
        <v/>
      </c>
    </row>
    <row r="169">
      <c r="A169" s="5">
        <f>IF(Items!A169="","",Items!A169)</f>
        <v/>
      </c>
      <c r="B169" s="5">
        <f>IF($A169="","",IFERROR(XLOOKUP($A169,Items!$A:$A,Items!$E:$E),0))</f>
        <v/>
      </c>
      <c r="C169" s="5">
        <f>IF($A169="","",SUMIFS(Ledger!$F$3:$F$1002,Ledger!$D$3:$D$1002,$A169,Ledger!$C$3:$C$1002,"Issue"))</f>
        <v/>
      </c>
      <c r="D169" s="5">
        <f>IF($A169="","",SUMIFS(Ledger!$F$3:$F$1002,Ledger!$D$3:$D$1002,$A169,Ledger!$C$3:$C$1002,"Return"))</f>
        <v/>
      </c>
      <c r="E169" s="5">
        <f>IF($A169="","",$B169+$D169-$C169)</f>
        <v/>
      </c>
      <c r="F169" s="5">
        <f>IF($A169="","",IFERROR(XLOOKUP($A169,Items!$A:$A,Items!$F:$F),0))</f>
        <v/>
      </c>
      <c r="G169" s="6">
        <f>IF($A169="","",SUMIFS(Ledger!$H$3:$H$1002,Ledger!$D$3:$D$1002,$A169))</f>
        <v/>
      </c>
      <c r="H169" s="5">
        <f>IF($A169="","",IF($E169&lt;$F169,"LOW",IF($E169=0,"EMPTY","OK")))</f>
        <v/>
      </c>
    </row>
    <row r="170">
      <c r="A170" s="5">
        <f>IF(Items!A170="","",Items!A170)</f>
        <v/>
      </c>
      <c r="B170" s="5">
        <f>IF($A170="","",IFERROR(XLOOKUP($A170,Items!$A:$A,Items!$E:$E),0))</f>
        <v/>
      </c>
      <c r="C170" s="5">
        <f>IF($A170="","",SUMIFS(Ledger!$F$3:$F$1002,Ledger!$D$3:$D$1002,$A170,Ledger!$C$3:$C$1002,"Issue"))</f>
        <v/>
      </c>
      <c r="D170" s="5">
        <f>IF($A170="","",SUMIFS(Ledger!$F$3:$F$1002,Ledger!$D$3:$D$1002,$A170,Ledger!$C$3:$C$1002,"Return"))</f>
        <v/>
      </c>
      <c r="E170" s="5">
        <f>IF($A170="","",$B170+$D170-$C170)</f>
        <v/>
      </c>
      <c r="F170" s="5">
        <f>IF($A170="","",IFERROR(XLOOKUP($A170,Items!$A:$A,Items!$F:$F),0))</f>
        <v/>
      </c>
      <c r="G170" s="6">
        <f>IF($A170="","",SUMIFS(Ledger!$H$3:$H$1002,Ledger!$D$3:$D$1002,$A170))</f>
        <v/>
      </c>
      <c r="H170" s="5">
        <f>IF($A170="","",IF($E170&lt;$F170,"LOW",IF($E170=0,"EMPTY","OK")))</f>
        <v/>
      </c>
    </row>
    <row r="171">
      <c r="A171" s="5">
        <f>IF(Items!A171="","",Items!A171)</f>
        <v/>
      </c>
      <c r="B171" s="5">
        <f>IF($A171="","",IFERROR(XLOOKUP($A171,Items!$A:$A,Items!$E:$E),0))</f>
        <v/>
      </c>
      <c r="C171" s="5">
        <f>IF($A171="","",SUMIFS(Ledger!$F$3:$F$1002,Ledger!$D$3:$D$1002,$A171,Ledger!$C$3:$C$1002,"Issue"))</f>
        <v/>
      </c>
      <c r="D171" s="5">
        <f>IF($A171="","",SUMIFS(Ledger!$F$3:$F$1002,Ledger!$D$3:$D$1002,$A171,Ledger!$C$3:$C$1002,"Return"))</f>
        <v/>
      </c>
      <c r="E171" s="5">
        <f>IF($A171="","",$B171+$D171-$C171)</f>
        <v/>
      </c>
      <c r="F171" s="5">
        <f>IF($A171="","",IFERROR(XLOOKUP($A171,Items!$A:$A,Items!$F:$F),0))</f>
        <v/>
      </c>
      <c r="G171" s="6">
        <f>IF($A171="","",SUMIFS(Ledger!$H$3:$H$1002,Ledger!$D$3:$D$1002,$A171))</f>
        <v/>
      </c>
      <c r="H171" s="5">
        <f>IF($A171="","",IF($E171&lt;$F171,"LOW",IF($E171=0,"EMPTY","OK")))</f>
        <v/>
      </c>
    </row>
    <row r="172">
      <c r="A172" s="5">
        <f>IF(Items!A172="","",Items!A172)</f>
        <v/>
      </c>
      <c r="B172" s="5">
        <f>IF($A172="","",IFERROR(XLOOKUP($A172,Items!$A:$A,Items!$E:$E),0))</f>
        <v/>
      </c>
      <c r="C172" s="5">
        <f>IF($A172="","",SUMIFS(Ledger!$F$3:$F$1002,Ledger!$D$3:$D$1002,$A172,Ledger!$C$3:$C$1002,"Issue"))</f>
        <v/>
      </c>
      <c r="D172" s="5">
        <f>IF($A172="","",SUMIFS(Ledger!$F$3:$F$1002,Ledger!$D$3:$D$1002,$A172,Ledger!$C$3:$C$1002,"Return"))</f>
        <v/>
      </c>
      <c r="E172" s="5">
        <f>IF($A172="","",$B172+$D172-$C172)</f>
        <v/>
      </c>
      <c r="F172" s="5">
        <f>IF($A172="","",IFERROR(XLOOKUP($A172,Items!$A:$A,Items!$F:$F),0))</f>
        <v/>
      </c>
      <c r="G172" s="6">
        <f>IF($A172="","",SUMIFS(Ledger!$H$3:$H$1002,Ledger!$D$3:$D$1002,$A172))</f>
        <v/>
      </c>
      <c r="H172" s="5">
        <f>IF($A172="","",IF($E172&lt;$F172,"LOW",IF($E172=0,"EMPTY","OK")))</f>
        <v/>
      </c>
    </row>
    <row r="173">
      <c r="A173" s="5">
        <f>IF(Items!A173="","",Items!A173)</f>
        <v/>
      </c>
      <c r="B173" s="5">
        <f>IF($A173="","",IFERROR(XLOOKUP($A173,Items!$A:$A,Items!$E:$E),0))</f>
        <v/>
      </c>
      <c r="C173" s="5">
        <f>IF($A173="","",SUMIFS(Ledger!$F$3:$F$1002,Ledger!$D$3:$D$1002,$A173,Ledger!$C$3:$C$1002,"Issue"))</f>
        <v/>
      </c>
      <c r="D173" s="5">
        <f>IF($A173="","",SUMIFS(Ledger!$F$3:$F$1002,Ledger!$D$3:$D$1002,$A173,Ledger!$C$3:$C$1002,"Return"))</f>
        <v/>
      </c>
      <c r="E173" s="5">
        <f>IF($A173="","",$B173+$D173-$C173)</f>
        <v/>
      </c>
      <c r="F173" s="5">
        <f>IF($A173="","",IFERROR(XLOOKUP($A173,Items!$A:$A,Items!$F:$F),0))</f>
        <v/>
      </c>
      <c r="G173" s="6">
        <f>IF($A173="","",SUMIFS(Ledger!$H$3:$H$1002,Ledger!$D$3:$D$1002,$A173))</f>
        <v/>
      </c>
      <c r="H173" s="5">
        <f>IF($A173="","",IF($E173&lt;$F173,"LOW",IF($E173=0,"EMPTY","OK")))</f>
        <v/>
      </c>
    </row>
    <row r="174">
      <c r="A174" s="5">
        <f>IF(Items!A174="","",Items!A174)</f>
        <v/>
      </c>
      <c r="B174" s="5">
        <f>IF($A174="","",IFERROR(XLOOKUP($A174,Items!$A:$A,Items!$E:$E),0))</f>
        <v/>
      </c>
      <c r="C174" s="5">
        <f>IF($A174="","",SUMIFS(Ledger!$F$3:$F$1002,Ledger!$D$3:$D$1002,$A174,Ledger!$C$3:$C$1002,"Issue"))</f>
        <v/>
      </c>
      <c r="D174" s="5">
        <f>IF($A174="","",SUMIFS(Ledger!$F$3:$F$1002,Ledger!$D$3:$D$1002,$A174,Ledger!$C$3:$C$1002,"Return"))</f>
        <v/>
      </c>
      <c r="E174" s="5">
        <f>IF($A174="","",$B174+$D174-$C174)</f>
        <v/>
      </c>
      <c r="F174" s="5">
        <f>IF($A174="","",IFERROR(XLOOKUP($A174,Items!$A:$A,Items!$F:$F),0))</f>
        <v/>
      </c>
      <c r="G174" s="6">
        <f>IF($A174="","",SUMIFS(Ledger!$H$3:$H$1002,Ledger!$D$3:$D$1002,$A174))</f>
        <v/>
      </c>
      <c r="H174" s="5">
        <f>IF($A174="","",IF($E174&lt;$F174,"LOW",IF($E174=0,"EMPTY","OK")))</f>
        <v/>
      </c>
    </row>
    <row r="175">
      <c r="A175" s="5">
        <f>IF(Items!A175="","",Items!A175)</f>
        <v/>
      </c>
      <c r="B175" s="5">
        <f>IF($A175="","",IFERROR(XLOOKUP($A175,Items!$A:$A,Items!$E:$E),0))</f>
        <v/>
      </c>
      <c r="C175" s="5">
        <f>IF($A175="","",SUMIFS(Ledger!$F$3:$F$1002,Ledger!$D$3:$D$1002,$A175,Ledger!$C$3:$C$1002,"Issue"))</f>
        <v/>
      </c>
      <c r="D175" s="5">
        <f>IF($A175="","",SUMIFS(Ledger!$F$3:$F$1002,Ledger!$D$3:$D$1002,$A175,Ledger!$C$3:$C$1002,"Return"))</f>
        <v/>
      </c>
      <c r="E175" s="5">
        <f>IF($A175="","",$B175+$D175-$C175)</f>
        <v/>
      </c>
      <c r="F175" s="5">
        <f>IF($A175="","",IFERROR(XLOOKUP($A175,Items!$A:$A,Items!$F:$F),0))</f>
        <v/>
      </c>
      <c r="G175" s="6">
        <f>IF($A175="","",SUMIFS(Ledger!$H$3:$H$1002,Ledger!$D$3:$D$1002,$A175))</f>
        <v/>
      </c>
      <c r="H175" s="5">
        <f>IF($A175="","",IF($E175&lt;$F175,"LOW",IF($E175=0,"EMPTY","OK")))</f>
        <v/>
      </c>
    </row>
    <row r="176">
      <c r="A176" s="5">
        <f>IF(Items!A176="","",Items!A176)</f>
        <v/>
      </c>
      <c r="B176" s="5">
        <f>IF($A176="","",IFERROR(XLOOKUP($A176,Items!$A:$A,Items!$E:$E),0))</f>
        <v/>
      </c>
      <c r="C176" s="5">
        <f>IF($A176="","",SUMIFS(Ledger!$F$3:$F$1002,Ledger!$D$3:$D$1002,$A176,Ledger!$C$3:$C$1002,"Issue"))</f>
        <v/>
      </c>
      <c r="D176" s="5">
        <f>IF($A176="","",SUMIFS(Ledger!$F$3:$F$1002,Ledger!$D$3:$D$1002,$A176,Ledger!$C$3:$C$1002,"Return"))</f>
        <v/>
      </c>
      <c r="E176" s="5">
        <f>IF($A176="","",$B176+$D176-$C176)</f>
        <v/>
      </c>
      <c r="F176" s="5">
        <f>IF($A176="","",IFERROR(XLOOKUP($A176,Items!$A:$A,Items!$F:$F),0))</f>
        <v/>
      </c>
      <c r="G176" s="6">
        <f>IF($A176="","",SUMIFS(Ledger!$H$3:$H$1002,Ledger!$D$3:$D$1002,$A176))</f>
        <v/>
      </c>
      <c r="H176" s="5">
        <f>IF($A176="","",IF($E176&lt;$F176,"LOW",IF($E176=0,"EMPTY","OK")))</f>
        <v/>
      </c>
    </row>
    <row r="177">
      <c r="A177" s="5">
        <f>IF(Items!A177="","",Items!A177)</f>
        <v/>
      </c>
      <c r="B177" s="5">
        <f>IF($A177="","",IFERROR(XLOOKUP($A177,Items!$A:$A,Items!$E:$E),0))</f>
        <v/>
      </c>
      <c r="C177" s="5">
        <f>IF($A177="","",SUMIFS(Ledger!$F$3:$F$1002,Ledger!$D$3:$D$1002,$A177,Ledger!$C$3:$C$1002,"Issue"))</f>
        <v/>
      </c>
      <c r="D177" s="5">
        <f>IF($A177="","",SUMIFS(Ledger!$F$3:$F$1002,Ledger!$D$3:$D$1002,$A177,Ledger!$C$3:$C$1002,"Return"))</f>
        <v/>
      </c>
      <c r="E177" s="5">
        <f>IF($A177="","",$B177+$D177-$C177)</f>
        <v/>
      </c>
      <c r="F177" s="5">
        <f>IF($A177="","",IFERROR(XLOOKUP($A177,Items!$A:$A,Items!$F:$F),0))</f>
        <v/>
      </c>
      <c r="G177" s="6">
        <f>IF($A177="","",SUMIFS(Ledger!$H$3:$H$1002,Ledger!$D$3:$D$1002,$A177))</f>
        <v/>
      </c>
      <c r="H177" s="5">
        <f>IF($A177="","",IF($E177&lt;$F177,"LOW",IF($E177=0,"EMPTY","OK")))</f>
        <v/>
      </c>
    </row>
    <row r="178">
      <c r="A178" s="5">
        <f>IF(Items!A178="","",Items!A178)</f>
        <v/>
      </c>
      <c r="B178" s="5">
        <f>IF($A178="","",IFERROR(XLOOKUP($A178,Items!$A:$A,Items!$E:$E),0))</f>
        <v/>
      </c>
      <c r="C178" s="5">
        <f>IF($A178="","",SUMIFS(Ledger!$F$3:$F$1002,Ledger!$D$3:$D$1002,$A178,Ledger!$C$3:$C$1002,"Issue"))</f>
        <v/>
      </c>
      <c r="D178" s="5">
        <f>IF($A178="","",SUMIFS(Ledger!$F$3:$F$1002,Ledger!$D$3:$D$1002,$A178,Ledger!$C$3:$C$1002,"Return"))</f>
        <v/>
      </c>
      <c r="E178" s="5">
        <f>IF($A178="","",$B178+$D178-$C178)</f>
        <v/>
      </c>
      <c r="F178" s="5">
        <f>IF($A178="","",IFERROR(XLOOKUP($A178,Items!$A:$A,Items!$F:$F),0))</f>
        <v/>
      </c>
      <c r="G178" s="6">
        <f>IF($A178="","",SUMIFS(Ledger!$H$3:$H$1002,Ledger!$D$3:$D$1002,$A178))</f>
        <v/>
      </c>
      <c r="H178" s="5">
        <f>IF($A178="","",IF($E178&lt;$F178,"LOW",IF($E178=0,"EMPTY","OK")))</f>
        <v/>
      </c>
    </row>
    <row r="179">
      <c r="A179" s="5">
        <f>IF(Items!A179="","",Items!A179)</f>
        <v/>
      </c>
      <c r="B179" s="5">
        <f>IF($A179="","",IFERROR(XLOOKUP($A179,Items!$A:$A,Items!$E:$E),0))</f>
        <v/>
      </c>
      <c r="C179" s="5">
        <f>IF($A179="","",SUMIFS(Ledger!$F$3:$F$1002,Ledger!$D$3:$D$1002,$A179,Ledger!$C$3:$C$1002,"Issue"))</f>
        <v/>
      </c>
      <c r="D179" s="5">
        <f>IF($A179="","",SUMIFS(Ledger!$F$3:$F$1002,Ledger!$D$3:$D$1002,$A179,Ledger!$C$3:$C$1002,"Return"))</f>
        <v/>
      </c>
      <c r="E179" s="5">
        <f>IF($A179="","",$B179+$D179-$C179)</f>
        <v/>
      </c>
      <c r="F179" s="5">
        <f>IF($A179="","",IFERROR(XLOOKUP($A179,Items!$A:$A,Items!$F:$F),0))</f>
        <v/>
      </c>
      <c r="G179" s="6">
        <f>IF($A179="","",SUMIFS(Ledger!$H$3:$H$1002,Ledger!$D$3:$D$1002,$A179))</f>
        <v/>
      </c>
      <c r="H179" s="5">
        <f>IF($A179="","",IF($E179&lt;$F179,"LOW",IF($E179=0,"EMPTY","OK")))</f>
        <v/>
      </c>
    </row>
    <row r="180">
      <c r="A180" s="5">
        <f>IF(Items!A180="","",Items!A180)</f>
        <v/>
      </c>
      <c r="B180" s="5">
        <f>IF($A180="","",IFERROR(XLOOKUP($A180,Items!$A:$A,Items!$E:$E),0))</f>
        <v/>
      </c>
      <c r="C180" s="5">
        <f>IF($A180="","",SUMIFS(Ledger!$F$3:$F$1002,Ledger!$D$3:$D$1002,$A180,Ledger!$C$3:$C$1002,"Issue"))</f>
        <v/>
      </c>
      <c r="D180" s="5">
        <f>IF($A180="","",SUMIFS(Ledger!$F$3:$F$1002,Ledger!$D$3:$D$1002,$A180,Ledger!$C$3:$C$1002,"Return"))</f>
        <v/>
      </c>
      <c r="E180" s="5">
        <f>IF($A180="","",$B180+$D180-$C180)</f>
        <v/>
      </c>
      <c r="F180" s="5">
        <f>IF($A180="","",IFERROR(XLOOKUP($A180,Items!$A:$A,Items!$F:$F),0))</f>
        <v/>
      </c>
      <c r="G180" s="6">
        <f>IF($A180="","",SUMIFS(Ledger!$H$3:$H$1002,Ledger!$D$3:$D$1002,$A180))</f>
        <v/>
      </c>
      <c r="H180" s="5">
        <f>IF($A180="","",IF($E180&lt;$F180,"LOW",IF($E180=0,"EMPTY","OK")))</f>
        <v/>
      </c>
    </row>
    <row r="181">
      <c r="A181" s="5">
        <f>IF(Items!A181="","",Items!A181)</f>
        <v/>
      </c>
      <c r="B181" s="5">
        <f>IF($A181="","",IFERROR(XLOOKUP($A181,Items!$A:$A,Items!$E:$E),0))</f>
        <v/>
      </c>
      <c r="C181" s="5">
        <f>IF($A181="","",SUMIFS(Ledger!$F$3:$F$1002,Ledger!$D$3:$D$1002,$A181,Ledger!$C$3:$C$1002,"Issue"))</f>
        <v/>
      </c>
      <c r="D181" s="5">
        <f>IF($A181="","",SUMIFS(Ledger!$F$3:$F$1002,Ledger!$D$3:$D$1002,$A181,Ledger!$C$3:$C$1002,"Return"))</f>
        <v/>
      </c>
      <c r="E181" s="5">
        <f>IF($A181="","",$B181+$D181-$C181)</f>
        <v/>
      </c>
      <c r="F181" s="5">
        <f>IF($A181="","",IFERROR(XLOOKUP($A181,Items!$A:$A,Items!$F:$F),0))</f>
        <v/>
      </c>
      <c r="G181" s="6">
        <f>IF($A181="","",SUMIFS(Ledger!$H$3:$H$1002,Ledger!$D$3:$D$1002,$A181))</f>
        <v/>
      </c>
      <c r="H181" s="5">
        <f>IF($A181="","",IF($E181&lt;$F181,"LOW",IF($E181=0,"EMPTY","OK")))</f>
        <v/>
      </c>
    </row>
    <row r="182">
      <c r="A182" s="5">
        <f>IF(Items!A182="","",Items!A182)</f>
        <v/>
      </c>
      <c r="B182" s="5">
        <f>IF($A182="","",IFERROR(XLOOKUP($A182,Items!$A:$A,Items!$E:$E),0))</f>
        <v/>
      </c>
      <c r="C182" s="5">
        <f>IF($A182="","",SUMIFS(Ledger!$F$3:$F$1002,Ledger!$D$3:$D$1002,$A182,Ledger!$C$3:$C$1002,"Issue"))</f>
        <v/>
      </c>
      <c r="D182" s="5">
        <f>IF($A182="","",SUMIFS(Ledger!$F$3:$F$1002,Ledger!$D$3:$D$1002,$A182,Ledger!$C$3:$C$1002,"Return"))</f>
        <v/>
      </c>
      <c r="E182" s="5">
        <f>IF($A182="","",$B182+$D182-$C182)</f>
        <v/>
      </c>
      <c r="F182" s="5">
        <f>IF($A182="","",IFERROR(XLOOKUP($A182,Items!$A:$A,Items!$F:$F),0))</f>
        <v/>
      </c>
      <c r="G182" s="6">
        <f>IF($A182="","",SUMIFS(Ledger!$H$3:$H$1002,Ledger!$D$3:$D$1002,$A182))</f>
        <v/>
      </c>
      <c r="H182" s="5">
        <f>IF($A182="","",IF($E182&lt;$F182,"LOW",IF($E182=0,"EMPTY","OK")))</f>
        <v/>
      </c>
    </row>
    <row r="183">
      <c r="A183" s="5">
        <f>IF(Items!A183="","",Items!A183)</f>
        <v/>
      </c>
      <c r="B183" s="5">
        <f>IF($A183="","",IFERROR(XLOOKUP($A183,Items!$A:$A,Items!$E:$E),0))</f>
        <v/>
      </c>
      <c r="C183" s="5">
        <f>IF($A183="","",SUMIFS(Ledger!$F$3:$F$1002,Ledger!$D$3:$D$1002,$A183,Ledger!$C$3:$C$1002,"Issue"))</f>
        <v/>
      </c>
      <c r="D183" s="5">
        <f>IF($A183="","",SUMIFS(Ledger!$F$3:$F$1002,Ledger!$D$3:$D$1002,$A183,Ledger!$C$3:$C$1002,"Return"))</f>
        <v/>
      </c>
      <c r="E183" s="5">
        <f>IF($A183="","",$B183+$D183-$C183)</f>
        <v/>
      </c>
      <c r="F183" s="5">
        <f>IF($A183="","",IFERROR(XLOOKUP($A183,Items!$A:$A,Items!$F:$F),0))</f>
        <v/>
      </c>
      <c r="G183" s="6">
        <f>IF($A183="","",SUMIFS(Ledger!$H$3:$H$1002,Ledger!$D$3:$D$1002,$A183))</f>
        <v/>
      </c>
      <c r="H183" s="5">
        <f>IF($A183="","",IF($E183&lt;$F183,"LOW",IF($E183=0,"EMPTY","OK")))</f>
        <v/>
      </c>
    </row>
    <row r="184">
      <c r="A184" s="5">
        <f>IF(Items!A184="","",Items!A184)</f>
        <v/>
      </c>
      <c r="B184" s="5">
        <f>IF($A184="","",IFERROR(XLOOKUP($A184,Items!$A:$A,Items!$E:$E),0))</f>
        <v/>
      </c>
      <c r="C184" s="5">
        <f>IF($A184="","",SUMIFS(Ledger!$F$3:$F$1002,Ledger!$D$3:$D$1002,$A184,Ledger!$C$3:$C$1002,"Issue"))</f>
        <v/>
      </c>
      <c r="D184" s="5">
        <f>IF($A184="","",SUMIFS(Ledger!$F$3:$F$1002,Ledger!$D$3:$D$1002,$A184,Ledger!$C$3:$C$1002,"Return"))</f>
        <v/>
      </c>
      <c r="E184" s="5">
        <f>IF($A184="","",$B184+$D184-$C184)</f>
        <v/>
      </c>
      <c r="F184" s="5">
        <f>IF($A184="","",IFERROR(XLOOKUP($A184,Items!$A:$A,Items!$F:$F),0))</f>
        <v/>
      </c>
      <c r="G184" s="6">
        <f>IF($A184="","",SUMIFS(Ledger!$H$3:$H$1002,Ledger!$D$3:$D$1002,$A184))</f>
        <v/>
      </c>
      <c r="H184" s="5">
        <f>IF($A184="","",IF($E184&lt;$F184,"LOW",IF($E184=0,"EMPTY","OK")))</f>
        <v/>
      </c>
    </row>
    <row r="185">
      <c r="A185" s="5">
        <f>IF(Items!A185="","",Items!A185)</f>
        <v/>
      </c>
      <c r="B185" s="5">
        <f>IF($A185="","",IFERROR(XLOOKUP($A185,Items!$A:$A,Items!$E:$E),0))</f>
        <v/>
      </c>
      <c r="C185" s="5">
        <f>IF($A185="","",SUMIFS(Ledger!$F$3:$F$1002,Ledger!$D$3:$D$1002,$A185,Ledger!$C$3:$C$1002,"Issue"))</f>
        <v/>
      </c>
      <c r="D185" s="5">
        <f>IF($A185="","",SUMIFS(Ledger!$F$3:$F$1002,Ledger!$D$3:$D$1002,$A185,Ledger!$C$3:$C$1002,"Return"))</f>
        <v/>
      </c>
      <c r="E185" s="5">
        <f>IF($A185="","",$B185+$D185-$C185)</f>
        <v/>
      </c>
      <c r="F185" s="5">
        <f>IF($A185="","",IFERROR(XLOOKUP($A185,Items!$A:$A,Items!$F:$F),0))</f>
        <v/>
      </c>
      <c r="G185" s="6">
        <f>IF($A185="","",SUMIFS(Ledger!$H$3:$H$1002,Ledger!$D$3:$D$1002,$A185))</f>
        <v/>
      </c>
      <c r="H185" s="5">
        <f>IF($A185="","",IF($E185&lt;$F185,"LOW",IF($E185=0,"EMPTY","OK")))</f>
        <v/>
      </c>
    </row>
    <row r="186">
      <c r="A186" s="5">
        <f>IF(Items!A186="","",Items!A186)</f>
        <v/>
      </c>
      <c r="B186" s="5">
        <f>IF($A186="","",IFERROR(XLOOKUP($A186,Items!$A:$A,Items!$E:$E),0))</f>
        <v/>
      </c>
      <c r="C186" s="5">
        <f>IF($A186="","",SUMIFS(Ledger!$F$3:$F$1002,Ledger!$D$3:$D$1002,$A186,Ledger!$C$3:$C$1002,"Issue"))</f>
        <v/>
      </c>
      <c r="D186" s="5">
        <f>IF($A186="","",SUMIFS(Ledger!$F$3:$F$1002,Ledger!$D$3:$D$1002,$A186,Ledger!$C$3:$C$1002,"Return"))</f>
        <v/>
      </c>
      <c r="E186" s="5">
        <f>IF($A186="","",$B186+$D186-$C186)</f>
        <v/>
      </c>
      <c r="F186" s="5">
        <f>IF($A186="","",IFERROR(XLOOKUP($A186,Items!$A:$A,Items!$F:$F),0))</f>
        <v/>
      </c>
      <c r="G186" s="6">
        <f>IF($A186="","",SUMIFS(Ledger!$H$3:$H$1002,Ledger!$D$3:$D$1002,$A186))</f>
        <v/>
      </c>
      <c r="H186" s="5">
        <f>IF($A186="","",IF($E186&lt;$F186,"LOW",IF($E186=0,"EMPTY","OK")))</f>
        <v/>
      </c>
    </row>
    <row r="187">
      <c r="A187" s="5">
        <f>IF(Items!A187="","",Items!A187)</f>
        <v/>
      </c>
      <c r="B187" s="5">
        <f>IF($A187="","",IFERROR(XLOOKUP($A187,Items!$A:$A,Items!$E:$E),0))</f>
        <v/>
      </c>
      <c r="C187" s="5">
        <f>IF($A187="","",SUMIFS(Ledger!$F$3:$F$1002,Ledger!$D$3:$D$1002,$A187,Ledger!$C$3:$C$1002,"Issue"))</f>
        <v/>
      </c>
      <c r="D187" s="5">
        <f>IF($A187="","",SUMIFS(Ledger!$F$3:$F$1002,Ledger!$D$3:$D$1002,$A187,Ledger!$C$3:$C$1002,"Return"))</f>
        <v/>
      </c>
      <c r="E187" s="5">
        <f>IF($A187="","",$B187+$D187-$C187)</f>
        <v/>
      </c>
      <c r="F187" s="5">
        <f>IF($A187="","",IFERROR(XLOOKUP($A187,Items!$A:$A,Items!$F:$F),0))</f>
        <v/>
      </c>
      <c r="G187" s="6">
        <f>IF($A187="","",SUMIFS(Ledger!$H$3:$H$1002,Ledger!$D$3:$D$1002,$A187))</f>
        <v/>
      </c>
      <c r="H187" s="5">
        <f>IF($A187="","",IF($E187&lt;$F187,"LOW",IF($E187=0,"EMPTY","OK")))</f>
        <v/>
      </c>
    </row>
    <row r="188">
      <c r="A188" s="5">
        <f>IF(Items!A188="","",Items!A188)</f>
        <v/>
      </c>
      <c r="B188" s="5">
        <f>IF($A188="","",IFERROR(XLOOKUP($A188,Items!$A:$A,Items!$E:$E),0))</f>
        <v/>
      </c>
      <c r="C188" s="5">
        <f>IF($A188="","",SUMIFS(Ledger!$F$3:$F$1002,Ledger!$D$3:$D$1002,$A188,Ledger!$C$3:$C$1002,"Issue"))</f>
        <v/>
      </c>
      <c r="D188" s="5">
        <f>IF($A188="","",SUMIFS(Ledger!$F$3:$F$1002,Ledger!$D$3:$D$1002,$A188,Ledger!$C$3:$C$1002,"Return"))</f>
        <v/>
      </c>
      <c r="E188" s="5">
        <f>IF($A188="","",$B188+$D188-$C188)</f>
        <v/>
      </c>
      <c r="F188" s="5">
        <f>IF($A188="","",IFERROR(XLOOKUP($A188,Items!$A:$A,Items!$F:$F),0))</f>
        <v/>
      </c>
      <c r="G188" s="6">
        <f>IF($A188="","",SUMIFS(Ledger!$H$3:$H$1002,Ledger!$D$3:$D$1002,$A188))</f>
        <v/>
      </c>
      <c r="H188" s="5">
        <f>IF($A188="","",IF($E188&lt;$F188,"LOW",IF($E188=0,"EMPTY","OK")))</f>
        <v/>
      </c>
    </row>
    <row r="189">
      <c r="A189" s="5">
        <f>IF(Items!A189="","",Items!A189)</f>
        <v/>
      </c>
      <c r="B189" s="5">
        <f>IF($A189="","",IFERROR(XLOOKUP($A189,Items!$A:$A,Items!$E:$E),0))</f>
        <v/>
      </c>
      <c r="C189" s="5">
        <f>IF($A189="","",SUMIFS(Ledger!$F$3:$F$1002,Ledger!$D$3:$D$1002,$A189,Ledger!$C$3:$C$1002,"Issue"))</f>
        <v/>
      </c>
      <c r="D189" s="5">
        <f>IF($A189="","",SUMIFS(Ledger!$F$3:$F$1002,Ledger!$D$3:$D$1002,$A189,Ledger!$C$3:$C$1002,"Return"))</f>
        <v/>
      </c>
      <c r="E189" s="5">
        <f>IF($A189="","",$B189+$D189-$C189)</f>
        <v/>
      </c>
      <c r="F189" s="5">
        <f>IF($A189="","",IFERROR(XLOOKUP($A189,Items!$A:$A,Items!$F:$F),0))</f>
        <v/>
      </c>
      <c r="G189" s="6">
        <f>IF($A189="","",SUMIFS(Ledger!$H$3:$H$1002,Ledger!$D$3:$D$1002,$A189))</f>
        <v/>
      </c>
      <c r="H189" s="5">
        <f>IF($A189="","",IF($E189&lt;$F189,"LOW",IF($E189=0,"EMPTY","OK")))</f>
        <v/>
      </c>
    </row>
    <row r="190">
      <c r="A190" s="5">
        <f>IF(Items!A190="","",Items!A190)</f>
        <v/>
      </c>
      <c r="B190" s="5">
        <f>IF($A190="","",IFERROR(XLOOKUP($A190,Items!$A:$A,Items!$E:$E),0))</f>
        <v/>
      </c>
      <c r="C190" s="5">
        <f>IF($A190="","",SUMIFS(Ledger!$F$3:$F$1002,Ledger!$D$3:$D$1002,$A190,Ledger!$C$3:$C$1002,"Issue"))</f>
        <v/>
      </c>
      <c r="D190" s="5">
        <f>IF($A190="","",SUMIFS(Ledger!$F$3:$F$1002,Ledger!$D$3:$D$1002,$A190,Ledger!$C$3:$C$1002,"Return"))</f>
        <v/>
      </c>
      <c r="E190" s="5">
        <f>IF($A190="","",$B190+$D190-$C190)</f>
        <v/>
      </c>
      <c r="F190" s="5">
        <f>IF($A190="","",IFERROR(XLOOKUP($A190,Items!$A:$A,Items!$F:$F),0))</f>
        <v/>
      </c>
      <c r="G190" s="6">
        <f>IF($A190="","",SUMIFS(Ledger!$H$3:$H$1002,Ledger!$D$3:$D$1002,$A190))</f>
        <v/>
      </c>
      <c r="H190" s="5">
        <f>IF($A190="","",IF($E190&lt;$F190,"LOW",IF($E190=0,"EMPTY","OK")))</f>
        <v/>
      </c>
    </row>
    <row r="191">
      <c r="A191" s="5">
        <f>IF(Items!A191="","",Items!A191)</f>
        <v/>
      </c>
      <c r="B191" s="5">
        <f>IF($A191="","",IFERROR(XLOOKUP($A191,Items!$A:$A,Items!$E:$E),0))</f>
        <v/>
      </c>
      <c r="C191" s="5">
        <f>IF($A191="","",SUMIFS(Ledger!$F$3:$F$1002,Ledger!$D$3:$D$1002,$A191,Ledger!$C$3:$C$1002,"Issue"))</f>
        <v/>
      </c>
      <c r="D191" s="5">
        <f>IF($A191="","",SUMIFS(Ledger!$F$3:$F$1002,Ledger!$D$3:$D$1002,$A191,Ledger!$C$3:$C$1002,"Return"))</f>
        <v/>
      </c>
      <c r="E191" s="5">
        <f>IF($A191="","",$B191+$D191-$C191)</f>
        <v/>
      </c>
      <c r="F191" s="5">
        <f>IF($A191="","",IFERROR(XLOOKUP($A191,Items!$A:$A,Items!$F:$F),0))</f>
        <v/>
      </c>
      <c r="G191" s="6">
        <f>IF($A191="","",SUMIFS(Ledger!$H$3:$H$1002,Ledger!$D$3:$D$1002,$A191))</f>
        <v/>
      </c>
      <c r="H191" s="5">
        <f>IF($A191="","",IF($E191&lt;$F191,"LOW",IF($E191=0,"EMPTY","OK")))</f>
        <v/>
      </c>
    </row>
    <row r="192">
      <c r="A192" s="5">
        <f>IF(Items!A192="","",Items!A192)</f>
        <v/>
      </c>
      <c r="B192" s="5">
        <f>IF($A192="","",IFERROR(XLOOKUP($A192,Items!$A:$A,Items!$E:$E),0))</f>
        <v/>
      </c>
      <c r="C192" s="5">
        <f>IF($A192="","",SUMIFS(Ledger!$F$3:$F$1002,Ledger!$D$3:$D$1002,$A192,Ledger!$C$3:$C$1002,"Issue"))</f>
        <v/>
      </c>
      <c r="D192" s="5">
        <f>IF($A192="","",SUMIFS(Ledger!$F$3:$F$1002,Ledger!$D$3:$D$1002,$A192,Ledger!$C$3:$C$1002,"Return"))</f>
        <v/>
      </c>
      <c r="E192" s="5">
        <f>IF($A192="","",$B192+$D192-$C192)</f>
        <v/>
      </c>
      <c r="F192" s="5">
        <f>IF($A192="","",IFERROR(XLOOKUP($A192,Items!$A:$A,Items!$F:$F),0))</f>
        <v/>
      </c>
      <c r="G192" s="6">
        <f>IF($A192="","",SUMIFS(Ledger!$H$3:$H$1002,Ledger!$D$3:$D$1002,$A192))</f>
        <v/>
      </c>
      <c r="H192" s="5">
        <f>IF($A192="","",IF($E192&lt;$F192,"LOW",IF($E192=0,"EMPTY","OK")))</f>
        <v/>
      </c>
    </row>
    <row r="193">
      <c r="A193" s="5">
        <f>IF(Items!A193="","",Items!A193)</f>
        <v/>
      </c>
      <c r="B193" s="5">
        <f>IF($A193="","",IFERROR(XLOOKUP($A193,Items!$A:$A,Items!$E:$E),0))</f>
        <v/>
      </c>
      <c r="C193" s="5">
        <f>IF($A193="","",SUMIFS(Ledger!$F$3:$F$1002,Ledger!$D$3:$D$1002,$A193,Ledger!$C$3:$C$1002,"Issue"))</f>
        <v/>
      </c>
      <c r="D193" s="5">
        <f>IF($A193="","",SUMIFS(Ledger!$F$3:$F$1002,Ledger!$D$3:$D$1002,$A193,Ledger!$C$3:$C$1002,"Return"))</f>
        <v/>
      </c>
      <c r="E193" s="5">
        <f>IF($A193="","",$B193+$D193-$C193)</f>
        <v/>
      </c>
      <c r="F193" s="5">
        <f>IF($A193="","",IFERROR(XLOOKUP($A193,Items!$A:$A,Items!$F:$F),0))</f>
        <v/>
      </c>
      <c r="G193" s="6">
        <f>IF($A193="","",SUMIFS(Ledger!$H$3:$H$1002,Ledger!$D$3:$D$1002,$A193))</f>
        <v/>
      </c>
      <c r="H193" s="5">
        <f>IF($A193="","",IF($E193&lt;$F193,"LOW",IF($E193=0,"EMPTY","OK")))</f>
        <v/>
      </c>
    </row>
    <row r="194">
      <c r="A194" s="5">
        <f>IF(Items!A194="","",Items!A194)</f>
        <v/>
      </c>
      <c r="B194" s="5">
        <f>IF($A194="","",IFERROR(XLOOKUP($A194,Items!$A:$A,Items!$E:$E),0))</f>
        <v/>
      </c>
      <c r="C194" s="5">
        <f>IF($A194="","",SUMIFS(Ledger!$F$3:$F$1002,Ledger!$D$3:$D$1002,$A194,Ledger!$C$3:$C$1002,"Issue"))</f>
        <v/>
      </c>
      <c r="D194" s="5">
        <f>IF($A194="","",SUMIFS(Ledger!$F$3:$F$1002,Ledger!$D$3:$D$1002,$A194,Ledger!$C$3:$C$1002,"Return"))</f>
        <v/>
      </c>
      <c r="E194" s="5">
        <f>IF($A194="","",$B194+$D194-$C194)</f>
        <v/>
      </c>
      <c r="F194" s="5">
        <f>IF($A194="","",IFERROR(XLOOKUP($A194,Items!$A:$A,Items!$F:$F),0))</f>
        <v/>
      </c>
      <c r="G194" s="6">
        <f>IF($A194="","",SUMIFS(Ledger!$H$3:$H$1002,Ledger!$D$3:$D$1002,$A194))</f>
        <v/>
      </c>
      <c r="H194" s="5">
        <f>IF($A194="","",IF($E194&lt;$F194,"LOW",IF($E194=0,"EMPTY","OK")))</f>
        <v/>
      </c>
    </row>
    <row r="195">
      <c r="A195" s="5">
        <f>IF(Items!A195="","",Items!A195)</f>
        <v/>
      </c>
      <c r="B195" s="5">
        <f>IF($A195="","",IFERROR(XLOOKUP($A195,Items!$A:$A,Items!$E:$E),0))</f>
        <v/>
      </c>
      <c r="C195" s="5">
        <f>IF($A195="","",SUMIFS(Ledger!$F$3:$F$1002,Ledger!$D$3:$D$1002,$A195,Ledger!$C$3:$C$1002,"Issue"))</f>
        <v/>
      </c>
      <c r="D195" s="5">
        <f>IF($A195="","",SUMIFS(Ledger!$F$3:$F$1002,Ledger!$D$3:$D$1002,$A195,Ledger!$C$3:$C$1002,"Return"))</f>
        <v/>
      </c>
      <c r="E195" s="5">
        <f>IF($A195="","",$B195+$D195-$C195)</f>
        <v/>
      </c>
      <c r="F195" s="5">
        <f>IF($A195="","",IFERROR(XLOOKUP($A195,Items!$A:$A,Items!$F:$F),0))</f>
        <v/>
      </c>
      <c r="G195" s="6">
        <f>IF($A195="","",SUMIFS(Ledger!$H$3:$H$1002,Ledger!$D$3:$D$1002,$A195))</f>
        <v/>
      </c>
      <c r="H195" s="5">
        <f>IF($A195="","",IF($E195&lt;$F195,"LOW",IF($E195=0,"EMPTY","OK")))</f>
        <v/>
      </c>
    </row>
    <row r="196">
      <c r="A196" s="5">
        <f>IF(Items!A196="","",Items!A196)</f>
        <v/>
      </c>
      <c r="B196" s="5">
        <f>IF($A196="","",IFERROR(XLOOKUP($A196,Items!$A:$A,Items!$E:$E),0))</f>
        <v/>
      </c>
      <c r="C196" s="5">
        <f>IF($A196="","",SUMIFS(Ledger!$F$3:$F$1002,Ledger!$D$3:$D$1002,$A196,Ledger!$C$3:$C$1002,"Issue"))</f>
        <v/>
      </c>
      <c r="D196" s="5">
        <f>IF($A196="","",SUMIFS(Ledger!$F$3:$F$1002,Ledger!$D$3:$D$1002,$A196,Ledger!$C$3:$C$1002,"Return"))</f>
        <v/>
      </c>
      <c r="E196" s="5">
        <f>IF($A196="","",$B196+$D196-$C196)</f>
        <v/>
      </c>
      <c r="F196" s="5">
        <f>IF($A196="","",IFERROR(XLOOKUP($A196,Items!$A:$A,Items!$F:$F),0))</f>
        <v/>
      </c>
      <c r="G196" s="6">
        <f>IF($A196="","",SUMIFS(Ledger!$H$3:$H$1002,Ledger!$D$3:$D$1002,$A196))</f>
        <v/>
      </c>
      <c r="H196" s="5">
        <f>IF($A196="","",IF($E196&lt;$F196,"LOW",IF($E196=0,"EMPTY","OK")))</f>
        <v/>
      </c>
    </row>
    <row r="197">
      <c r="A197" s="5">
        <f>IF(Items!A197="","",Items!A197)</f>
        <v/>
      </c>
      <c r="B197" s="5">
        <f>IF($A197="","",IFERROR(XLOOKUP($A197,Items!$A:$A,Items!$E:$E),0))</f>
        <v/>
      </c>
      <c r="C197" s="5">
        <f>IF($A197="","",SUMIFS(Ledger!$F$3:$F$1002,Ledger!$D$3:$D$1002,$A197,Ledger!$C$3:$C$1002,"Issue"))</f>
        <v/>
      </c>
      <c r="D197" s="5">
        <f>IF($A197="","",SUMIFS(Ledger!$F$3:$F$1002,Ledger!$D$3:$D$1002,$A197,Ledger!$C$3:$C$1002,"Return"))</f>
        <v/>
      </c>
      <c r="E197" s="5">
        <f>IF($A197="","",$B197+$D197-$C197)</f>
        <v/>
      </c>
      <c r="F197" s="5">
        <f>IF($A197="","",IFERROR(XLOOKUP($A197,Items!$A:$A,Items!$F:$F),0))</f>
        <v/>
      </c>
      <c r="G197" s="6">
        <f>IF($A197="","",SUMIFS(Ledger!$H$3:$H$1002,Ledger!$D$3:$D$1002,$A197))</f>
        <v/>
      </c>
      <c r="H197" s="5">
        <f>IF($A197="","",IF($E197&lt;$F197,"LOW",IF($E197=0,"EMPTY","OK")))</f>
        <v/>
      </c>
    </row>
    <row r="198">
      <c r="A198" s="5">
        <f>IF(Items!A198="","",Items!A198)</f>
        <v/>
      </c>
      <c r="B198" s="5">
        <f>IF($A198="","",IFERROR(XLOOKUP($A198,Items!$A:$A,Items!$E:$E),0))</f>
        <v/>
      </c>
      <c r="C198" s="5">
        <f>IF($A198="","",SUMIFS(Ledger!$F$3:$F$1002,Ledger!$D$3:$D$1002,$A198,Ledger!$C$3:$C$1002,"Issue"))</f>
        <v/>
      </c>
      <c r="D198" s="5">
        <f>IF($A198="","",SUMIFS(Ledger!$F$3:$F$1002,Ledger!$D$3:$D$1002,$A198,Ledger!$C$3:$C$1002,"Return"))</f>
        <v/>
      </c>
      <c r="E198" s="5">
        <f>IF($A198="","",$B198+$D198-$C198)</f>
        <v/>
      </c>
      <c r="F198" s="5">
        <f>IF($A198="","",IFERROR(XLOOKUP($A198,Items!$A:$A,Items!$F:$F),0))</f>
        <v/>
      </c>
      <c r="G198" s="6">
        <f>IF($A198="","",SUMIFS(Ledger!$H$3:$H$1002,Ledger!$D$3:$D$1002,$A198))</f>
        <v/>
      </c>
      <c r="H198" s="5">
        <f>IF($A198="","",IF($E198&lt;$F198,"LOW",IF($E198=0,"EMPTY","OK")))</f>
        <v/>
      </c>
    </row>
    <row r="199">
      <c r="A199" s="5">
        <f>IF(Items!A199="","",Items!A199)</f>
        <v/>
      </c>
      <c r="B199" s="5">
        <f>IF($A199="","",IFERROR(XLOOKUP($A199,Items!$A:$A,Items!$E:$E),0))</f>
        <v/>
      </c>
      <c r="C199" s="5">
        <f>IF($A199="","",SUMIFS(Ledger!$F$3:$F$1002,Ledger!$D$3:$D$1002,$A199,Ledger!$C$3:$C$1002,"Issue"))</f>
        <v/>
      </c>
      <c r="D199" s="5">
        <f>IF($A199="","",SUMIFS(Ledger!$F$3:$F$1002,Ledger!$D$3:$D$1002,$A199,Ledger!$C$3:$C$1002,"Return"))</f>
        <v/>
      </c>
      <c r="E199" s="5">
        <f>IF($A199="","",$B199+$D199-$C199)</f>
        <v/>
      </c>
      <c r="F199" s="5">
        <f>IF($A199="","",IFERROR(XLOOKUP($A199,Items!$A:$A,Items!$F:$F),0))</f>
        <v/>
      </c>
      <c r="G199" s="6">
        <f>IF($A199="","",SUMIFS(Ledger!$H$3:$H$1002,Ledger!$D$3:$D$1002,$A199))</f>
        <v/>
      </c>
      <c r="H199" s="5">
        <f>IF($A199="","",IF($E199&lt;$F199,"LOW",IF($E199=0,"EMPTY","OK")))</f>
        <v/>
      </c>
    </row>
    <row r="200">
      <c r="A200" s="5">
        <f>IF(Items!A200="","",Items!A200)</f>
        <v/>
      </c>
      <c r="B200" s="5">
        <f>IF($A200="","",IFERROR(XLOOKUP($A200,Items!$A:$A,Items!$E:$E),0))</f>
        <v/>
      </c>
      <c r="C200" s="5">
        <f>IF($A200="","",SUMIFS(Ledger!$F$3:$F$1002,Ledger!$D$3:$D$1002,$A200,Ledger!$C$3:$C$1002,"Issue"))</f>
        <v/>
      </c>
      <c r="D200" s="5">
        <f>IF($A200="","",SUMIFS(Ledger!$F$3:$F$1002,Ledger!$D$3:$D$1002,$A200,Ledger!$C$3:$C$1002,"Return"))</f>
        <v/>
      </c>
      <c r="E200" s="5">
        <f>IF($A200="","",$B200+$D200-$C200)</f>
        <v/>
      </c>
      <c r="F200" s="5">
        <f>IF($A200="","",IFERROR(XLOOKUP($A200,Items!$A:$A,Items!$F:$F),0))</f>
        <v/>
      </c>
      <c r="G200" s="6">
        <f>IF($A200="","",SUMIFS(Ledger!$H$3:$H$1002,Ledger!$D$3:$D$1002,$A200))</f>
        <v/>
      </c>
      <c r="H200" s="5">
        <f>IF($A200="","",IF($E200&lt;$F200,"LOW",IF($E200=0,"EMPTY","OK")))</f>
        <v/>
      </c>
    </row>
    <row r="201">
      <c r="A201" s="5">
        <f>IF(Items!A201="","",Items!A201)</f>
        <v/>
      </c>
      <c r="B201" s="5">
        <f>IF($A201="","",IFERROR(XLOOKUP($A201,Items!$A:$A,Items!$E:$E),0))</f>
        <v/>
      </c>
      <c r="C201" s="5">
        <f>IF($A201="","",SUMIFS(Ledger!$F$3:$F$1002,Ledger!$D$3:$D$1002,$A201,Ledger!$C$3:$C$1002,"Issue"))</f>
        <v/>
      </c>
      <c r="D201" s="5">
        <f>IF($A201="","",SUMIFS(Ledger!$F$3:$F$1002,Ledger!$D$3:$D$1002,$A201,Ledger!$C$3:$C$1002,"Return"))</f>
        <v/>
      </c>
      <c r="E201" s="5">
        <f>IF($A201="","",$B201+$D201-$C201)</f>
        <v/>
      </c>
      <c r="F201" s="5">
        <f>IF($A201="","",IFERROR(XLOOKUP($A201,Items!$A:$A,Items!$F:$F),0))</f>
        <v/>
      </c>
      <c r="G201" s="6">
        <f>IF($A201="","",SUMIFS(Ledger!$H$3:$H$1002,Ledger!$D$3:$D$1002,$A201))</f>
        <v/>
      </c>
      <c r="H201" s="5">
        <f>IF($A201="","",IF($E201&lt;$F201,"LOW",IF($E201=0,"EMPTY","OK")))</f>
        <v/>
      </c>
    </row>
    <row r="202">
      <c r="A202" s="5">
        <f>IF(Items!A202="","",Items!A202)</f>
        <v/>
      </c>
      <c r="B202" s="5">
        <f>IF($A202="","",IFERROR(XLOOKUP($A202,Items!$A:$A,Items!$E:$E),0))</f>
        <v/>
      </c>
      <c r="C202" s="5">
        <f>IF($A202="","",SUMIFS(Ledger!$F$3:$F$1002,Ledger!$D$3:$D$1002,$A202,Ledger!$C$3:$C$1002,"Issue"))</f>
        <v/>
      </c>
      <c r="D202" s="5">
        <f>IF($A202="","",SUMIFS(Ledger!$F$3:$F$1002,Ledger!$D$3:$D$1002,$A202,Ledger!$C$3:$C$1002,"Return"))</f>
        <v/>
      </c>
      <c r="E202" s="5">
        <f>IF($A202="","",$B202+$D202-$C202)</f>
        <v/>
      </c>
      <c r="F202" s="5">
        <f>IF($A202="","",IFERROR(XLOOKUP($A202,Items!$A:$A,Items!$F:$F),0))</f>
        <v/>
      </c>
      <c r="G202" s="6">
        <f>IF($A202="","",SUMIFS(Ledger!$H$3:$H$1002,Ledger!$D$3:$D$1002,$A202))</f>
        <v/>
      </c>
      <c r="H202" s="5">
        <f>IF($A202="","",IF($E202&lt;$F202,"LOW",IF($E202=0,"EMPTY","OK")))</f>
        <v/>
      </c>
    </row>
  </sheetData>
  <autoFilter ref="A2:H202"/>
  <mergeCells count="1">
    <mergeCell ref="A1:H1"/>
  </mergeCells>
  <conditionalFormatting sqref="E3:E202">
    <cfRule type="expression" priority="1" dxfId="4">
      <formula>AND($A3&lt;&gt;"",$E3&lt;$F3)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6A34A"/>
    <outlinePr summaryBelow="1" summaryRight="1"/>
    <pageSetUpPr fitToPage="1"/>
  </sheetPr>
  <dimension ref="A1:H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2" customWidth="1" min="3" max="3"/>
    <col width="20" customWidth="1" min="4" max="4"/>
    <col width="9" customWidth="1" min="5" max="5"/>
    <col width="12" customWidth="1" min="6" max="6"/>
    <col width="12" customWidth="1" min="7" max="7"/>
    <col width="26" customWidth="1" min="8" max="8"/>
  </cols>
  <sheetData>
    <row r="1" ht="28" customHeight="1">
      <c r="A1" s="8" t="inlineStr">
        <is>
          <t>STATEMENT • ग्राहक बिल • वर ग्राहक निवडा</t>
        </is>
      </c>
    </row>
    <row r="2">
      <c r="A2" s="25" t="inlineStr">
        <is>
          <t>Select Customer:</t>
        </is>
      </c>
      <c r="B2" s="26" t="inlineStr">
        <is>
          <t>Yogesh Caterers</t>
        </is>
      </c>
      <c r="C2" s="27" t="n"/>
      <c r="D2" s="28" t="n"/>
      <c r="F2" s="29">
        <f>SUMIFS(Ledger!$H:$H,Ledger!$B:$B,$B$2)+IFERROR(XLOOKUP($B$2,Customers!$A:$A,Customers!$F:$F),0)</f>
        <v/>
      </c>
      <c r="G2" s="30">
        <f>SUMIFS(Ledger!$I:$I,Ledger!$B:$B,$B$2)</f>
        <v/>
      </c>
      <c r="H2" s="31">
        <f>$F$2-$G$2</f>
        <v/>
      </c>
    </row>
    <row r="3">
      <c r="F3" t="inlineStr">
        <is>
          <t>Total Bill</t>
        </is>
      </c>
      <c r="G3" t="inlineStr">
        <is>
          <t>Received</t>
        </is>
      </c>
      <c r="H3" t="inlineStr">
        <is>
          <t>Pending</t>
        </is>
      </c>
    </row>
    <row r="4" ht="30" customHeight="1">
      <c r="A4" s="25" t="inlineStr">
        <is>
          <t>WhatsApp:</t>
        </is>
      </c>
      <c r="B4" s="32">
        <f>"Namaskar "&amp;$B$2&amp;", DipSeva hisob: Bill Rs"&amp;TEXT($F$2,"#,##0")&amp;", Jama Rs"&amp;TEXT($G$2,"#,##0")&amp;", Baki Rs"&amp;TEXT($H$2,"#,##0")&amp;" - Dhanyavad"</f>
        <v/>
      </c>
    </row>
    <row r="5">
      <c r="A5" s="2" t="inlineStr">
        <is>
          <t>Date</t>
        </is>
      </c>
      <c r="B5" s="2" t="inlineStr">
        <is>
          <t>Type</t>
        </is>
      </c>
      <c r="C5" s="2" t="inlineStr">
        <is>
          <t>Item ID</t>
        </is>
      </c>
      <c r="D5" s="2" t="inlineStr">
        <is>
          <t>Item</t>
        </is>
      </c>
      <c r="E5" s="2" t="inlineStr">
        <is>
          <t>Qty</t>
        </is>
      </c>
      <c r="F5" s="2" t="inlineStr">
        <is>
          <t>Bill</t>
        </is>
      </c>
      <c r="G5" s="2" t="inlineStr">
        <is>
          <t>Paid</t>
        </is>
      </c>
      <c r="H5" s="2" t="inlineStr">
        <is>
          <t>Note</t>
        </is>
      </c>
    </row>
    <row r="6">
      <c r="A6" s="3">
        <f>IFERROR(INDEX(Ledger!$A:$A,AGGREGATE(15,6,ROW(Ledger!$B$3:$B$1002)/(Ledger!$B$3:$B$1002=$B$2),1)),"")</f>
        <v/>
      </c>
      <c r="B6" s="5">
        <f>IF($A6="","",INDEX(Ledger!$C:$C,AGGREGATE(15,6,ROW(Ledger!$B$3:$B$1002)/(Ledger!$B$3:$B$1002=$B$2),1)))</f>
        <v/>
      </c>
      <c r="C6" s="5">
        <f>IF($A6="","",INDEX(Ledger!$D:$D,AGGREGATE(15,6,ROW(Ledger!$B$3:$B$1002)/(Ledger!$B$3:$B$1002=$B$2),1)))</f>
        <v/>
      </c>
      <c r="D6" s="5">
        <f>IF($A6="","",INDEX(Ledger!$E:$E,AGGREGATE(15,6,ROW(Ledger!$B$3:$B$1002)/(Ledger!$B$3:$B$1002=$B$2),1)))</f>
        <v/>
      </c>
      <c r="E6" s="5">
        <f>IF($A6="","",INDEX(Ledger!$F:$F,AGGREGATE(15,6,ROW(Ledger!$B$3:$B$1002)/(Ledger!$B$3:$B$1002=$B$2),1)))</f>
        <v/>
      </c>
      <c r="F6" s="6">
        <f>IF($A6="","",INDEX(Ledger!$H:$H,AGGREGATE(15,6,ROW(Ledger!$B$3:$B$1002)/(Ledger!$B$3:$B$1002=$B$2),1)))</f>
        <v/>
      </c>
      <c r="G6" s="6">
        <f>IF($A6="","",INDEX(Ledger!$I:$I,AGGREGATE(15,6,ROW(Ledger!$B$3:$B$1002)/(Ledger!$B$3:$B$1002=$B$2),1)))</f>
        <v/>
      </c>
      <c r="H6" s="5">
        <f>IF($A6="","",INDEX(Ledger!$K:$K,AGGREGATE(15,6,ROW(Ledger!$B$3:$B$1002)/(Ledger!$B$3:$B$1002=$B$2),1)))</f>
        <v/>
      </c>
    </row>
    <row r="7">
      <c r="A7" s="3">
        <f>IFERROR(INDEX(Ledger!$A:$A,AGGREGATE(15,6,ROW(Ledger!$B$3:$B$1002)/(Ledger!$B$3:$B$1002=$B$2),2)),"")</f>
        <v/>
      </c>
      <c r="B7" s="5">
        <f>IF($A7="","",INDEX(Ledger!$C:$C,AGGREGATE(15,6,ROW(Ledger!$B$3:$B$1002)/(Ledger!$B$3:$B$1002=$B$2),2)))</f>
        <v/>
      </c>
      <c r="C7" s="5">
        <f>IF($A7="","",INDEX(Ledger!$D:$D,AGGREGATE(15,6,ROW(Ledger!$B$3:$B$1002)/(Ledger!$B$3:$B$1002=$B$2),2)))</f>
        <v/>
      </c>
      <c r="D7" s="5">
        <f>IF($A7="","",INDEX(Ledger!$E:$E,AGGREGATE(15,6,ROW(Ledger!$B$3:$B$1002)/(Ledger!$B$3:$B$1002=$B$2),2)))</f>
        <v/>
      </c>
      <c r="E7" s="5">
        <f>IF($A7="","",INDEX(Ledger!$F:$F,AGGREGATE(15,6,ROW(Ledger!$B$3:$B$1002)/(Ledger!$B$3:$B$1002=$B$2),2)))</f>
        <v/>
      </c>
      <c r="F7" s="6">
        <f>IF($A7="","",INDEX(Ledger!$H:$H,AGGREGATE(15,6,ROW(Ledger!$B$3:$B$1002)/(Ledger!$B$3:$B$1002=$B$2),2)))</f>
        <v/>
      </c>
      <c r="G7" s="6">
        <f>IF($A7="","",INDEX(Ledger!$I:$I,AGGREGATE(15,6,ROW(Ledger!$B$3:$B$1002)/(Ledger!$B$3:$B$1002=$B$2),2)))</f>
        <v/>
      </c>
      <c r="H7" s="5">
        <f>IF($A7="","",INDEX(Ledger!$K:$K,AGGREGATE(15,6,ROW(Ledger!$B$3:$B$1002)/(Ledger!$B$3:$B$1002=$B$2),2)))</f>
        <v/>
      </c>
    </row>
    <row r="8">
      <c r="A8" s="3">
        <f>IFERROR(INDEX(Ledger!$A:$A,AGGREGATE(15,6,ROW(Ledger!$B$3:$B$1002)/(Ledger!$B$3:$B$1002=$B$2),3)),"")</f>
        <v/>
      </c>
      <c r="B8" s="5">
        <f>IF($A8="","",INDEX(Ledger!$C:$C,AGGREGATE(15,6,ROW(Ledger!$B$3:$B$1002)/(Ledger!$B$3:$B$1002=$B$2),3)))</f>
        <v/>
      </c>
      <c r="C8" s="5">
        <f>IF($A8="","",INDEX(Ledger!$D:$D,AGGREGATE(15,6,ROW(Ledger!$B$3:$B$1002)/(Ledger!$B$3:$B$1002=$B$2),3)))</f>
        <v/>
      </c>
      <c r="D8" s="5">
        <f>IF($A8="","",INDEX(Ledger!$E:$E,AGGREGATE(15,6,ROW(Ledger!$B$3:$B$1002)/(Ledger!$B$3:$B$1002=$B$2),3)))</f>
        <v/>
      </c>
      <c r="E8" s="5">
        <f>IF($A8="","",INDEX(Ledger!$F:$F,AGGREGATE(15,6,ROW(Ledger!$B$3:$B$1002)/(Ledger!$B$3:$B$1002=$B$2),3)))</f>
        <v/>
      </c>
      <c r="F8" s="6">
        <f>IF($A8="","",INDEX(Ledger!$H:$H,AGGREGATE(15,6,ROW(Ledger!$B$3:$B$1002)/(Ledger!$B$3:$B$1002=$B$2),3)))</f>
        <v/>
      </c>
      <c r="G8" s="6">
        <f>IF($A8="","",INDEX(Ledger!$I:$I,AGGREGATE(15,6,ROW(Ledger!$B$3:$B$1002)/(Ledger!$B$3:$B$1002=$B$2),3)))</f>
        <v/>
      </c>
      <c r="H8" s="5">
        <f>IF($A8="","",INDEX(Ledger!$K:$K,AGGREGATE(15,6,ROW(Ledger!$B$3:$B$1002)/(Ledger!$B$3:$B$1002=$B$2),3)))</f>
        <v/>
      </c>
    </row>
    <row r="9">
      <c r="A9" s="3">
        <f>IFERROR(INDEX(Ledger!$A:$A,AGGREGATE(15,6,ROW(Ledger!$B$3:$B$1002)/(Ledger!$B$3:$B$1002=$B$2),4)),"")</f>
        <v/>
      </c>
      <c r="B9" s="5">
        <f>IF($A9="","",INDEX(Ledger!$C:$C,AGGREGATE(15,6,ROW(Ledger!$B$3:$B$1002)/(Ledger!$B$3:$B$1002=$B$2),4)))</f>
        <v/>
      </c>
      <c r="C9" s="5">
        <f>IF($A9="","",INDEX(Ledger!$D:$D,AGGREGATE(15,6,ROW(Ledger!$B$3:$B$1002)/(Ledger!$B$3:$B$1002=$B$2),4)))</f>
        <v/>
      </c>
      <c r="D9" s="5">
        <f>IF($A9="","",INDEX(Ledger!$E:$E,AGGREGATE(15,6,ROW(Ledger!$B$3:$B$1002)/(Ledger!$B$3:$B$1002=$B$2),4)))</f>
        <v/>
      </c>
      <c r="E9" s="5">
        <f>IF($A9="","",INDEX(Ledger!$F:$F,AGGREGATE(15,6,ROW(Ledger!$B$3:$B$1002)/(Ledger!$B$3:$B$1002=$B$2),4)))</f>
        <v/>
      </c>
      <c r="F9" s="6">
        <f>IF($A9="","",INDEX(Ledger!$H:$H,AGGREGATE(15,6,ROW(Ledger!$B$3:$B$1002)/(Ledger!$B$3:$B$1002=$B$2),4)))</f>
        <v/>
      </c>
      <c r="G9" s="6">
        <f>IF($A9="","",INDEX(Ledger!$I:$I,AGGREGATE(15,6,ROW(Ledger!$B$3:$B$1002)/(Ledger!$B$3:$B$1002=$B$2),4)))</f>
        <v/>
      </c>
      <c r="H9" s="5">
        <f>IF($A9="","",INDEX(Ledger!$K:$K,AGGREGATE(15,6,ROW(Ledger!$B$3:$B$1002)/(Ledger!$B$3:$B$1002=$B$2),4)))</f>
        <v/>
      </c>
    </row>
    <row r="10">
      <c r="A10" s="3">
        <f>IFERROR(INDEX(Ledger!$A:$A,AGGREGATE(15,6,ROW(Ledger!$B$3:$B$1002)/(Ledger!$B$3:$B$1002=$B$2),5)),"")</f>
        <v/>
      </c>
      <c r="B10" s="5">
        <f>IF($A10="","",INDEX(Ledger!$C:$C,AGGREGATE(15,6,ROW(Ledger!$B$3:$B$1002)/(Ledger!$B$3:$B$1002=$B$2),5)))</f>
        <v/>
      </c>
      <c r="C10" s="5">
        <f>IF($A10="","",INDEX(Ledger!$D:$D,AGGREGATE(15,6,ROW(Ledger!$B$3:$B$1002)/(Ledger!$B$3:$B$1002=$B$2),5)))</f>
        <v/>
      </c>
      <c r="D10" s="5">
        <f>IF($A10="","",INDEX(Ledger!$E:$E,AGGREGATE(15,6,ROW(Ledger!$B$3:$B$1002)/(Ledger!$B$3:$B$1002=$B$2),5)))</f>
        <v/>
      </c>
      <c r="E10" s="5">
        <f>IF($A10="","",INDEX(Ledger!$F:$F,AGGREGATE(15,6,ROW(Ledger!$B$3:$B$1002)/(Ledger!$B$3:$B$1002=$B$2),5)))</f>
        <v/>
      </c>
      <c r="F10" s="6">
        <f>IF($A10="","",INDEX(Ledger!$H:$H,AGGREGATE(15,6,ROW(Ledger!$B$3:$B$1002)/(Ledger!$B$3:$B$1002=$B$2),5)))</f>
        <v/>
      </c>
      <c r="G10" s="6">
        <f>IF($A10="","",INDEX(Ledger!$I:$I,AGGREGATE(15,6,ROW(Ledger!$B$3:$B$1002)/(Ledger!$B$3:$B$1002=$B$2),5)))</f>
        <v/>
      </c>
      <c r="H10" s="5">
        <f>IF($A10="","",INDEX(Ledger!$K:$K,AGGREGATE(15,6,ROW(Ledger!$B$3:$B$1002)/(Ledger!$B$3:$B$1002=$B$2),5)))</f>
        <v/>
      </c>
    </row>
    <row r="11">
      <c r="A11" s="3">
        <f>IFERROR(INDEX(Ledger!$A:$A,AGGREGATE(15,6,ROW(Ledger!$B$3:$B$1002)/(Ledger!$B$3:$B$1002=$B$2),6)),"")</f>
        <v/>
      </c>
      <c r="B11" s="5">
        <f>IF($A11="","",INDEX(Ledger!$C:$C,AGGREGATE(15,6,ROW(Ledger!$B$3:$B$1002)/(Ledger!$B$3:$B$1002=$B$2),6)))</f>
        <v/>
      </c>
      <c r="C11" s="5">
        <f>IF($A11="","",INDEX(Ledger!$D:$D,AGGREGATE(15,6,ROW(Ledger!$B$3:$B$1002)/(Ledger!$B$3:$B$1002=$B$2),6)))</f>
        <v/>
      </c>
      <c r="D11" s="5">
        <f>IF($A11="","",INDEX(Ledger!$E:$E,AGGREGATE(15,6,ROW(Ledger!$B$3:$B$1002)/(Ledger!$B$3:$B$1002=$B$2),6)))</f>
        <v/>
      </c>
      <c r="E11" s="5">
        <f>IF($A11="","",INDEX(Ledger!$F:$F,AGGREGATE(15,6,ROW(Ledger!$B$3:$B$1002)/(Ledger!$B$3:$B$1002=$B$2),6)))</f>
        <v/>
      </c>
      <c r="F11" s="6">
        <f>IF($A11="","",INDEX(Ledger!$H:$H,AGGREGATE(15,6,ROW(Ledger!$B$3:$B$1002)/(Ledger!$B$3:$B$1002=$B$2),6)))</f>
        <v/>
      </c>
      <c r="G11" s="6">
        <f>IF($A11="","",INDEX(Ledger!$I:$I,AGGREGATE(15,6,ROW(Ledger!$B$3:$B$1002)/(Ledger!$B$3:$B$1002=$B$2),6)))</f>
        <v/>
      </c>
      <c r="H11" s="5">
        <f>IF($A11="","",INDEX(Ledger!$K:$K,AGGREGATE(15,6,ROW(Ledger!$B$3:$B$1002)/(Ledger!$B$3:$B$1002=$B$2),6)))</f>
        <v/>
      </c>
    </row>
    <row r="12">
      <c r="A12" s="3">
        <f>IFERROR(INDEX(Ledger!$A:$A,AGGREGATE(15,6,ROW(Ledger!$B$3:$B$1002)/(Ledger!$B$3:$B$1002=$B$2),7)),"")</f>
        <v/>
      </c>
      <c r="B12" s="5">
        <f>IF($A12="","",INDEX(Ledger!$C:$C,AGGREGATE(15,6,ROW(Ledger!$B$3:$B$1002)/(Ledger!$B$3:$B$1002=$B$2),7)))</f>
        <v/>
      </c>
      <c r="C12" s="5">
        <f>IF($A12="","",INDEX(Ledger!$D:$D,AGGREGATE(15,6,ROW(Ledger!$B$3:$B$1002)/(Ledger!$B$3:$B$1002=$B$2),7)))</f>
        <v/>
      </c>
      <c r="D12" s="5">
        <f>IF($A12="","",INDEX(Ledger!$E:$E,AGGREGATE(15,6,ROW(Ledger!$B$3:$B$1002)/(Ledger!$B$3:$B$1002=$B$2),7)))</f>
        <v/>
      </c>
      <c r="E12" s="5">
        <f>IF($A12="","",INDEX(Ledger!$F:$F,AGGREGATE(15,6,ROW(Ledger!$B$3:$B$1002)/(Ledger!$B$3:$B$1002=$B$2),7)))</f>
        <v/>
      </c>
      <c r="F12" s="6">
        <f>IF($A12="","",INDEX(Ledger!$H:$H,AGGREGATE(15,6,ROW(Ledger!$B$3:$B$1002)/(Ledger!$B$3:$B$1002=$B$2),7)))</f>
        <v/>
      </c>
      <c r="G12" s="6">
        <f>IF($A12="","",INDEX(Ledger!$I:$I,AGGREGATE(15,6,ROW(Ledger!$B$3:$B$1002)/(Ledger!$B$3:$B$1002=$B$2),7)))</f>
        <v/>
      </c>
      <c r="H12" s="5">
        <f>IF($A12="","",INDEX(Ledger!$K:$K,AGGREGATE(15,6,ROW(Ledger!$B$3:$B$1002)/(Ledger!$B$3:$B$1002=$B$2),7)))</f>
        <v/>
      </c>
    </row>
    <row r="13">
      <c r="A13" s="3">
        <f>IFERROR(INDEX(Ledger!$A:$A,AGGREGATE(15,6,ROW(Ledger!$B$3:$B$1002)/(Ledger!$B$3:$B$1002=$B$2),8)),"")</f>
        <v/>
      </c>
      <c r="B13" s="5">
        <f>IF($A13="","",INDEX(Ledger!$C:$C,AGGREGATE(15,6,ROW(Ledger!$B$3:$B$1002)/(Ledger!$B$3:$B$1002=$B$2),8)))</f>
        <v/>
      </c>
      <c r="C13" s="5">
        <f>IF($A13="","",INDEX(Ledger!$D:$D,AGGREGATE(15,6,ROW(Ledger!$B$3:$B$1002)/(Ledger!$B$3:$B$1002=$B$2),8)))</f>
        <v/>
      </c>
      <c r="D13" s="5">
        <f>IF($A13="","",INDEX(Ledger!$E:$E,AGGREGATE(15,6,ROW(Ledger!$B$3:$B$1002)/(Ledger!$B$3:$B$1002=$B$2),8)))</f>
        <v/>
      </c>
      <c r="E13" s="5">
        <f>IF($A13="","",INDEX(Ledger!$F:$F,AGGREGATE(15,6,ROW(Ledger!$B$3:$B$1002)/(Ledger!$B$3:$B$1002=$B$2),8)))</f>
        <v/>
      </c>
      <c r="F13" s="6">
        <f>IF($A13="","",INDEX(Ledger!$H:$H,AGGREGATE(15,6,ROW(Ledger!$B$3:$B$1002)/(Ledger!$B$3:$B$1002=$B$2),8)))</f>
        <v/>
      </c>
      <c r="G13" s="6">
        <f>IF($A13="","",INDEX(Ledger!$I:$I,AGGREGATE(15,6,ROW(Ledger!$B$3:$B$1002)/(Ledger!$B$3:$B$1002=$B$2),8)))</f>
        <v/>
      </c>
      <c r="H13" s="5">
        <f>IF($A13="","",INDEX(Ledger!$K:$K,AGGREGATE(15,6,ROW(Ledger!$B$3:$B$1002)/(Ledger!$B$3:$B$1002=$B$2),8)))</f>
        <v/>
      </c>
    </row>
    <row r="14">
      <c r="A14" s="3">
        <f>IFERROR(INDEX(Ledger!$A:$A,AGGREGATE(15,6,ROW(Ledger!$B$3:$B$1002)/(Ledger!$B$3:$B$1002=$B$2),9)),"")</f>
        <v/>
      </c>
      <c r="B14" s="5">
        <f>IF($A14="","",INDEX(Ledger!$C:$C,AGGREGATE(15,6,ROW(Ledger!$B$3:$B$1002)/(Ledger!$B$3:$B$1002=$B$2),9)))</f>
        <v/>
      </c>
      <c r="C14" s="5">
        <f>IF($A14="","",INDEX(Ledger!$D:$D,AGGREGATE(15,6,ROW(Ledger!$B$3:$B$1002)/(Ledger!$B$3:$B$1002=$B$2),9)))</f>
        <v/>
      </c>
      <c r="D14" s="5">
        <f>IF($A14="","",INDEX(Ledger!$E:$E,AGGREGATE(15,6,ROW(Ledger!$B$3:$B$1002)/(Ledger!$B$3:$B$1002=$B$2),9)))</f>
        <v/>
      </c>
      <c r="E14" s="5">
        <f>IF($A14="","",INDEX(Ledger!$F:$F,AGGREGATE(15,6,ROW(Ledger!$B$3:$B$1002)/(Ledger!$B$3:$B$1002=$B$2),9)))</f>
        <v/>
      </c>
      <c r="F14" s="6">
        <f>IF($A14="","",INDEX(Ledger!$H:$H,AGGREGATE(15,6,ROW(Ledger!$B$3:$B$1002)/(Ledger!$B$3:$B$1002=$B$2),9)))</f>
        <v/>
      </c>
      <c r="G14" s="6">
        <f>IF($A14="","",INDEX(Ledger!$I:$I,AGGREGATE(15,6,ROW(Ledger!$B$3:$B$1002)/(Ledger!$B$3:$B$1002=$B$2),9)))</f>
        <v/>
      </c>
      <c r="H14" s="5">
        <f>IF($A14="","",INDEX(Ledger!$K:$K,AGGREGATE(15,6,ROW(Ledger!$B$3:$B$1002)/(Ledger!$B$3:$B$1002=$B$2),9)))</f>
        <v/>
      </c>
    </row>
    <row r="15">
      <c r="A15" s="3">
        <f>IFERROR(INDEX(Ledger!$A:$A,AGGREGATE(15,6,ROW(Ledger!$B$3:$B$1002)/(Ledger!$B$3:$B$1002=$B$2),10)),"")</f>
        <v/>
      </c>
      <c r="B15" s="5">
        <f>IF($A15="","",INDEX(Ledger!$C:$C,AGGREGATE(15,6,ROW(Ledger!$B$3:$B$1002)/(Ledger!$B$3:$B$1002=$B$2),10)))</f>
        <v/>
      </c>
      <c r="C15" s="5">
        <f>IF($A15="","",INDEX(Ledger!$D:$D,AGGREGATE(15,6,ROW(Ledger!$B$3:$B$1002)/(Ledger!$B$3:$B$1002=$B$2),10)))</f>
        <v/>
      </c>
      <c r="D15" s="5">
        <f>IF($A15="","",INDEX(Ledger!$E:$E,AGGREGATE(15,6,ROW(Ledger!$B$3:$B$1002)/(Ledger!$B$3:$B$1002=$B$2),10)))</f>
        <v/>
      </c>
      <c r="E15" s="5">
        <f>IF($A15="","",INDEX(Ledger!$F:$F,AGGREGATE(15,6,ROW(Ledger!$B$3:$B$1002)/(Ledger!$B$3:$B$1002=$B$2),10)))</f>
        <v/>
      </c>
      <c r="F15" s="6">
        <f>IF($A15="","",INDEX(Ledger!$H:$H,AGGREGATE(15,6,ROW(Ledger!$B$3:$B$1002)/(Ledger!$B$3:$B$1002=$B$2),10)))</f>
        <v/>
      </c>
      <c r="G15" s="6">
        <f>IF($A15="","",INDEX(Ledger!$I:$I,AGGREGATE(15,6,ROW(Ledger!$B$3:$B$1002)/(Ledger!$B$3:$B$1002=$B$2),10)))</f>
        <v/>
      </c>
      <c r="H15" s="5">
        <f>IF($A15="","",INDEX(Ledger!$K:$K,AGGREGATE(15,6,ROW(Ledger!$B$3:$B$1002)/(Ledger!$B$3:$B$1002=$B$2),10)))</f>
        <v/>
      </c>
    </row>
    <row r="16">
      <c r="A16" s="3">
        <f>IFERROR(INDEX(Ledger!$A:$A,AGGREGATE(15,6,ROW(Ledger!$B$3:$B$1002)/(Ledger!$B$3:$B$1002=$B$2),11)),"")</f>
        <v/>
      </c>
      <c r="B16" s="5">
        <f>IF($A16="","",INDEX(Ledger!$C:$C,AGGREGATE(15,6,ROW(Ledger!$B$3:$B$1002)/(Ledger!$B$3:$B$1002=$B$2),11)))</f>
        <v/>
      </c>
      <c r="C16" s="5">
        <f>IF($A16="","",INDEX(Ledger!$D:$D,AGGREGATE(15,6,ROW(Ledger!$B$3:$B$1002)/(Ledger!$B$3:$B$1002=$B$2),11)))</f>
        <v/>
      </c>
      <c r="D16" s="5">
        <f>IF($A16="","",INDEX(Ledger!$E:$E,AGGREGATE(15,6,ROW(Ledger!$B$3:$B$1002)/(Ledger!$B$3:$B$1002=$B$2),11)))</f>
        <v/>
      </c>
      <c r="E16" s="5">
        <f>IF($A16="","",INDEX(Ledger!$F:$F,AGGREGATE(15,6,ROW(Ledger!$B$3:$B$1002)/(Ledger!$B$3:$B$1002=$B$2),11)))</f>
        <v/>
      </c>
      <c r="F16" s="6">
        <f>IF($A16="","",INDEX(Ledger!$H:$H,AGGREGATE(15,6,ROW(Ledger!$B$3:$B$1002)/(Ledger!$B$3:$B$1002=$B$2),11)))</f>
        <v/>
      </c>
      <c r="G16" s="6">
        <f>IF($A16="","",INDEX(Ledger!$I:$I,AGGREGATE(15,6,ROW(Ledger!$B$3:$B$1002)/(Ledger!$B$3:$B$1002=$B$2),11)))</f>
        <v/>
      </c>
      <c r="H16" s="5">
        <f>IF($A16="","",INDEX(Ledger!$K:$K,AGGREGATE(15,6,ROW(Ledger!$B$3:$B$1002)/(Ledger!$B$3:$B$1002=$B$2),11)))</f>
        <v/>
      </c>
    </row>
    <row r="17">
      <c r="A17" s="3">
        <f>IFERROR(INDEX(Ledger!$A:$A,AGGREGATE(15,6,ROW(Ledger!$B$3:$B$1002)/(Ledger!$B$3:$B$1002=$B$2),12)),"")</f>
        <v/>
      </c>
      <c r="B17" s="5">
        <f>IF($A17="","",INDEX(Ledger!$C:$C,AGGREGATE(15,6,ROW(Ledger!$B$3:$B$1002)/(Ledger!$B$3:$B$1002=$B$2),12)))</f>
        <v/>
      </c>
      <c r="C17" s="5">
        <f>IF($A17="","",INDEX(Ledger!$D:$D,AGGREGATE(15,6,ROW(Ledger!$B$3:$B$1002)/(Ledger!$B$3:$B$1002=$B$2),12)))</f>
        <v/>
      </c>
      <c r="D17" s="5">
        <f>IF($A17="","",INDEX(Ledger!$E:$E,AGGREGATE(15,6,ROW(Ledger!$B$3:$B$1002)/(Ledger!$B$3:$B$1002=$B$2),12)))</f>
        <v/>
      </c>
      <c r="E17" s="5">
        <f>IF($A17="","",INDEX(Ledger!$F:$F,AGGREGATE(15,6,ROW(Ledger!$B$3:$B$1002)/(Ledger!$B$3:$B$1002=$B$2),12)))</f>
        <v/>
      </c>
      <c r="F17" s="6">
        <f>IF($A17="","",INDEX(Ledger!$H:$H,AGGREGATE(15,6,ROW(Ledger!$B$3:$B$1002)/(Ledger!$B$3:$B$1002=$B$2),12)))</f>
        <v/>
      </c>
      <c r="G17" s="6">
        <f>IF($A17="","",INDEX(Ledger!$I:$I,AGGREGATE(15,6,ROW(Ledger!$B$3:$B$1002)/(Ledger!$B$3:$B$1002=$B$2),12)))</f>
        <v/>
      </c>
      <c r="H17" s="5">
        <f>IF($A17="","",INDEX(Ledger!$K:$K,AGGREGATE(15,6,ROW(Ledger!$B$3:$B$1002)/(Ledger!$B$3:$B$1002=$B$2),12)))</f>
        <v/>
      </c>
    </row>
    <row r="18">
      <c r="A18" s="3">
        <f>IFERROR(INDEX(Ledger!$A:$A,AGGREGATE(15,6,ROW(Ledger!$B$3:$B$1002)/(Ledger!$B$3:$B$1002=$B$2),13)),"")</f>
        <v/>
      </c>
      <c r="B18" s="5">
        <f>IF($A18="","",INDEX(Ledger!$C:$C,AGGREGATE(15,6,ROW(Ledger!$B$3:$B$1002)/(Ledger!$B$3:$B$1002=$B$2),13)))</f>
        <v/>
      </c>
      <c r="C18" s="5">
        <f>IF($A18="","",INDEX(Ledger!$D:$D,AGGREGATE(15,6,ROW(Ledger!$B$3:$B$1002)/(Ledger!$B$3:$B$1002=$B$2),13)))</f>
        <v/>
      </c>
      <c r="D18" s="5">
        <f>IF($A18="","",INDEX(Ledger!$E:$E,AGGREGATE(15,6,ROW(Ledger!$B$3:$B$1002)/(Ledger!$B$3:$B$1002=$B$2),13)))</f>
        <v/>
      </c>
      <c r="E18" s="5">
        <f>IF($A18="","",INDEX(Ledger!$F:$F,AGGREGATE(15,6,ROW(Ledger!$B$3:$B$1002)/(Ledger!$B$3:$B$1002=$B$2),13)))</f>
        <v/>
      </c>
      <c r="F18" s="6">
        <f>IF($A18="","",INDEX(Ledger!$H:$H,AGGREGATE(15,6,ROW(Ledger!$B$3:$B$1002)/(Ledger!$B$3:$B$1002=$B$2),13)))</f>
        <v/>
      </c>
      <c r="G18" s="6">
        <f>IF($A18="","",INDEX(Ledger!$I:$I,AGGREGATE(15,6,ROW(Ledger!$B$3:$B$1002)/(Ledger!$B$3:$B$1002=$B$2),13)))</f>
        <v/>
      </c>
      <c r="H18" s="5">
        <f>IF($A18="","",INDEX(Ledger!$K:$K,AGGREGATE(15,6,ROW(Ledger!$B$3:$B$1002)/(Ledger!$B$3:$B$1002=$B$2),13)))</f>
        <v/>
      </c>
    </row>
    <row r="19">
      <c r="A19" s="3">
        <f>IFERROR(INDEX(Ledger!$A:$A,AGGREGATE(15,6,ROW(Ledger!$B$3:$B$1002)/(Ledger!$B$3:$B$1002=$B$2),14)),"")</f>
        <v/>
      </c>
      <c r="B19" s="5">
        <f>IF($A19="","",INDEX(Ledger!$C:$C,AGGREGATE(15,6,ROW(Ledger!$B$3:$B$1002)/(Ledger!$B$3:$B$1002=$B$2),14)))</f>
        <v/>
      </c>
      <c r="C19" s="5">
        <f>IF($A19="","",INDEX(Ledger!$D:$D,AGGREGATE(15,6,ROW(Ledger!$B$3:$B$1002)/(Ledger!$B$3:$B$1002=$B$2),14)))</f>
        <v/>
      </c>
      <c r="D19" s="5">
        <f>IF($A19="","",INDEX(Ledger!$E:$E,AGGREGATE(15,6,ROW(Ledger!$B$3:$B$1002)/(Ledger!$B$3:$B$1002=$B$2),14)))</f>
        <v/>
      </c>
      <c r="E19" s="5">
        <f>IF($A19="","",INDEX(Ledger!$F:$F,AGGREGATE(15,6,ROW(Ledger!$B$3:$B$1002)/(Ledger!$B$3:$B$1002=$B$2),14)))</f>
        <v/>
      </c>
      <c r="F19" s="6">
        <f>IF($A19="","",INDEX(Ledger!$H:$H,AGGREGATE(15,6,ROW(Ledger!$B$3:$B$1002)/(Ledger!$B$3:$B$1002=$B$2),14)))</f>
        <v/>
      </c>
      <c r="G19" s="6">
        <f>IF($A19="","",INDEX(Ledger!$I:$I,AGGREGATE(15,6,ROW(Ledger!$B$3:$B$1002)/(Ledger!$B$3:$B$1002=$B$2),14)))</f>
        <v/>
      </c>
      <c r="H19" s="5">
        <f>IF($A19="","",INDEX(Ledger!$K:$K,AGGREGATE(15,6,ROW(Ledger!$B$3:$B$1002)/(Ledger!$B$3:$B$1002=$B$2),14)))</f>
        <v/>
      </c>
    </row>
    <row r="20">
      <c r="A20" s="3">
        <f>IFERROR(INDEX(Ledger!$A:$A,AGGREGATE(15,6,ROW(Ledger!$B$3:$B$1002)/(Ledger!$B$3:$B$1002=$B$2),15)),"")</f>
        <v/>
      </c>
      <c r="B20" s="5">
        <f>IF($A20="","",INDEX(Ledger!$C:$C,AGGREGATE(15,6,ROW(Ledger!$B$3:$B$1002)/(Ledger!$B$3:$B$1002=$B$2),15)))</f>
        <v/>
      </c>
      <c r="C20" s="5">
        <f>IF($A20="","",INDEX(Ledger!$D:$D,AGGREGATE(15,6,ROW(Ledger!$B$3:$B$1002)/(Ledger!$B$3:$B$1002=$B$2),15)))</f>
        <v/>
      </c>
      <c r="D20" s="5">
        <f>IF($A20="","",INDEX(Ledger!$E:$E,AGGREGATE(15,6,ROW(Ledger!$B$3:$B$1002)/(Ledger!$B$3:$B$1002=$B$2),15)))</f>
        <v/>
      </c>
      <c r="E20" s="5">
        <f>IF($A20="","",INDEX(Ledger!$F:$F,AGGREGATE(15,6,ROW(Ledger!$B$3:$B$1002)/(Ledger!$B$3:$B$1002=$B$2),15)))</f>
        <v/>
      </c>
      <c r="F20" s="6">
        <f>IF($A20="","",INDEX(Ledger!$H:$H,AGGREGATE(15,6,ROW(Ledger!$B$3:$B$1002)/(Ledger!$B$3:$B$1002=$B$2),15)))</f>
        <v/>
      </c>
      <c r="G20" s="6">
        <f>IF($A20="","",INDEX(Ledger!$I:$I,AGGREGATE(15,6,ROW(Ledger!$B$3:$B$1002)/(Ledger!$B$3:$B$1002=$B$2),15)))</f>
        <v/>
      </c>
      <c r="H20" s="5">
        <f>IF($A20="","",INDEX(Ledger!$K:$K,AGGREGATE(15,6,ROW(Ledger!$B$3:$B$1002)/(Ledger!$B$3:$B$1002=$B$2),15)))</f>
        <v/>
      </c>
    </row>
    <row r="21">
      <c r="A21" s="3">
        <f>IFERROR(INDEX(Ledger!$A:$A,AGGREGATE(15,6,ROW(Ledger!$B$3:$B$1002)/(Ledger!$B$3:$B$1002=$B$2),16)),"")</f>
        <v/>
      </c>
      <c r="B21" s="5">
        <f>IF($A21="","",INDEX(Ledger!$C:$C,AGGREGATE(15,6,ROW(Ledger!$B$3:$B$1002)/(Ledger!$B$3:$B$1002=$B$2),16)))</f>
        <v/>
      </c>
      <c r="C21" s="5">
        <f>IF($A21="","",INDEX(Ledger!$D:$D,AGGREGATE(15,6,ROW(Ledger!$B$3:$B$1002)/(Ledger!$B$3:$B$1002=$B$2),16)))</f>
        <v/>
      </c>
      <c r="D21" s="5">
        <f>IF($A21="","",INDEX(Ledger!$E:$E,AGGREGATE(15,6,ROW(Ledger!$B$3:$B$1002)/(Ledger!$B$3:$B$1002=$B$2),16)))</f>
        <v/>
      </c>
      <c r="E21" s="5">
        <f>IF($A21="","",INDEX(Ledger!$F:$F,AGGREGATE(15,6,ROW(Ledger!$B$3:$B$1002)/(Ledger!$B$3:$B$1002=$B$2),16)))</f>
        <v/>
      </c>
      <c r="F21" s="6">
        <f>IF($A21="","",INDEX(Ledger!$H:$H,AGGREGATE(15,6,ROW(Ledger!$B$3:$B$1002)/(Ledger!$B$3:$B$1002=$B$2),16)))</f>
        <v/>
      </c>
      <c r="G21" s="6">
        <f>IF($A21="","",INDEX(Ledger!$I:$I,AGGREGATE(15,6,ROW(Ledger!$B$3:$B$1002)/(Ledger!$B$3:$B$1002=$B$2),16)))</f>
        <v/>
      </c>
      <c r="H21" s="5">
        <f>IF($A21="","",INDEX(Ledger!$K:$K,AGGREGATE(15,6,ROW(Ledger!$B$3:$B$1002)/(Ledger!$B$3:$B$1002=$B$2),16)))</f>
        <v/>
      </c>
    </row>
    <row r="22">
      <c r="A22" s="3">
        <f>IFERROR(INDEX(Ledger!$A:$A,AGGREGATE(15,6,ROW(Ledger!$B$3:$B$1002)/(Ledger!$B$3:$B$1002=$B$2),17)),"")</f>
        <v/>
      </c>
      <c r="B22" s="5">
        <f>IF($A22="","",INDEX(Ledger!$C:$C,AGGREGATE(15,6,ROW(Ledger!$B$3:$B$1002)/(Ledger!$B$3:$B$1002=$B$2),17)))</f>
        <v/>
      </c>
      <c r="C22" s="5">
        <f>IF($A22="","",INDEX(Ledger!$D:$D,AGGREGATE(15,6,ROW(Ledger!$B$3:$B$1002)/(Ledger!$B$3:$B$1002=$B$2),17)))</f>
        <v/>
      </c>
      <c r="D22" s="5">
        <f>IF($A22="","",INDEX(Ledger!$E:$E,AGGREGATE(15,6,ROW(Ledger!$B$3:$B$1002)/(Ledger!$B$3:$B$1002=$B$2),17)))</f>
        <v/>
      </c>
      <c r="E22" s="5">
        <f>IF($A22="","",INDEX(Ledger!$F:$F,AGGREGATE(15,6,ROW(Ledger!$B$3:$B$1002)/(Ledger!$B$3:$B$1002=$B$2),17)))</f>
        <v/>
      </c>
      <c r="F22" s="6">
        <f>IF($A22="","",INDEX(Ledger!$H:$H,AGGREGATE(15,6,ROW(Ledger!$B$3:$B$1002)/(Ledger!$B$3:$B$1002=$B$2),17)))</f>
        <v/>
      </c>
      <c r="G22" s="6">
        <f>IF($A22="","",INDEX(Ledger!$I:$I,AGGREGATE(15,6,ROW(Ledger!$B$3:$B$1002)/(Ledger!$B$3:$B$1002=$B$2),17)))</f>
        <v/>
      </c>
      <c r="H22" s="5">
        <f>IF($A22="","",INDEX(Ledger!$K:$K,AGGREGATE(15,6,ROW(Ledger!$B$3:$B$1002)/(Ledger!$B$3:$B$1002=$B$2),17)))</f>
        <v/>
      </c>
    </row>
    <row r="23">
      <c r="A23" s="3">
        <f>IFERROR(INDEX(Ledger!$A:$A,AGGREGATE(15,6,ROW(Ledger!$B$3:$B$1002)/(Ledger!$B$3:$B$1002=$B$2),18)),"")</f>
        <v/>
      </c>
      <c r="B23" s="5">
        <f>IF($A23="","",INDEX(Ledger!$C:$C,AGGREGATE(15,6,ROW(Ledger!$B$3:$B$1002)/(Ledger!$B$3:$B$1002=$B$2),18)))</f>
        <v/>
      </c>
      <c r="C23" s="5">
        <f>IF($A23="","",INDEX(Ledger!$D:$D,AGGREGATE(15,6,ROW(Ledger!$B$3:$B$1002)/(Ledger!$B$3:$B$1002=$B$2),18)))</f>
        <v/>
      </c>
      <c r="D23" s="5">
        <f>IF($A23="","",INDEX(Ledger!$E:$E,AGGREGATE(15,6,ROW(Ledger!$B$3:$B$1002)/(Ledger!$B$3:$B$1002=$B$2),18)))</f>
        <v/>
      </c>
      <c r="E23" s="5">
        <f>IF($A23="","",INDEX(Ledger!$F:$F,AGGREGATE(15,6,ROW(Ledger!$B$3:$B$1002)/(Ledger!$B$3:$B$1002=$B$2),18)))</f>
        <v/>
      </c>
      <c r="F23" s="6">
        <f>IF($A23="","",INDEX(Ledger!$H:$H,AGGREGATE(15,6,ROW(Ledger!$B$3:$B$1002)/(Ledger!$B$3:$B$1002=$B$2),18)))</f>
        <v/>
      </c>
      <c r="G23" s="6">
        <f>IF($A23="","",INDEX(Ledger!$I:$I,AGGREGATE(15,6,ROW(Ledger!$B$3:$B$1002)/(Ledger!$B$3:$B$1002=$B$2),18)))</f>
        <v/>
      </c>
      <c r="H23" s="5">
        <f>IF($A23="","",INDEX(Ledger!$K:$K,AGGREGATE(15,6,ROW(Ledger!$B$3:$B$1002)/(Ledger!$B$3:$B$1002=$B$2),18)))</f>
        <v/>
      </c>
    </row>
    <row r="24">
      <c r="A24" s="3">
        <f>IFERROR(INDEX(Ledger!$A:$A,AGGREGATE(15,6,ROW(Ledger!$B$3:$B$1002)/(Ledger!$B$3:$B$1002=$B$2),19)),"")</f>
        <v/>
      </c>
      <c r="B24" s="5">
        <f>IF($A24="","",INDEX(Ledger!$C:$C,AGGREGATE(15,6,ROW(Ledger!$B$3:$B$1002)/(Ledger!$B$3:$B$1002=$B$2),19)))</f>
        <v/>
      </c>
      <c r="C24" s="5">
        <f>IF($A24="","",INDEX(Ledger!$D:$D,AGGREGATE(15,6,ROW(Ledger!$B$3:$B$1002)/(Ledger!$B$3:$B$1002=$B$2),19)))</f>
        <v/>
      </c>
      <c r="D24" s="5">
        <f>IF($A24="","",INDEX(Ledger!$E:$E,AGGREGATE(15,6,ROW(Ledger!$B$3:$B$1002)/(Ledger!$B$3:$B$1002=$B$2),19)))</f>
        <v/>
      </c>
      <c r="E24" s="5">
        <f>IF($A24="","",INDEX(Ledger!$F:$F,AGGREGATE(15,6,ROW(Ledger!$B$3:$B$1002)/(Ledger!$B$3:$B$1002=$B$2),19)))</f>
        <v/>
      </c>
      <c r="F24" s="6">
        <f>IF($A24="","",INDEX(Ledger!$H:$H,AGGREGATE(15,6,ROW(Ledger!$B$3:$B$1002)/(Ledger!$B$3:$B$1002=$B$2),19)))</f>
        <v/>
      </c>
      <c r="G24" s="6">
        <f>IF($A24="","",INDEX(Ledger!$I:$I,AGGREGATE(15,6,ROW(Ledger!$B$3:$B$1002)/(Ledger!$B$3:$B$1002=$B$2),19)))</f>
        <v/>
      </c>
      <c r="H24" s="5">
        <f>IF($A24="","",INDEX(Ledger!$K:$K,AGGREGATE(15,6,ROW(Ledger!$B$3:$B$1002)/(Ledger!$B$3:$B$1002=$B$2),19)))</f>
        <v/>
      </c>
    </row>
    <row r="25">
      <c r="A25" s="3">
        <f>IFERROR(INDEX(Ledger!$A:$A,AGGREGATE(15,6,ROW(Ledger!$B$3:$B$1002)/(Ledger!$B$3:$B$1002=$B$2),20)),"")</f>
        <v/>
      </c>
      <c r="B25" s="5">
        <f>IF($A25="","",INDEX(Ledger!$C:$C,AGGREGATE(15,6,ROW(Ledger!$B$3:$B$1002)/(Ledger!$B$3:$B$1002=$B$2),20)))</f>
        <v/>
      </c>
      <c r="C25" s="5">
        <f>IF($A25="","",INDEX(Ledger!$D:$D,AGGREGATE(15,6,ROW(Ledger!$B$3:$B$1002)/(Ledger!$B$3:$B$1002=$B$2),20)))</f>
        <v/>
      </c>
      <c r="D25" s="5">
        <f>IF($A25="","",INDEX(Ledger!$E:$E,AGGREGATE(15,6,ROW(Ledger!$B$3:$B$1002)/(Ledger!$B$3:$B$1002=$B$2),20)))</f>
        <v/>
      </c>
      <c r="E25" s="5">
        <f>IF($A25="","",INDEX(Ledger!$F:$F,AGGREGATE(15,6,ROW(Ledger!$B$3:$B$1002)/(Ledger!$B$3:$B$1002=$B$2),20)))</f>
        <v/>
      </c>
      <c r="F25" s="6">
        <f>IF($A25="","",INDEX(Ledger!$H:$H,AGGREGATE(15,6,ROW(Ledger!$B$3:$B$1002)/(Ledger!$B$3:$B$1002=$B$2),20)))</f>
        <v/>
      </c>
      <c r="G25" s="6">
        <f>IF($A25="","",INDEX(Ledger!$I:$I,AGGREGATE(15,6,ROW(Ledger!$B$3:$B$1002)/(Ledger!$B$3:$B$1002=$B$2),20)))</f>
        <v/>
      </c>
      <c r="H25" s="5">
        <f>IF($A25="","",INDEX(Ledger!$K:$K,AGGREGATE(15,6,ROW(Ledger!$B$3:$B$1002)/(Ledger!$B$3:$B$1002=$B$2),20)))</f>
        <v/>
      </c>
    </row>
    <row r="26">
      <c r="A26" s="3">
        <f>IFERROR(INDEX(Ledger!$A:$A,AGGREGATE(15,6,ROW(Ledger!$B$3:$B$1002)/(Ledger!$B$3:$B$1002=$B$2),21)),"")</f>
        <v/>
      </c>
      <c r="B26" s="5">
        <f>IF($A26="","",INDEX(Ledger!$C:$C,AGGREGATE(15,6,ROW(Ledger!$B$3:$B$1002)/(Ledger!$B$3:$B$1002=$B$2),21)))</f>
        <v/>
      </c>
      <c r="C26" s="5">
        <f>IF($A26="","",INDEX(Ledger!$D:$D,AGGREGATE(15,6,ROW(Ledger!$B$3:$B$1002)/(Ledger!$B$3:$B$1002=$B$2),21)))</f>
        <v/>
      </c>
      <c r="D26" s="5">
        <f>IF($A26="","",INDEX(Ledger!$E:$E,AGGREGATE(15,6,ROW(Ledger!$B$3:$B$1002)/(Ledger!$B$3:$B$1002=$B$2),21)))</f>
        <v/>
      </c>
      <c r="E26" s="5">
        <f>IF($A26="","",INDEX(Ledger!$F:$F,AGGREGATE(15,6,ROW(Ledger!$B$3:$B$1002)/(Ledger!$B$3:$B$1002=$B$2),21)))</f>
        <v/>
      </c>
      <c r="F26" s="6">
        <f>IF($A26="","",INDEX(Ledger!$H:$H,AGGREGATE(15,6,ROW(Ledger!$B$3:$B$1002)/(Ledger!$B$3:$B$1002=$B$2),21)))</f>
        <v/>
      </c>
      <c r="G26" s="6">
        <f>IF($A26="","",INDEX(Ledger!$I:$I,AGGREGATE(15,6,ROW(Ledger!$B$3:$B$1002)/(Ledger!$B$3:$B$1002=$B$2),21)))</f>
        <v/>
      </c>
      <c r="H26" s="5">
        <f>IF($A26="","",INDEX(Ledger!$K:$K,AGGREGATE(15,6,ROW(Ledger!$B$3:$B$1002)/(Ledger!$B$3:$B$1002=$B$2),21)))</f>
        <v/>
      </c>
    </row>
    <row r="27">
      <c r="A27" s="3">
        <f>IFERROR(INDEX(Ledger!$A:$A,AGGREGATE(15,6,ROW(Ledger!$B$3:$B$1002)/(Ledger!$B$3:$B$1002=$B$2),22)),"")</f>
        <v/>
      </c>
      <c r="B27" s="5">
        <f>IF($A27="","",INDEX(Ledger!$C:$C,AGGREGATE(15,6,ROW(Ledger!$B$3:$B$1002)/(Ledger!$B$3:$B$1002=$B$2),22)))</f>
        <v/>
      </c>
      <c r="C27" s="5">
        <f>IF($A27="","",INDEX(Ledger!$D:$D,AGGREGATE(15,6,ROW(Ledger!$B$3:$B$1002)/(Ledger!$B$3:$B$1002=$B$2),22)))</f>
        <v/>
      </c>
      <c r="D27" s="5">
        <f>IF($A27="","",INDEX(Ledger!$E:$E,AGGREGATE(15,6,ROW(Ledger!$B$3:$B$1002)/(Ledger!$B$3:$B$1002=$B$2),22)))</f>
        <v/>
      </c>
      <c r="E27" s="5">
        <f>IF($A27="","",INDEX(Ledger!$F:$F,AGGREGATE(15,6,ROW(Ledger!$B$3:$B$1002)/(Ledger!$B$3:$B$1002=$B$2),22)))</f>
        <v/>
      </c>
      <c r="F27" s="6">
        <f>IF($A27="","",INDEX(Ledger!$H:$H,AGGREGATE(15,6,ROW(Ledger!$B$3:$B$1002)/(Ledger!$B$3:$B$1002=$B$2),22)))</f>
        <v/>
      </c>
      <c r="G27" s="6">
        <f>IF($A27="","",INDEX(Ledger!$I:$I,AGGREGATE(15,6,ROW(Ledger!$B$3:$B$1002)/(Ledger!$B$3:$B$1002=$B$2),22)))</f>
        <v/>
      </c>
      <c r="H27" s="5">
        <f>IF($A27="","",INDEX(Ledger!$K:$K,AGGREGATE(15,6,ROW(Ledger!$B$3:$B$1002)/(Ledger!$B$3:$B$1002=$B$2),22)))</f>
        <v/>
      </c>
    </row>
    <row r="28">
      <c r="A28" s="3">
        <f>IFERROR(INDEX(Ledger!$A:$A,AGGREGATE(15,6,ROW(Ledger!$B$3:$B$1002)/(Ledger!$B$3:$B$1002=$B$2),23)),"")</f>
        <v/>
      </c>
      <c r="B28" s="5">
        <f>IF($A28="","",INDEX(Ledger!$C:$C,AGGREGATE(15,6,ROW(Ledger!$B$3:$B$1002)/(Ledger!$B$3:$B$1002=$B$2),23)))</f>
        <v/>
      </c>
      <c r="C28" s="5">
        <f>IF($A28="","",INDEX(Ledger!$D:$D,AGGREGATE(15,6,ROW(Ledger!$B$3:$B$1002)/(Ledger!$B$3:$B$1002=$B$2),23)))</f>
        <v/>
      </c>
      <c r="D28" s="5">
        <f>IF($A28="","",INDEX(Ledger!$E:$E,AGGREGATE(15,6,ROW(Ledger!$B$3:$B$1002)/(Ledger!$B$3:$B$1002=$B$2),23)))</f>
        <v/>
      </c>
      <c r="E28" s="5">
        <f>IF($A28="","",INDEX(Ledger!$F:$F,AGGREGATE(15,6,ROW(Ledger!$B$3:$B$1002)/(Ledger!$B$3:$B$1002=$B$2),23)))</f>
        <v/>
      </c>
      <c r="F28" s="6">
        <f>IF($A28="","",INDEX(Ledger!$H:$H,AGGREGATE(15,6,ROW(Ledger!$B$3:$B$1002)/(Ledger!$B$3:$B$1002=$B$2),23)))</f>
        <v/>
      </c>
      <c r="G28" s="6">
        <f>IF($A28="","",INDEX(Ledger!$I:$I,AGGREGATE(15,6,ROW(Ledger!$B$3:$B$1002)/(Ledger!$B$3:$B$1002=$B$2),23)))</f>
        <v/>
      </c>
      <c r="H28" s="5">
        <f>IF($A28="","",INDEX(Ledger!$K:$K,AGGREGATE(15,6,ROW(Ledger!$B$3:$B$1002)/(Ledger!$B$3:$B$1002=$B$2),23)))</f>
        <v/>
      </c>
    </row>
    <row r="29">
      <c r="A29" s="3">
        <f>IFERROR(INDEX(Ledger!$A:$A,AGGREGATE(15,6,ROW(Ledger!$B$3:$B$1002)/(Ledger!$B$3:$B$1002=$B$2),24)),"")</f>
        <v/>
      </c>
      <c r="B29" s="5">
        <f>IF($A29="","",INDEX(Ledger!$C:$C,AGGREGATE(15,6,ROW(Ledger!$B$3:$B$1002)/(Ledger!$B$3:$B$1002=$B$2),24)))</f>
        <v/>
      </c>
      <c r="C29" s="5">
        <f>IF($A29="","",INDEX(Ledger!$D:$D,AGGREGATE(15,6,ROW(Ledger!$B$3:$B$1002)/(Ledger!$B$3:$B$1002=$B$2),24)))</f>
        <v/>
      </c>
      <c r="D29" s="5">
        <f>IF($A29="","",INDEX(Ledger!$E:$E,AGGREGATE(15,6,ROW(Ledger!$B$3:$B$1002)/(Ledger!$B$3:$B$1002=$B$2),24)))</f>
        <v/>
      </c>
      <c r="E29" s="5">
        <f>IF($A29="","",INDEX(Ledger!$F:$F,AGGREGATE(15,6,ROW(Ledger!$B$3:$B$1002)/(Ledger!$B$3:$B$1002=$B$2),24)))</f>
        <v/>
      </c>
      <c r="F29" s="6">
        <f>IF($A29="","",INDEX(Ledger!$H:$H,AGGREGATE(15,6,ROW(Ledger!$B$3:$B$1002)/(Ledger!$B$3:$B$1002=$B$2),24)))</f>
        <v/>
      </c>
      <c r="G29" s="6">
        <f>IF($A29="","",INDEX(Ledger!$I:$I,AGGREGATE(15,6,ROW(Ledger!$B$3:$B$1002)/(Ledger!$B$3:$B$1002=$B$2),24)))</f>
        <v/>
      </c>
      <c r="H29" s="5">
        <f>IF($A29="","",INDEX(Ledger!$K:$K,AGGREGATE(15,6,ROW(Ledger!$B$3:$B$1002)/(Ledger!$B$3:$B$1002=$B$2),24)))</f>
        <v/>
      </c>
    </row>
    <row r="30">
      <c r="A30" s="3">
        <f>IFERROR(INDEX(Ledger!$A:$A,AGGREGATE(15,6,ROW(Ledger!$B$3:$B$1002)/(Ledger!$B$3:$B$1002=$B$2),25)),"")</f>
        <v/>
      </c>
      <c r="B30" s="5">
        <f>IF($A30="","",INDEX(Ledger!$C:$C,AGGREGATE(15,6,ROW(Ledger!$B$3:$B$1002)/(Ledger!$B$3:$B$1002=$B$2),25)))</f>
        <v/>
      </c>
      <c r="C30" s="5">
        <f>IF($A30="","",INDEX(Ledger!$D:$D,AGGREGATE(15,6,ROW(Ledger!$B$3:$B$1002)/(Ledger!$B$3:$B$1002=$B$2),25)))</f>
        <v/>
      </c>
      <c r="D30" s="5">
        <f>IF($A30="","",INDEX(Ledger!$E:$E,AGGREGATE(15,6,ROW(Ledger!$B$3:$B$1002)/(Ledger!$B$3:$B$1002=$B$2),25)))</f>
        <v/>
      </c>
      <c r="E30" s="5">
        <f>IF($A30="","",INDEX(Ledger!$F:$F,AGGREGATE(15,6,ROW(Ledger!$B$3:$B$1002)/(Ledger!$B$3:$B$1002=$B$2),25)))</f>
        <v/>
      </c>
      <c r="F30" s="6">
        <f>IF($A30="","",INDEX(Ledger!$H:$H,AGGREGATE(15,6,ROW(Ledger!$B$3:$B$1002)/(Ledger!$B$3:$B$1002=$B$2),25)))</f>
        <v/>
      </c>
      <c r="G30" s="6">
        <f>IF($A30="","",INDEX(Ledger!$I:$I,AGGREGATE(15,6,ROW(Ledger!$B$3:$B$1002)/(Ledger!$B$3:$B$1002=$B$2),25)))</f>
        <v/>
      </c>
      <c r="H30" s="5">
        <f>IF($A30="","",INDEX(Ledger!$K:$K,AGGREGATE(15,6,ROW(Ledger!$B$3:$B$1002)/(Ledger!$B$3:$B$1002=$B$2),25)))</f>
        <v/>
      </c>
    </row>
    <row r="31">
      <c r="A31" s="3">
        <f>IFERROR(INDEX(Ledger!$A:$A,AGGREGATE(15,6,ROW(Ledger!$B$3:$B$1002)/(Ledger!$B$3:$B$1002=$B$2),26)),"")</f>
        <v/>
      </c>
      <c r="B31" s="5">
        <f>IF($A31="","",INDEX(Ledger!$C:$C,AGGREGATE(15,6,ROW(Ledger!$B$3:$B$1002)/(Ledger!$B$3:$B$1002=$B$2),26)))</f>
        <v/>
      </c>
      <c r="C31" s="5">
        <f>IF($A31="","",INDEX(Ledger!$D:$D,AGGREGATE(15,6,ROW(Ledger!$B$3:$B$1002)/(Ledger!$B$3:$B$1002=$B$2),26)))</f>
        <v/>
      </c>
      <c r="D31" s="5">
        <f>IF($A31="","",INDEX(Ledger!$E:$E,AGGREGATE(15,6,ROW(Ledger!$B$3:$B$1002)/(Ledger!$B$3:$B$1002=$B$2),26)))</f>
        <v/>
      </c>
      <c r="E31" s="5">
        <f>IF($A31="","",INDEX(Ledger!$F:$F,AGGREGATE(15,6,ROW(Ledger!$B$3:$B$1002)/(Ledger!$B$3:$B$1002=$B$2),26)))</f>
        <v/>
      </c>
      <c r="F31" s="6">
        <f>IF($A31="","",INDEX(Ledger!$H:$H,AGGREGATE(15,6,ROW(Ledger!$B$3:$B$1002)/(Ledger!$B$3:$B$1002=$B$2),26)))</f>
        <v/>
      </c>
      <c r="G31" s="6">
        <f>IF($A31="","",INDEX(Ledger!$I:$I,AGGREGATE(15,6,ROW(Ledger!$B$3:$B$1002)/(Ledger!$B$3:$B$1002=$B$2),26)))</f>
        <v/>
      </c>
      <c r="H31" s="5">
        <f>IF($A31="","",INDEX(Ledger!$K:$K,AGGREGATE(15,6,ROW(Ledger!$B$3:$B$1002)/(Ledger!$B$3:$B$1002=$B$2),26)))</f>
        <v/>
      </c>
    </row>
    <row r="32">
      <c r="A32" s="3">
        <f>IFERROR(INDEX(Ledger!$A:$A,AGGREGATE(15,6,ROW(Ledger!$B$3:$B$1002)/(Ledger!$B$3:$B$1002=$B$2),27)),"")</f>
        <v/>
      </c>
      <c r="B32" s="5">
        <f>IF($A32="","",INDEX(Ledger!$C:$C,AGGREGATE(15,6,ROW(Ledger!$B$3:$B$1002)/(Ledger!$B$3:$B$1002=$B$2),27)))</f>
        <v/>
      </c>
      <c r="C32" s="5">
        <f>IF($A32="","",INDEX(Ledger!$D:$D,AGGREGATE(15,6,ROW(Ledger!$B$3:$B$1002)/(Ledger!$B$3:$B$1002=$B$2),27)))</f>
        <v/>
      </c>
      <c r="D32" s="5">
        <f>IF($A32="","",INDEX(Ledger!$E:$E,AGGREGATE(15,6,ROW(Ledger!$B$3:$B$1002)/(Ledger!$B$3:$B$1002=$B$2),27)))</f>
        <v/>
      </c>
      <c r="E32" s="5">
        <f>IF($A32="","",INDEX(Ledger!$F:$F,AGGREGATE(15,6,ROW(Ledger!$B$3:$B$1002)/(Ledger!$B$3:$B$1002=$B$2),27)))</f>
        <v/>
      </c>
      <c r="F32" s="6">
        <f>IF($A32="","",INDEX(Ledger!$H:$H,AGGREGATE(15,6,ROW(Ledger!$B$3:$B$1002)/(Ledger!$B$3:$B$1002=$B$2),27)))</f>
        <v/>
      </c>
      <c r="G32" s="6">
        <f>IF($A32="","",INDEX(Ledger!$I:$I,AGGREGATE(15,6,ROW(Ledger!$B$3:$B$1002)/(Ledger!$B$3:$B$1002=$B$2),27)))</f>
        <v/>
      </c>
      <c r="H32" s="5">
        <f>IF($A32="","",INDEX(Ledger!$K:$K,AGGREGATE(15,6,ROW(Ledger!$B$3:$B$1002)/(Ledger!$B$3:$B$1002=$B$2),27)))</f>
        <v/>
      </c>
    </row>
    <row r="33">
      <c r="A33" s="3">
        <f>IFERROR(INDEX(Ledger!$A:$A,AGGREGATE(15,6,ROW(Ledger!$B$3:$B$1002)/(Ledger!$B$3:$B$1002=$B$2),28)),"")</f>
        <v/>
      </c>
      <c r="B33" s="5">
        <f>IF($A33="","",INDEX(Ledger!$C:$C,AGGREGATE(15,6,ROW(Ledger!$B$3:$B$1002)/(Ledger!$B$3:$B$1002=$B$2),28)))</f>
        <v/>
      </c>
      <c r="C33" s="5">
        <f>IF($A33="","",INDEX(Ledger!$D:$D,AGGREGATE(15,6,ROW(Ledger!$B$3:$B$1002)/(Ledger!$B$3:$B$1002=$B$2),28)))</f>
        <v/>
      </c>
      <c r="D33" s="5">
        <f>IF($A33="","",INDEX(Ledger!$E:$E,AGGREGATE(15,6,ROW(Ledger!$B$3:$B$1002)/(Ledger!$B$3:$B$1002=$B$2),28)))</f>
        <v/>
      </c>
      <c r="E33" s="5">
        <f>IF($A33="","",INDEX(Ledger!$F:$F,AGGREGATE(15,6,ROW(Ledger!$B$3:$B$1002)/(Ledger!$B$3:$B$1002=$B$2),28)))</f>
        <v/>
      </c>
      <c r="F33" s="6">
        <f>IF($A33="","",INDEX(Ledger!$H:$H,AGGREGATE(15,6,ROW(Ledger!$B$3:$B$1002)/(Ledger!$B$3:$B$1002=$B$2),28)))</f>
        <v/>
      </c>
      <c r="G33" s="6">
        <f>IF($A33="","",INDEX(Ledger!$I:$I,AGGREGATE(15,6,ROW(Ledger!$B$3:$B$1002)/(Ledger!$B$3:$B$1002=$B$2),28)))</f>
        <v/>
      </c>
      <c r="H33" s="5">
        <f>IF($A33="","",INDEX(Ledger!$K:$K,AGGREGATE(15,6,ROW(Ledger!$B$3:$B$1002)/(Ledger!$B$3:$B$1002=$B$2),28)))</f>
        <v/>
      </c>
    </row>
    <row r="34">
      <c r="A34" s="3">
        <f>IFERROR(INDEX(Ledger!$A:$A,AGGREGATE(15,6,ROW(Ledger!$B$3:$B$1002)/(Ledger!$B$3:$B$1002=$B$2),29)),"")</f>
        <v/>
      </c>
      <c r="B34" s="5">
        <f>IF($A34="","",INDEX(Ledger!$C:$C,AGGREGATE(15,6,ROW(Ledger!$B$3:$B$1002)/(Ledger!$B$3:$B$1002=$B$2),29)))</f>
        <v/>
      </c>
      <c r="C34" s="5">
        <f>IF($A34="","",INDEX(Ledger!$D:$D,AGGREGATE(15,6,ROW(Ledger!$B$3:$B$1002)/(Ledger!$B$3:$B$1002=$B$2),29)))</f>
        <v/>
      </c>
      <c r="D34" s="5">
        <f>IF($A34="","",INDEX(Ledger!$E:$E,AGGREGATE(15,6,ROW(Ledger!$B$3:$B$1002)/(Ledger!$B$3:$B$1002=$B$2),29)))</f>
        <v/>
      </c>
      <c r="E34" s="5">
        <f>IF($A34="","",INDEX(Ledger!$F:$F,AGGREGATE(15,6,ROW(Ledger!$B$3:$B$1002)/(Ledger!$B$3:$B$1002=$B$2),29)))</f>
        <v/>
      </c>
      <c r="F34" s="6">
        <f>IF($A34="","",INDEX(Ledger!$H:$H,AGGREGATE(15,6,ROW(Ledger!$B$3:$B$1002)/(Ledger!$B$3:$B$1002=$B$2),29)))</f>
        <v/>
      </c>
      <c r="G34" s="6">
        <f>IF($A34="","",INDEX(Ledger!$I:$I,AGGREGATE(15,6,ROW(Ledger!$B$3:$B$1002)/(Ledger!$B$3:$B$1002=$B$2),29)))</f>
        <v/>
      </c>
      <c r="H34" s="5">
        <f>IF($A34="","",INDEX(Ledger!$K:$K,AGGREGATE(15,6,ROW(Ledger!$B$3:$B$1002)/(Ledger!$B$3:$B$1002=$B$2),29)))</f>
        <v/>
      </c>
    </row>
    <row r="35">
      <c r="A35" s="3">
        <f>IFERROR(INDEX(Ledger!$A:$A,AGGREGATE(15,6,ROW(Ledger!$B$3:$B$1002)/(Ledger!$B$3:$B$1002=$B$2),30)),"")</f>
        <v/>
      </c>
      <c r="B35" s="5">
        <f>IF($A35="","",INDEX(Ledger!$C:$C,AGGREGATE(15,6,ROW(Ledger!$B$3:$B$1002)/(Ledger!$B$3:$B$1002=$B$2),30)))</f>
        <v/>
      </c>
      <c r="C35" s="5">
        <f>IF($A35="","",INDEX(Ledger!$D:$D,AGGREGATE(15,6,ROW(Ledger!$B$3:$B$1002)/(Ledger!$B$3:$B$1002=$B$2),30)))</f>
        <v/>
      </c>
      <c r="D35" s="5">
        <f>IF($A35="","",INDEX(Ledger!$E:$E,AGGREGATE(15,6,ROW(Ledger!$B$3:$B$1002)/(Ledger!$B$3:$B$1002=$B$2),30)))</f>
        <v/>
      </c>
      <c r="E35" s="5">
        <f>IF($A35="","",INDEX(Ledger!$F:$F,AGGREGATE(15,6,ROW(Ledger!$B$3:$B$1002)/(Ledger!$B$3:$B$1002=$B$2),30)))</f>
        <v/>
      </c>
      <c r="F35" s="6">
        <f>IF($A35="","",INDEX(Ledger!$H:$H,AGGREGATE(15,6,ROW(Ledger!$B$3:$B$1002)/(Ledger!$B$3:$B$1002=$B$2),30)))</f>
        <v/>
      </c>
      <c r="G35" s="6">
        <f>IF($A35="","",INDEX(Ledger!$I:$I,AGGREGATE(15,6,ROW(Ledger!$B$3:$B$1002)/(Ledger!$B$3:$B$1002=$B$2),30)))</f>
        <v/>
      </c>
      <c r="H35" s="5">
        <f>IF($A35="","",INDEX(Ledger!$K:$K,AGGREGATE(15,6,ROW(Ledger!$B$3:$B$1002)/(Ledger!$B$3:$B$1002=$B$2),30)))</f>
        <v/>
      </c>
    </row>
    <row r="36">
      <c r="A36" s="3">
        <f>IFERROR(INDEX(Ledger!$A:$A,AGGREGATE(15,6,ROW(Ledger!$B$3:$B$1002)/(Ledger!$B$3:$B$1002=$B$2),31)),"")</f>
        <v/>
      </c>
      <c r="B36" s="5">
        <f>IF($A36="","",INDEX(Ledger!$C:$C,AGGREGATE(15,6,ROW(Ledger!$B$3:$B$1002)/(Ledger!$B$3:$B$1002=$B$2),31)))</f>
        <v/>
      </c>
      <c r="C36" s="5">
        <f>IF($A36="","",INDEX(Ledger!$D:$D,AGGREGATE(15,6,ROW(Ledger!$B$3:$B$1002)/(Ledger!$B$3:$B$1002=$B$2),31)))</f>
        <v/>
      </c>
      <c r="D36" s="5">
        <f>IF($A36="","",INDEX(Ledger!$E:$E,AGGREGATE(15,6,ROW(Ledger!$B$3:$B$1002)/(Ledger!$B$3:$B$1002=$B$2),31)))</f>
        <v/>
      </c>
      <c r="E36" s="5">
        <f>IF($A36="","",INDEX(Ledger!$F:$F,AGGREGATE(15,6,ROW(Ledger!$B$3:$B$1002)/(Ledger!$B$3:$B$1002=$B$2),31)))</f>
        <v/>
      </c>
      <c r="F36" s="6">
        <f>IF($A36="","",INDEX(Ledger!$H:$H,AGGREGATE(15,6,ROW(Ledger!$B$3:$B$1002)/(Ledger!$B$3:$B$1002=$B$2),31)))</f>
        <v/>
      </c>
      <c r="G36" s="6">
        <f>IF($A36="","",INDEX(Ledger!$I:$I,AGGREGATE(15,6,ROW(Ledger!$B$3:$B$1002)/(Ledger!$B$3:$B$1002=$B$2),31)))</f>
        <v/>
      </c>
      <c r="H36" s="5">
        <f>IF($A36="","",INDEX(Ledger!$K:$K,AGGREGATE(15,6,ROW(Ledger!$B$3:$B$1002)/(Ledger!$B$3:$B$1002=$B$2),31)))</f>
        <v/>
      </c>
    </row>
    <row r="37">
      <c r="A37" s="3">
        <f>IFERROR(INDEX(Ledger!$A:$A,AGGREGATE(15,6,ROW(Ledger!$B$3:$B$1002)/(Ledger!$B$3:$B$1002=$B$2),32)),"")</f>
        <v/>
      </c>
      <c r="B37" s="5">
        <f>IF($A37="","",INDEX(Ledger!$C:$C,AGGREGATE(15,6,ROW(Ledger!$B$3:$B$1002)/(Ledger!$B$3:$B$1002=$B$2),32)))</f>
        <v/>
      </c>
      <c r="C37" s="5">
        <f>IF($A37="","",INDEX(Ledger!$D:$D,AGGREGATE(15,6,ROW(Ledger!$B$3:$B$1002)/(Ledger!$B$3:$B$1002=$B$2),32)))</f>
        <v/>
      </c>
      <c r="D37" s="5">
        <f>IF($A37="","",INDEX(Ledger!$E:$E,AGGREGATE(15,6,ROW(Ledger!$B$3:$B$1002)/(Ledger!$B$3:$B$1002=$B$2),32)))</f>
        <v/>
      </c>
      <c r="E37" s="5">
        <f>IF($A37="","",INDEX(Ledger!$F:$F,AGGREGATE(15,6,ROW(Ledger!$B$3:$B$1002)/(Ledger!$B$3:$B$1002=$B$2),32)))</f>
        <v/>
      </c>
      <c r="F37" s="6">
        <f>IF($A37="","",INDEX(Ledger!$H:$H,AGGREGATE(15,6,ROW(Ledger!$B$3:$B$1002)/(Ledger!$B$3:$B$1002=$B$2),32)))</f>
        <v/>
      </c>
      <c r="G37" s="6">
        <f>IF($A37="","",INDEX(Ledger!$I:$I,AGGREGATE(15,6,ROW(Ledger!$B$3:$B$1002)/(Ledger!$B$3:$B$1002=$B$2),32)))</f>
        <v/>
      </c>
      <c r="H37" s="5">
        <f>IF($A37="","",INDEX(Ledger!$K:$K,AGGREGATE(15,6,ROW(Ledger!$B$3:$B$1002)/(Ledger!$B$3:$B$1002=$B$2),32)))</f>
        <v/>
      </c>
    </row>
    <row r="38">
      <c r="A38" s="3">
        <f>IFERROR(INDEX(Ledger!$A:$A,AGGREGATE(15,6,ROW(Ledger!$B$3:$B$1002)/(Ledger!$B$3:$B$1002=$B$2),33)),"")</f>
        <v/>
      </c>
      <c r="B38" s="5">
        <f>IF($A38="","",INDEX(Ledger!$C:$C,AGGREGATE(15,6,ROW(Ledger!$B$3:$B$1002)/(Ledger!$B$3:$B$1002=$B$2),33)))</f>
        <v/>
      </c>
      <c r="C38" s="5">
        <f>IF($A38="","",INDEX(Ledger!$D:$D,AGGREGATE(15,6,ROW(Ledger!$B$3:$B$1002)/(Ledger!$B$3:$B$1002=$B$2),33)))</f>
        <v/>
      </c>
      <c r="D38" s="5">
        <f>IF($A38="","",INDEX(Ledger!$E:$E,AGGREGATE(15,6,ROW(Ledger!$B$3:$B$1002)/(Ledger!$B$3:$B$1002=$B$2),33)))</f>
        <v/>
      </c>
      <c r="E38" s="5">
        <f>IF($A38="","",INDEX(Ledger!$F:$F,AGGREGATE(15,6,ROW(Ledger!$B$3:$B$1002)/(Ledger!$B$3:$B$1002=$B$2),33)))</f>
        <v/>
      </c>
      <c r="F38" s="6">
        <f>IF($A38="","",INDEX(Ledger!$H:$H,AGGREGATE(15,6,ROW(Ledger!$B$3:$B$1002)/(Ledger!$B$3:$B$1002=$B$2),33)))</f>
        <v/>
      </c>
      <c r="G38" s="6">
        <f>IF($A38="","",INDEX(Ledger!$I:$I,AGGREGATE(15,6,ROW(Ledger!$B$3:$B$1002)/(Ledger!$B$3:$B$1002=$B$2),33)))</f>
        <v/>
      </c>
      <c r="H38" s="5">
        <f>IF($A38="","",INDEX(Ledger!$K:$K,AGGREGATE(15,6,ROW(Ledger!$B$3:$B$1002)/(Ledger!$B$3:$B$1002=$B$2),33)))</f>
        <v/>
      </c>
    </row>
    <row r="39">
      <c r="A39" s="3">
        <f>IFERROR(INDEX(Ledger!$A:$A,AGGREGATE(15,6,ROW(Ledger!$B$3:$B$1002)/(Ledger!$B$3:$B$1002=$B$2),34)),"")</f>
        <v/>
      </c>
      <c r="B39" s="5">
        <f>IF($A39="","",INDEX(Ledger!$C:$C,AGGREGATE(15,6,ROW(Ledger!$B$3:$B$1002)/(Ledger!$B$3:$B$1002=$B$2),34)))</f>
        <v/>
      </c>
      <c r="C39" s="5">
        <f>IF($A39="","",INDEX(Ledger!$D:$D,AGGREGATE(15,6,ROW(Ledger!$B$3:$B$1002)/(Ledger!$B$3:$B$1002=$B$2),34)))</f>
        <v/>
      </c>
      <c r="D39" s="5">
        <f>IF($A39="","",INDEX(Ledger!$E:$E,AGGREGATE(15,6,ROW(Ledger!$B$3:$B$1002)/(Ledger!$B$3:$B$1002=$B$2),34)))</f>
        <v/>
      </c>
      <c r="E39" s="5">
        <f>IF($A39="","",INDEX(Ledger!$F:$F,AGGREGATE(15,6,ROW(Ledger!$B$3:$B$1002)/(Ledger!$B$3:$B$1002=$B$2),34)))</f>
        <v/>
      </c>
      <c r="F39" s="6">
        <f>IF($A39="","",INDEX(Ledger!$H:$H,AGGREGATE(15,6,ROW(Ledger!$B$3:$B$1002)/(Ledger!$B$3:$B$1002=$B$2),34)))</f>
        <v/>
      </c>
      <c r="G39" s="6">
        <f>IF($A39="","",INDEX(Ledger!$I:$I,AGGREGATE(15,6,ROW(Ledger!$B$3:$B$1002)/(Ledger!$B$3:$B$1002=$B$2),34)))</f>
        <v/>
      </c>
      <c r="H39" s="5">
        <f>IF($A39="","",INDEX(Ledger!$K:$K,AGGREGATE(15,6,ROW(Ledger!$B$3:$B$1002)/(Ledger!$B$3:$B$1002=$B$2),34)))</f>
        <v/>
      </c>
    </row>
    <row r="40">
      <c r="A40" s="3">
        <f>IFERROR(INDEX(Ledger!$A:$A,AGGREGATE(15,6,ROW(Ledger!$B$3:$B$1002)/(Ledger!$B$3:$B$1002=$B$2),35)),"")</f>
        <v/>
      </c>
      <c r="B40" s="5">
        <f>IF($A40="","",INDEX(Ledger!$C:$C,AGGREGATE(15,6,ROW(Ledger!$B$3:$B$1002)/(Ledger!$B$3:$B$1002=$B$2),35)))</f>
        <v/>
      </c>
      <c r="C40" s="5">
        <f>IF($A40="","",INDEX(Ledger!$D:$D,AGGREGATE(15,6,ROW(Ledger!$B$3:$B$1002)/(Ledger!$B$3:$B$1002=$B$2),35)))</f>
        <v/>
      </c>
      <c r="D40" s="5">
        <f>IF($A40="","",INDEX(Ledger!$E:$E,AGGREGATE(15,6,ROW(Ledger!$B$3:$B$1002)/(Ledger!$B$3:$B$1002=$B$2),35)))</f>
        <v/>
      </c>
      <c r="E40" s="5">
        <f>IF($A40="","",INDEX(Ledger!$F:$F,AGGREGATE(15,6,ROW(Ledger!$B$3:$B$1002)/(Ledger!$B$3:$B$1002=$B$2),35)))</f>
        <v/>
      </c>
      <c r="F40" s="6">
        <f>IF($A40="","",INDEX(Ledger!$H:$H,AGGREGATE(15,6,ROW(Ledger!$B$3:$B$1002)/(Ledger!$B$3:$B$1002=$B$2),35)))</f>
        <v/>
      </c>
      <c r="G40" s="6">
        <f>IF($A40="","",INDEX(Ledger!$I:$I,AGGREGATE(15,6,ROW(Ledger!$B$3:$B$1002)/(Ledger!$B$3:$B$1002=$B$2),35)))</f>
        <v/>
      </c>
      <c r="H40" s="5">
        <f>IF($A40="","",INDEX(Ledger!$K:$K,AGGREGATE(15,6,ROW(Ledger!$B$3:$B$1002)/(Ledger!$B$3:$B$1002=$B$2),35)))</f>
        <v/>
      </c>
    </row>
    <row r="41">
      <c r="A41" s="3">
        <f>IFERROR(INDEX(Ledger!$A:$A,AGGREGATE(15,6,ROW(Ledger!$B$3:$B$1002)/(Ledger!$B$3:$B$1002=$B$2),36)),"")</f>
        <v/>
      </c>
      <c r="B41" s="5">
        <f>IF($A41="","",INDEX(Ledger!$C:$C,AGGREGATE(15,6,ROW(Ledger!$B$3:$B$1002)/(Ledger!$B$3:$B$1002=$B$2),36)))</f>
        <v/>
      </c>
      <c r="C41" s="5">
        <f>IF($A41="","",INDEX(Ledger!$D:$D,AGGREGATE(15,6,ROW(Ledger!$B$3:$B$1002)/(Ledger!$B$3:$B$1002=$B$2),36)))</f>
        <v/>
      </c>
      <c r="D41" s="5">
        <f>IF($A41="","",INDEX(Ledger!$E:$E,AGGREGATE(15,6,ROW(Ledger!$B$3:$B$1002)/(Ledger!$B$3:$B$1002=$B$2),36)))</f>
        <v/>
      </c>
      <c r="E41" s="5">
        <f>IF($A41="","",INDEX(Ledger!$F:$F,AGGREGATE(15,6,ROW(Ledger!$B$3:$B$1002)/(Ledger!$B$3:$B$1002=$B$2),36)))</f>
        <v/>
      </c>
      <c r="F41" s="6">
        <f>IF($A41="","",INDEX(Ledger!$H:$H,AGGREGATE(15,6,ROW(Ledger!$B$3:$B$1002)/(Ledger!$B$3:$B$1002=$B$2),36)))</f>
        <v/>
      </c>
      <c r="G41" s="6">
        <f>IF($A41="","",INDEX(Ledger!$I:$I,AGGREGATE(15,6,ROW(Ledger!$B$3:$B$1002)/(Ledger!$B$3:$B$1002=$B$2),36)))</f>
        <v/>
      </c>
      <c r="H41" s="5">
        <f>IF($A41="","",INDEX(Ledger!$K:$K,AGGREGATE(15,6,ROW(Ledger!$B$3:$B$1002)/(Ledger!$B$3:$B$1002=$B$2),36)))</f>
        <v/>
      </c>
    </row>
    <row r="42">
      <c r="A42" s="3">
        <f>IFERROR(INDEX(Ledger!$A:$A,AGGREGATE(15,6,ROW(Ledger!$B$3:$B$1002)/(Ledger!$B$3:$B$1002=$B$2),37)),"")</f>
        <v/>
      </c>
      <c r="B42" s="5">
        <f>IF($A42="","",INDEX(Ledger!$C:$C,AGGREGATE(15,6,ROW(Ledger!$B$3:$B$1002)/(Ledger!$B$3:$B$1002=$B$2),37)))</f>
        <v/>
      </c>
      <c r="C42" s="5">
        <f>IF($A42="","",INDEX(Ledger!$D:$D,AGGREGATE(15,6,ROW(Ledger!$B$3:$B$1002)/(Ledger!$B$3:$B$1002=$B$2),37)))</f>
        <v/>
      </c>
      <c r="D42" s="5">
        <f>IF($A42="","",INDEX(Ledger!$E:$E,AGGREGATE(15,6,ROW(Ledger!$B$3:$B$1002)/(Ledger!$B$3:$B$1002=$B$2),37)))</f>
        <v/>
      </c>
      <c r="E42" s="5">
        <f>IF($A42="","",INDEX(Ledger!$F:$F,AGGREGATE(15,6,ROW(Ledger!$B$3:$B$1002)/(Ledger!$B$3:$B$1002=$B$2),37)))</f>
        <v/>
      </c>
      <c r="F42" s="6">
        <f>IF($A42="","",INDEX(Ledger!$H:$H,AGGREGATE(15,6,ROW(Ledger!$B$3:$B$1002)/(Ledger!$B$3:$B$1002=$B$2),37)))</f>
        <v/>
      </c>
      <c r="G42" s="6">
        <f>IF($A42="","",INDEX(Ledger!$I:$I,AGGREGATE(15,6,ROW(Ledger!$B$3:$B$1002)/(Ledger!$B$3:$B$1002=$B$2),37)))</f>
        <v/>
      </c>
      <c r="H42" s="5">
        <f>IF($A42="","",INDEX(Ledger!$K:$K,AGGREGATE(15,6,ROW(Ledger!$B$3:$B$1002)/(Ledger!$B$3:$B$1002=$B$2),37)))</f>
        <v/>
      </c>
    </row>
    <row r="43">
      <c r="A43" s="3">
        <f>IFERROR(INDEX(Ledger!$A:$A,AGGREGATE(15,6,ROW(Ledger!$B$3:$B$1002)/(Ledger!$B$3:$B$1002=$B$2),38)),"")</f>
        <v/>
      </c>
      <c r="B43" s="5">
        <f>IF($A43="","",INDEX(Ledger!$C:$C,AGGREGATE(15,6,ROW(Ledger!$B$3:$B$1002)/(Ledger!$B$3:$B$1002=$B$2),38)))</f>
        <v/>
      </c>
      <c r="C43" s="5">
        <f>IF($A43="","",INDEX(Ledger!$D:$D,AGGREGATE(15,6,ROW(Ledger!$B$3:$B$1002)/(Ledger!$B$3:$B$1002=$B$2),38)))</f>
        <v/>
      </c>
      <c r="D43" s="5">
        <f>IF($A43="","",INDEX(Ledger!$E:$E,AGGREGATE(15,6,ROW(Ledger!$B$3:$B$1002)/(Ledger!$B$3:$B$1002=$B$2),38)))</f>
        <v/>
      </c>
      <c r="E43" s="5">
        <f>IF($A43="","",INDEX(Ledger!$F:$F,AGGREGATE(15,6,ROW(Ledger!$B$3:$B$1002)/(Ledger!$B$3:$B$1002=$B$2),38)))</f>
        <v/>
      </c>
      <c r="F43" s="6">
        <f>IF($A43="","",INDEX(Ledger!$H:$H,AGGREGATE(15,6,ROW(Ledger!$B$3:$B$1002)/(Ledger!$B$3:$B$1002=$B$2),38)))</f>
        <v/>
      </c>
      <c r="G43" s="6">
        <f>IF($A43="","",INDEX(Ledger!$I:$I,AGGREGATE(15,6,ROW(Ledger!$B$3:$B$1002)/(Ledger!$B$3:$B$1002=$B$2),38)))</f>
        <v/>
      </c>
      <c r="H43" s="5">
        <f>IF($A43="","",INDEX(Ledger!$K:$K,AGGREGATE(15,6,ROW(Ledger!$B$3:$B$1002)/(Ledger!$B$3:$B$1002=$B$2),38)))</f>
        <v/>
      </c>
    </row>
    <row r="44">
      <c r="A44" s="3">
        <f>IFERROR(INDEX(Ledger!$A:$A,AGGREGATE(15,6,ROW(Ledger!$B$3:$B$1002)/(Ledger!$B$3:$B$1002=$B$2),39)),"")</f>
        <v/>
      </c>
      <c r="B44" s="5">
        <f>IF($A44="","",INDEX(Ledger!$C:$C,AGGREGATE(15,6,ROW(Ledger!$B$3:$B$1002)/(Ledger!$B$3:$B$1002=$B$2),39)))</f>
        <v/>
      </c>
      <c r="C44" s="5">
        <f>IF($A44="","",INDEX(Ledger!$D:$D,AGGREGATE(15,6,ROW(Ledger!$B$3:$B$1002)/(Ledger!$B$3:$B$1002=$B$2),39)))</f>
        <v/>
      </c>
      <c r="D44" s="5">
        <f>IF($A44="","",INDEX(Ledger!$E:$E,AGGREGATE(15,6,ROW(Ledger!$B$3:$B$1002)/(Ledger!$B$3:$B$1002=$B$2),39)))</f>
        <v/>
      </c>
      <c r="E44" s="5">
        <f>IF($A44="","",INDEX(Ledger!$F:$F,AGGREGATE(15,6,ROW(Ledger!$B$3:$B$1002)/(Ledger!$B$3:$B$1002=$B$2),39)))</f>
        <v/>
      </c>
      <c r="F44" s="6">
        <f>IF($A44="","",INDEX(Ledger!$H:$H,AGGREGATE(15,6,ROW(Ledger!$B$3:$B$1002)/(Ledger!$B$3:$B$1002=$B$2),39)))</f>
        <v/>
      </c>
      <c r="G44" s="6">
        <f>IF($A44="","",INDEX(Ledger!$I:$I,AGGREGATE(15,6,ROW(Ledger!$B$3:$B$1002)/(Ledger!$B$3:$B$1002=$B$2),39)))</f>
        <v/>
      </c>
      <c r="H44" s="5">
        <f>IF($A44="","",INDEX(Ledger!$K:$K,AGGREGATE(15,6,ROW(Ledger!$B$3:$B$1002)/(Ledger!$B$3:$B$1002=$B$2),39)))</f>
        <v/>
      </c>
    </row>
    <row r="45">
      <c r="A45" s="3">
        <f>IFERROR(INDEX(Ledger!$A:$A,AGGREGATE(15,6,ROW(Ledger!$B$3:$B$1002)/(Ledger!$B$3:$B$1002=$B$2),40)),"")</f>
        <v/>
      </c>
      <c r="B45" s="5">
        <f>IF($A45="","",INDEX(Ledger!$C:$C,AGGREGATE(15,6,ROW(Ledger!$B$3:$B$1002)/(Ledger!$B$3:$B$1002=$B$2),40)))</f>
        <v/>
      </c>
      <c r="C45" s="5">
        <f>IF($A45="","",INDEX(Ledger!$D:$D,AGGREGATE(15,6,ROW(Ledger!$B$3:$B$1002)/(Ledger!$B$3:$B$1002=$B$2),40)))</f>
        <v/>
      </c>
      <c r="D45" s="5">
        <f>IF($A45="","",INDEX(Ledger!$E:$E,AGGREGATE(15,6,ROW(Ledger!$B$3:$B$1002)/(Ledger!$B$3:$B$1002=$B$2),40)))</f>
        <v/>
      </c>
      <c r="E45" s="5">
        <f>IF($A45="","",INDEX(Ledger!$F:$F,AGGREGATE(15,6,ROW(Ledger!$B$3:$B$1002)/(Ledger!$B$3:$B$1002=$B$2),40)))</f>
        <v/>
      </c>
      <c r="F45" s="6">
        <f>IF($A45="","",INDEX(Ledger!$H:$H,AGGREGATE(15,6,ROW(Ledger!$B$3:$B$1002)/(Ledger!$B$3:$B$1002=$B$2),40)))</f>
        <v/>
      </c>
      <c r="G45" s="6">
        <f>IF($A45="","",INDEX(Ledger!$I:$I,AGGREGATE(15,6,ROW(Ledger!$B$3:$B$1002)/(Ledger!$B$3:$B$1002=$B$2),40)))</f>
        <v/>
      </c>
      <c r="H45" s="5">
        <f>IF($A45="","",INDEX(Ledger!$K:$K,AGGREGATE(15,6,ROW(Ledger!$B$3:$B$1002)/(Ledger!$B$3:$B$1002=$B$2),40)))</f>
        <v/>
      </c>
    </row>
    <row r="46">
      <c r="A46" s="3">
        <f>IFERROR(INDEX(Ledger!$A:$A,AGGREGATE(15,6,ROW(Ledger!$B$3:$B$1002)/(Ledger!$B$3:$B$1002=$B$2),41)),"")</f>
        <v/>
      </c>
      <c r="B46" s="5">
        <f>IF($A46="","",INDEX(Ledger!$C:$C,AGGREGATE(15,6,ROW(Ledger!$B$3:$B$1002)/(Ledger!$B$3:$B$1002=$B$2),41)))</f>
        <v/>
      </c>
      <c r="C46" s="5">
        <f>IF($A46="","",INDEX(Ledger!$D:$D,AGGREGATE(15,6,ROW(Ledger!$B$3:$B$1002)/(Ledger!$B$3:$B$1002=$B$2),41)))</f>
        <v/>
      </c>
      <c r="D46" s="5">
        <f>IF($A46="","",INDEX(Ledger!$E:$E,AGGREGATE(15,6,ROW(Ledger!$B$3:$B$1002)/(Ledger!$B$3:$B$1002=$B$2),41)))</f>
        <v/>
      </c>
      <c r="E46" s="5">
        <f>IF($A46="","",INDEX(Ledger!$F:$F,AGGREGATE(15,6,ROW(Ledger!$B$3:$B$1002)/(Ledger!$B$3:$B$1002=$B$2),41)))</f>
        <v/>
      </c>
      <c r="F46" s="6">
        <f>IF($A46="","",INDEX(Ledger!$H:$H,AGGREGATE(15,6,ROW(Ledger!$B$3:$B$1002)/(Ledger!$B$3:$B$1002=$B$2),41)))</f>
        <v/>
      </c>
      <c r="G46" s="6">
        <f>IF($A46="","",INDEX(Ledger!$I:$I,AGGREGATE(15,6,ROW(Ledger!$B$3:$B$1002)/(Ledger!$B$3:$B$1002=$B$2),41)))</f>
        <v/>
      </c>
      <c r="H46" s="5">
        <f>IF($A46="","",INDEX(Ledger!$K:$K,AGGREGATE(15,6,ROW(Ledger!$B$3:$B$1002)/(Ledger!$B$3:$B$1002=$B$2),41)))</f>
        <v/>
      </c>
    </row>
    <row r="47">
      <c r="A47" s="3">
        <f>IFERROR(INDEX(Ledger!$A:$A,AGGREGATE(15,6,ROW(Ledger!$B$3:$B$1002)/(Ledger!$B$3:$B$1002=$B$2),42)),"")</f>
        <v/>
      </c>
      <c r="B47" s="5">
        <f>IF($A47="","",INDEX(Ledger!$C:$C,AGGREGATE(15,6,ROW(Ledger!$B$3:$B$1002)/(Ledger!$B$3:$B$1002=$B$2),42)))</f>
        <v/>
      </c>
      <c r="C47" s="5">
        <f>IF($A47="","",INDEX(Ledger!$D:$D,AGGREGATE(15,6,ROW(Ledger!$B$3:$B$1002)/(Ledger!$B$3:$B$1002=$B$2),42)))</f>
        <v/>
      </c>
      <c r="D47" s="5">
        <f>IF($A47="","",INDEX(Ledger!$E:$E,AGGREGATE(15,6,ROW(Ledger!$B$3:$B$1002)/(Ledger!$B$3:$B$1002=$B$2),42)))</f>
        <v/>
      </c>
      <c r="E47" s="5">
        <f>IF($A47="","",INDEX(Ledger!$F:$F,AGGREGATE(15,6,ROW(Ledger!$B$3:$B$1002)/(Ledger!$B$3:$B$1002=$B$2),42)))</f>
        <v/>
      </c>
      <c r="F47" s="6">
        <f>IF($A47="","",INDEX(Ledger!$H:$H,AGGREGATE(15,6,ROW(Ledger!$B$3:$B$1002)/(Ledger!$B$3:$B$1002=$B$2),42)))</f>
        <v/>
      </c>
      <c r="G47" s="6">
        <f>IF($A47="","",INDEX(Ledger!$I:$I,AGGREGATE(15,6,ROW(Ledger!$B$3:$B$1002)/(Ledger!$B$3:$B$1002=$B$2),42)))</f>
        <v/>
      </c>
      <c r="H47" s="5">
        <f>IF($A47="","",INDEX(Ledger!$K:$K,AGGREGATE(15,6,ROW(Ledger!$B$3:$B$1002)/(Ledger!$B$3:$B$1002=$B$2),42)))</f>
        <v/>
      </c>
    </row>
    <row r="48">
      <c r="A48" s="3">
        <f>IFERROR(INDEX(Ledger!$A:$A,AGGREGATE(15,6,ROW(Ledger!$B$3:$B$1002)/(Ledger!$B$3:$B$1002=$B$2),43)),"")</f>
        <v/>
      </c>
      <c r="B48" s="5">
        <f>IF($A48="","",INDEX(Ledger!$C:$C,AGGREGATE(15,6,ROW(Ledger!$B$3:$B$1002)/(Ledger!$B$3:$B$1002=$B$2),43)))</f>
        <v/>
      </c>
      <c r="C48" s="5">
        <f>IF($A48="","",INDEX(Ledger!$D:$D,AGGREGATE(15,6,ROW(Ledger!$B$3:$B$1002)/(Ledger!$B$3:$B$1002=$B$2),43)))</f>
        <v/>
      </c>
      <c r="D48" s="5">
        <f>IF($A48="","",INDEX(Ledger!$E:$E,AGGREGATE(15,6,ROW(Ledger!$B$3:$B$1002)/(Ledger!$B$3:$B$1002=$B$2),43)))</f>
        <v/>
      </c>
      <c r="E48" s="5">
        <f>IF($A48="","",INDEX(Ledger!$F:$F,AGGREGATE(15,6,ROW(Ledger!$B$3:$B$1002)/(Ledger!$B$3:$B$1002=$B$2),43)))</f>
        <v/>
      </c>
      <c r="F48" s="6">
        <f>IF($A48="","",INDEX(Ledger!$H:$H,AGGREGATE(15,6,ROW(Ledger!$B$3:$B$1002)/(Ledger!$B$3:$B$1002=$B$2),43)))</f>
        <v/>
      </c>
      <c r="G48" s="6">
        <f>IF($A48="","",INDEX(Ledger!$I:$I,AGGREGATE(15,6,ROW(Ledger!$B$3:$B$1002)/(Ledger!$B$3:$B$1002=$B$2),43)))</f>
        <v/>
      </c>
      <c r="H48" s="5">
        <f>IF($A48="","",INDEX(Ledger!$K:$K,AGGREGATE(15,6,ROW(Ledger!$B$3:$B$1002)/(Ledger!$B$3:$B$1002=$B$2),43)))</f>
        <v/>
      </c>
    </row>
    <row r="49">
      <c r="A49" s="3">
        <f>IFERROR(INDEX(Ledger!$A:$A,AGGREGATE(15,6,ROW(Ledger!$B$3:$B$1002)/(Ledger!$B$3:$B$1002=$B$2),44)),"")</f>
        <v/>
      </c>
      <c r="B49" s="5">
        <f>IF($A49="","",INDEX(Ledger!$C:$C,AGGREGATE(15,6,ROW(Ledger!$B$3:$B$1002)/(Ledger!$B$3:$B$1002=$B$2),44)))</f>
        <v/>
      </c>
      <c r="C49" s="5">
        <f>IF($A49="","",INDEX(Ledger!$D:$D,AGGREGATE(15,6,ROW(Ledger!$B$3:$B$1002)/(Ledger!$B$3:$B$1002=$B$2),44)))</f>
        <v/>
      </c>
      <c r="D49" s="5">
        <f>IF($A49="","",INDEX(Ledger!$E:$E,AGGREGATE(15,6,ROW(Ledger!$B$3:$B$1002)/(Ledger!$B$3:$B$1002=$B$2),44)))</f>
        <v/>
      </c>
      <c r="E49" s="5">
        <f>IF($A49="","",INDEX(Ledger!$F:$F,AGGREGATE(15,6,ROW(Ledger!$B$3:$B$1002)/(Ledger!$B$3:$B$1002=$B$2),44)))</f>
        <v/>
      </c>
      <c r="F49" s="6">
        <f>IF($A49="","",INDEX(Ledger!$H:$H,AGGREGATE(15,6,ROW(Ledger!$B$3:$B$1002)/(Ledger!$B$3:$B$1002=$B$2),44)))</f>
        <v/>
      </c>
      <c r="G49" s="6">
        <f>IF($A49="","",INDEX(Ledger!$I:$I,AGGREGATE(15,6,ROW(Ledger!$B$3:$B$1002)/(Ledger!$B$3:$B$1002=$B$2),44)))</f>
        <v/>
      </c>
      <c r="H49" s="5">
        <f>IF($A49="","",INDEX(Ledger!$K:$K,AGGREGATE(15,6,ROW(Ledger!$B$3:$B$1002)/(Ledger!$B$3:$B$1002=$B$2),44)))</f>
        <v/>
      </c>
    </row>
    <row r="50">
      <c r="A50" s="3">
        <f>IFERROR(INDEX(Ledger!$A:$A,AGGREGATE(15,6,ROW(Ledger!$B$3:$B$1002)/(Ledger!$B$3:$B$1002=$B$2),45)),"")</f>
        <v/>
      </c>
      <c r="B50" s="5">
        <f>IF($A50="","",INDEX(Ledger!$C:$C,AGGREGATE(15,6,ROW(Ledger!$B$3:$B$1002)/(Ledger!$B$3:$B$1002=$B$2),45)))</f>
        <v/>
      </c>
      <c r="C50" s="5">
        <f>IF($A50="","",INDEX(Ledger!$D:$D,AGGREGATE(15,6,ROW(Ledger!$B$3:$B$1002)/(Ledger!$B$3:$B$1002=$B$2),45)))</f>
        <v/>
      </c>
      <c r="D50" s="5">
        <f>IF($A50="","",INDEX(Ledger!$E:$E,AGGREGATE(15,6,ROW(Ledger!$B$3:$B$1002)/(Ledger!$B$3:$B$1002=$B$2),45)))</f>
        <v/>
      </c>
      <c r="E50" s="5">
        <f>IF($A50="","",INDEX(Ledger!$F:$F,AGGREGATE(15,6,ROW(Ledger!$B$3:$B$1002)/(Ledger!$B$3:$B$1002=$B$2),45)))</f>
        <v/>
      </c>
      <c r="F50" s="6">
        <f>IF($A50="","",INDEX(Ledger!$H:$H,AGGREGATE(15,6,ROW(Ledger!$B$3:$B$1002)/(Ledger!$B$3:$B$1002=$B$2),45)))</f>
        <v/>
      </c>
      <c r="G50" s="6">
        <f>IF($A50="","",INDEX(Ledger!$I:$I,AGGREGATE(15,6,ROW(Ledger!$B$3:$B$1002)/(Ledger!$B$3:$B$1002=$B$2),45)))</f>
        <v/>
      </c>
      <c r="H50" s="5">
        <f>IF($A50="","",INDEX(Ledger!$K:$K,AGGREGATE(15,6,ROW(Ledger!$B$3:$B$1002)/(Ledger!$B$3:$B$1002=$B$2),45)))</f>
        <v/>
      </c>
    </row>
    <row r="51">
      <c r="A51" s="3">
        <f>IFERROR(INDEX(Ledger!$A:$A,AGGREGATE(15,6,ROW(Ledger!$B$3:$B$1002)/(Ledger!$B$3:$B$1002=$B$2),46)),"")</f>
        <v/>
      </c>
      <c r="B51" s="5">
        <f>IF($A51="","",INDEX(Ledger!$C:$C,AGGREGATE(15,6,ROW(Ledger!$B$3:$B$1002)/(Ledger!$B$3:$B$1002=$B$2),46)))</f>
        <v/>
      </c>
      <c r="C51" s="5">
        <f>IF($A51="","",INDEX(Ledger!$D:$D,AGGREGATE(15,6,ROW(Ledger!$B$3:$B$1002)/(Ledger!$B$3:$B$1002=$B$2),46)))</f>
        <v/>
      </c>
      <c r="D51" s="5">
        <f>IF($A51="","",INDEX(Ledger!$E:$E,AGGREGATE(15,6,ROW(Ledger!$B$3:$B$1002)/(Ledger!$B$3:$B$1002=$B$2),46)))</f>
        <v/>
      </c>
      <c r="E51" s="5">
        <f>IF($A51="","",INDEX(Ledger!$F:$F,AGGREGATE(15,6,ROW(Ledger!$B$3:$B$1002)/(Ledger!$B$3:$B$1002=$B$2),46)))</f>
        <v/>
      </c>
      <c r="F51" s="6">
        <f>IF($A51="","",INDEX(Ledger!$H:$H,AGGREGATE(15,6,ROW(Ledger!$B$3:$B$1002)/(Ledger!$B$3:$B$1002=$B$2),46)))</f>
        <v/>
      </c>
      <c r="G51" s="6">
        <f>IF($A51="","",INDEX(Ledger!$I:$I,AGGREGATE(15,6,ROW(Ledger!$B$3:$B$1002)/(Ledger!$B$3:$B$1002=$B$2),46)))</f>
        <v/>
      </c>
      <c r="H51" s="5">
        <f>IF($A51="","",INDEX(Ledger!$K:$K,AGGREGATE(15,6,ROW(Ledger!$B$3:$B$1002)/(Ledger!$B$3:$B$1002=$B$2),46)))</f>
        <v/>
      </c>
    </row>
    <row r="52">
      <c r="A52" s="3">
        <f>IFERROR(INDEX(Ledger!$A:$A,AGGREGATE(15,6,ROW(Ledger!$B$3:$B$1002)/(Ledger!$B$3:$B$1002=$B$2),47)),"")</f>
        <v/>
      </c>
      <c r="B52" s="5">
        <f>IF($A52="","",INDEX(Ledger!$C:$C,AGGREGATE(15,6,ROW(Ledger!$B$3:$B$1002)/(Ledger!$B$3:$B$1002=$B$2),47)))</f>
        <v/>
      </c>
      <c r="C52" s="5">
        <f>IF($A52="","",INDEX(Ledger!$D:$D,AGGREGATE(15,6,ROW(Ledger!$B$3:$B$1002)/(Ledger!$B$3:$B$1002=$B$2),47)))</f>
        <v/>
      </c>
      <c r="D52" s="5">
        <f>IF($A52="","",INDEX(Ledger!$E:$E,AGGREGATE(15,6,ROW(Ledger!$B$3:$B$1002)/(Ledger!$B$3:$B$1002=$B$2),47)))</f>
        <v/>
      </c>
      <c r="E52" s="5">
        <f>IF($A52="","",INDEX(Ledger!$F:$F,AGGREGATE(15,6,ROW(Ledger!$B$3:$B$1002)/(Ledger!$B$3:$B$1002=$B$2),47)))</f>
        <v/>
      </c>
      <c r="F52" s="6">
        <f>IF($A52="","",INDEX(Ledger!$H:$H,AGGREGATE(15,6,ROW(Ledger!$B$3:$B$1002)/(Ledger!$B$3:$B$1002=$B$2),47)))</f>
        <v/>
      </c>
      <c r="G52" s="6">
        <f>IF($A52="","",INDEX(Ledger!$I:$I,AGGREGATE(15,6,ROW(Ledger!$B$3:$B$1002)/(Ledger!$B$3:$B$1002=$B$2),47)))</f>
        <v/>
      </c>
      <c r="H52" s="5">
        <f>IF($A52="","",INDEX(Ledger!$K:$K,AGGREGATE(15,6,ROW(Ledger!$B$3:$B$1002)/(Ledger!$B$3:$B$1002=$B$2),47)))</f>
        <v/>
      </c>
    </row>
    <row r="53">
      <c r="A53" s="3">
        <f>IFERROR(INDEX(Ledger!$A:$A,AGGREGATE(15,6,ROW(Ledger!$B$3:$B$1002)/(Ledger!$B$3:$B$1002=$B$2),48)),"")</f>
        <v/>
      </c>
      <c r="B53" s="5">
        <f>IF($A53="","",INDEX(Ledger!$C:$C,AGGREGATE(15,6,ROW(Ledger!$B$3:$B$1002)/(Ledger!$B$3:$B$1002=$B$2),48)))</f>
        <v/>
      </c>
      <c r="C53" s="5">
        <f>IF($A53="","",INDEX(Ledger!$D:$D,AGGREGATE(15,6,ROW(Ledger!$B$3:$B$1002)/(Ledger!$B$3:$B$1002=$B$2),48)))</f>
        <v/>
      </c>
      <c r="D53" s="5">
        <f>IF($A53="","",INDEX(Ledger!$E:$E,AGGREGATE(15,6,ROW(Ledger!$B$3:$B$1002)/(Ledger!$B$3:$B$1002=$B$2),48)))</f>
        <v/>
      </c>
      <c r="E53" s="5">
        <f>IF($A53="","",INDEX(Ledger!$F:$F,AGGREGATE(15,6,ROW(Ledger!$B$3:$B$1002)/(Ledger!$B$3:$B$1002=$B$2),48)))</f>
        <v/>
      </c>
      <c r="F53" s="6">
        <f>IF($A53="","",INDEX(Ledger!$H:$H,AGGREGATE(15,6,ROW(Ledger!$B$3:$B$1002)/(Ledger!$B$3:$B$1002=$B$2),48)))</f>
        <v/>
      </c>
      <c r="G53" s="6">
        <f>IF($A53="","",INDEX(Ledger!$I:$I,AGGREGATE(15,6,ROW(Ledger!$B$3:$B$1002)/(Ledger!$B$3:$B$1002=$B$2),48)))</f>
        <v/>
      </c>
      <c r="H53" s="5">
        <f>IF($A53="","",INDEX(Ledger!$K:$K,AGGREGATE(15,6,ROW(Ledger!$B$3:$B$1002)/(Ledger!$B$3:$B$1002=$B$2),48)))</f>
        <v/>
      </c>
    </row>
    <row r="54">
      <c r="A54" s="3">
        <f>IFERROR(INDEX(Ledger!$A:$A,AGGREGATE(15,6,ROW(Ledger!$B$3:$B$1002)/(Ledger!$B$3:$B$1002=$B$2),49)),"")</f>
        <v/>
      </c>
      <c r="B54" s="5">
        <f>IF($A54="","",INDEX(Ledger!$C:$C,AGGREGATE(15,6,ROW(Ledger!$B$3:$B$1002)/(Ledger!$B$3:$B$1002=$B$2),49)))</f>
        <v/>
      </c>
      <c r="C54" s="5">
        <f>IF($A54="","",INDEX(Ledger!$D:$D,AGGREGATE(15,6,ROW(Ledger!$B$3:$B$1002)/(Ledger!$B$3:$B$1002=$B$2),49)))</f>
        <v/>
      </c>
      <c r="D54" s="5">
        <f>IF($A54="","",INDEX(Ledger!$E:$E,AGGREGATE(15,6,ROW(Ledger!$B$3:$B$1002)/(Ledger!$B$3:$B$1002=$B$2),49)))</f>
        <v/>
      </c>
      <c r="E54" s="5">
        <f>IF($A54="","",INDEX(Ledger!$F:$F,AGGREGATE(15,6,ROW(Ledger!$B$3:$B$1002)/(Ledger!$B$3:$B$1002=$B$2),49)))</f>
        <v/>
      </c>
      <c r="F54" s="6">
        <f>IF($A54="","",INDEX(Ledger!$H:$H,AGGREGATE(15,6,ROW(Ledger!$B$3:$B$1002)/(Ledger!$B$3:$B$1002=$B$2),49)))</f>
        <v/>
      </c>
      <c r="G54" s="6">
        <f>IF($A54="","",INDEX(Ledger!$I:$I,AGGREGATE(15,6,ROW(Ledger!$B$3:$B$1002)/(Ledger!$B$3:$B$1002=$B$2),49)))</f>
        <v/>
      </c>
      <c r="H54" s="5">
        <f>IF($A54="","",INDEX(Ledger!$K:$K,AGGREGATE(15,6,ROW(Ledger!$B$3:$B$1002)/(Ledger!$B$3:$B$1002=$B$2),49)))</f>
        <v/>
      </c>
    </row>
    <row r="55">
      <c r="A55" s="3">
        <f>IFERROR(INDEX(Ledger!$A:$A,AGGREGATE(15,6,ROW(Ledger!$B$3:$B$1002)/(Ledger!$B$3:$B$1002=$B$2),50)),"")</f>
        <v/>
      </c>
      <c r="B55" s="5">
        <f>IF($A55="","",INDEX(Ledger!$C:$C,AGGREGATE(15,6,ROW(Ledger!$B$3:$B$1002)/(Ledger!$B$3:$B$1002=$B$2),50)))</f>
        <v/>
      </c>
      <c r="C55" s="5">
        <f>IF($A55="","",INDEX(Ledger!$D:$D,AGGREGATE(15,6,ROW(Ledger!$B$3:$B$1002)/(Ledger!$B$3:$B$1002=$B$2),50)))</f>
        <v/>
      </c>
      <c r="D55" s="5">
        <f>IF($A55="","",INDEX(Ledger!$E:$E,AGGREGATE(15,6,ROW(Ledger!$B$3:$B$1002)/(Ledger!$B$3:$B$1002=$B$2),50)))</f>
        <v/>
      </c>
      <c r="E55" s="5">
        <f>IF($A55="","",INDEX(Ledger!$F:$F,AGGREGATE(15,6,ROW(Ledger!$B$3:$B$1002)/(Ledger!$B$3:$B$1002=$B$2),50)))</f>
        <v/>
      </c>
      <c r="F55" s="6">
        <f>IF($A55="","",INDEX(Ledger!$H:$H,AGGREGATE(15,6,ROW(Ledger!$B$3:$B$1002)/(Ledger!$B$3:$B$1002=$B$2),50)))</f>
        <v/>
      </c>
      <c r="G55" s="6">
        <f>IF($A55="","",INDEX(Ledger!$I:$I,AGGREGATE(15,6,ROW(Ledger!$B$3:$B$1002)/(Ledger!$B$3:$B$1002=$B$2),50)))</f>
        <v/>
      </c>
      <c r="H55" s="5">
        <f>IF($A55="","",INDEX(Ledger!$K:$K,AGGREGATE(15,6,ROW(Ledger!$B$3:$B$1002)/(Ledger!$B$3:$B$1002=$B$2),50)))</f>
        <v/>
      </c>
    </row>
    <row r="56">
      <c r="A56" s="3">
        <f>IFERROR(INDEX(Ledger!$A:$A,AGGREGATE(15,6,ROW(Ledger!$B$3:$B$1002)/(Ledger!$B$3:$B$1002=$B$2),51)),"")</f>
        <v/>
      </c>
      <c r="B56" s="5">
        <f>IF($A56="","",INDEX(Ledger!$C:$C,AGGREGATE(15,6,ROW(Ledger!$B$3:$B$1002)/(Ledger!$B$3:$B$1002=$B$2),51)))</f>
        <v/>
      </c>
      <c r="C56" s="5">
        <f>IF($A56="","",INDEX(Ledger!$D:$D,AGGREGATE(15,6,ROW(Ledger!$B$3:$B$1002)/(Ledger!$B$3:$B$1002=$B$2),51)))</f>
        <v/>
      </c>
      <c r="D56" s="5">
        <f>IF($A56="","",INDEX(Ledger!$E:$E,AGGREGATE(15,6,ROW(Ledger!$B$3:$B$1002)/(Ledger!$B$3:$B$1002=$B$2),51)))</f>
        <v/>
      </c>
      <c r="E56" s="5">
        <f>IF($A56="","",INDEX(Ledger!$F:$F,AGGREGATE(15,6,ROW(Ledger!$B$3:$B$1002)/(Ledger!$B$3:$B$1002=$B$2),51)))</f>
        <v/>
      </c>
      <c r="F56" s="6">
        <f>IF($A56="","",INDEX(Ledger!$H:$H,AGGREGATE(15,6,ROW(Ledger!$B$3:$B$1002)/(Ledger!$B$3:$B$1002=$B$2),51)))</f>
        <v/>
      </c>
      <c r="G56" s="6">
        <f>IF($A56="","",INDEX(Ledger!$I:$I,AGGREGATE(15,6,ROW(Ledger!$B$3:$B$1002)/(Ledger!$B$3:$B$1002=$B$2),51)))</f>
        <v/>
      </c>
      <c r="H56" s="5">
        <f>IF($A56="","",INDEX(Ledger!$K:$K,AGGREGATE(15,6,ROW(Ledger!$B$3:$B$1002)/(Ledger!$B$3:$B$1002=$B$2),51)))</f>
        <v/>
      </c>
    </row>
    <row r="57">
      <c r="A57" s="3">
        <f>IFERROR(INDEX(Ledger!$A:$A,AGGREGATE(15,6,ROW(Ledger!$B$3:$B$1002)/(Ledger!$B$3:$B$1002=$B$2),52)),"")</f>
        <v/>
      </c>
      <c r="B57" s="5">
        <f>IF($A57="","",INDEX(Ledger!$C:$C,AGGREGATE(15,6,ROW(Ledger!$B$3:$B$1002)/(Ledger!$B$3:$B$1002=$B$2),52)))</f>
        <v/>
      </c>
      <c r="C57" s="5">
        <f>IF($A57="","",INDEX(Ledger!$D:$D,AGGREGATE(15,6,ROW(Ledger!$B$3:$B$1002)/(Ledger!$B$3:$B$1002=$B$2),52)))</f>
        <v/>
      </c>
      <c r="D57" s="5">
        <f>IF($A57="","",INDEX(Ledger!$E:$E,AGGREGATE(15,6,ROW(Ledger!$B$3:$B$1002)/(Ledger!$B$3:$B$1002=$B$2),52)))</f>
        <v/>
      </c>
      <c r="E57" s="5">
        <f>IF($A57="","",INDEX(Ledger!$F:$F,AGGREGATE(15,6,ROW(Ledger!$B$3:$B$1002)/(Ledger!$B$3:$B$1002=$B$2),52)))</f>
        <v/>
      </c>
      <c r="F57" s="6">
        <f>IF($A57="","",INDEX(Ledger!$H:$H,AGGREGATE(15,6,ROW(Ledger!$B$3:$B$1002)/(Ledger!$B$3:$B$1002=$B$2),52)))</f>
        <v/>
      </c>
      <c r="G57" s="6">
        <f>IF($A57="","",INDEX(Ledger!$I:$I,AGGREGATE(15,6,ROW(Ledger!$B$3:$B$1002)/(Ledger!$B$3:$B$1002=$B$2),52)))</f>
        <v/>
      </c>
      <c r="H57" s="5">
        <f>IF($A57="","",INDEX(Ledger!$K:$K,AGGREGATE(15,6,ROW(Ledger!$B$3:$B$1002)/(Ledger!$B$3:$B$1002=$B$2),52)))</f>
        <v/>
      </c>
    </row>
    <row r="58">
      <c r="A58" s="3">
        <f>IFERROR(INDEX(Ledger!$A:$A,AGGREGATE(15,6,ROW(Ledger!$B$3:$B$1002)/(Ledger!$B$3:$B$1002=$B$2),53)),"")</f>
        <v/>
      </c>
      <c r="B58" s="5">
        <f>IF($A58="","",INDEX(Ledger!$C:$C,AGGREGATE(15,6,ROW(Ledger!$B$3:$B$1002)/(Ledger!$B$3:$B$1002=$B$2),53)))</f>
        <v/>
      </c>
      <c r="C58" s="5">
        <f>IF($A58="","",INDEX(Ledger!$D:$D,AGGREGATE(15,6,ROW(Ledger!$B$3:$B$1002)/(Ledger!$B$3:$B$1002=$B$2),53)))</f>
        <v/>
      </c>
      <c r="D58" s="5">
        <f>IF($A58="","",INDEX(Ledger!$E:$E,AGGREGATE(15,6,ROW(Ledger!$B$3:$B$1002)/(Ledger!$B$3:$B$1002=$B$2),53)))</f>
        <v/>
      </c>
      <c r="E58" s="5">
        <f>IF($A58="","",INDEX(Ledger!$F:$F,AGGREGATE(15,6,ROW(Ledger!$B$3:$B$1002)/(Ledger!$B$3:$B$1002=$B$2),53)))</f>
        <v/>
      </c>
      <c r="F58" s="6">
        <f>IF($A58="","",INDEX(Ledger!$H:$H,AGGREGATE(15,6,ROW(Ledger!$B$3:$B$1002)/(Ledger!$B$3:$B$1002=$B$2),53)))</f>
        <v/>
      </c>
      <c r="G58" s="6">
        <f>IF($A58="","",INDEX(Ledger!$I:$I,AGGREGATE(15,6,ROW(Ledger!$B$3:$B$1002)/(Ledger!$B$3:$B$1002=$B$2),53)))</f>
        <v/>
      </c>
      <c r="H58" s="5">
        <f>IF($A58="","",INDEX(Ledger!$K:$K,AGGREGATE(15,6,ROW(Ledger!$B$3:$B$1002)/(Ledger!$B$3:$B$1002=$B$2),53)))</f>
        <v/>
      </c>
    </row>
    <row r="59">
      <c r="A59" s="3">
        <f>IFERROR(INDEX(Ledger!$A:$A,AGGREGATE(15,6,ROW(Ledger!$B$3:$B$1002)/(Ledger!$B$3:$B$1002=$B$2),54)),"")</f>
        <v/>
      </c>
      <c r="B59" s="5">
        <f>IF($A59="","",INDEX(Ledger!$C:$C,AGGREGATE(15,6,ROW(Ledger!$B$3:$B$1002)/(Ledger!$B$3:$B$1002=$B$2),54)))</f>
        <v/>
      </c>
      <c r="C59" s="5">
        <f>IF($A59="","",INDEX(Ledger!$D:$D,AGGREGATE(15,6,ROW(Ledger!$B$3:$B$1002)/(Ledger!$B$3:$B$1002=$B$2),54)))</f>
        <v/>
      </c>
      <c r="D59" s="5">
        <f>IF($A59="","",INDEX(Ledger!$E:$E,AGGREGATE(15,6,ROW(Ledger!$B$3:$B$1002)/(Ledger!$B$3:$B$1002=$B$2),54)))</f>
        <v/>
      </c>
      <c r="E59" s="5">
        <f>IF($A59="","",INDEX(Ledger!$F:$F,AGGREGATE(15,6,ROW(Ledger!$B$3:$B$1002)/(Ledger!$B$3:$B$1002=$B$2),54)))</f>
        <v/>
      </c>
      <c r="F59" s="6">
        <f>IF($A59="","",INDEX(Ledger!$H:$H,AGGREGATE(15,6,ROW(Ledger!$B$3:$B$1002)/(Ledger!$B$3:$B$1002=$B$2),54)))</f>
        <v/>
      </c>
      <c r="G59" s="6">
        <f>IF($A59="","",INDEX(Ledger!$I:$I,AGGREGATE(15,6,ROW(Ledger!$B$3:$B$1002)/(Ledger!$B$3:$B$1002=$B$2),54)))</f>
        <v/>
      </c>
      <c r="H59" s="5">
        <f>IF($A59="","",INDEX(Ledger!$K:$K,AGGREGATE(15,6,ROW(Ledger!$B$3:$B$1002)/(Ledger!$B$3:$B$1002=$B$2),54)))</f>
        <v/>
      </c>
    </row>
    <row r="60">
      <c r="A60" s="3">
        <f>IFERROR(INDEX(Ledger!$A:$A,AGGREGATE(15,6,ROW(Ledger!$B$3:$B$1002)/(Ledger!$B$3:$B$1002=$B$2),55)),"")</f>
        <v/>
      </c>
      <c r="B60" s="5">
        <f>IF($A60="","",INDEX(Ledger!$C:$C,AGGREGATE(15,6,ROW(Ledger!$B$3:$B$1002)/(Ledger!$B$3:$B$1002=$B$2),55)))</f>
        <v/>
      </c>
      <c r="C60" s="5">
        <f>IF($A60="","",INDEX(Ledger!$D:$D,AGGREGATE(15,6,ROW(Ledger!$B$3:$B$1002)/(Ledger!$B$3:$B$1002=$B$2),55)))</f>
        <v/>
      </c>
      <c r="D60" s="5">
        <f>IF($A60="","",INDEX(Ledger!$E:$E,AGGREGATE(15,6,ROW(Ledger!$B$3:$B$1002)/(Ledger!$B$3:$B$1002=$B$2),55)))</f>
        <v/>
      </c>
      <c r="E60" s="5">
        <f>IF($A60="","",INDEX(Ledger!$F:$F,AGGREGATE(15,6,ROW(Ledger!$B$3:$B$1002)/(Ledger!$B$3:$B$1002=$B$2),55)))</f>
        <v/>
      </c>
      <c r="F60" s="6">
        <f>IF($A60="","",INDEX(Ledger!$H:$H,AGGREGATE(15,6,ROW(Ledger!$B$3:$B$1002)/(Ledger!$B$3:$B$1002=$B$2),55)))</f>
        <v/>
      </c>
      <c r="G60" s="6">
        <f>IF($A60="","",INDEX(Ledger!$I:$I,AGGREGATE(15,6,ROW(Ledger!$B$3:$B$1002)/(Ledger!$B$3:$B$1002=$B$2),55)))</f>
        <v/>
      </c>
      <c r="H60" s="5">
        <f>IF($A60="","",INDEX(Ledger!$K:$K,AGGREGATE(15,6,ROW(Ledger!$B$3:$B$1002)/(Ledger!$B$3:$B$1002=$B$2),55)))</f>
        <v/>
      </c>
    </row>
    <row r="61">
      <c r="A61" s="3">
        <f>IFERROR(INDEX(Ledger!$A:$A,AGGREGATE(15,6,ROW(Ledger!$B$3:$B$1002)/(Ledger!$B$3:$B$1002=$B$2),56)),"")</f>
        <v/>
      </c>
      <c r="B61" s="5">
        <f>IF($A61="","",INDEX(Ledger!$C:$C,AGGREGATE(15,6,ROW(Ledger!$B$3:$B$1002)/(Ledger!$B$3:$B$1002=$B$2),56)))</f>
        <v/>
      </c>
      <c r="C61" s="5">
        <f>IF($A61="","",INDEX(Ledger!$D:$D,AGGREGATE(15,6,ROW(Ledger!$B$3:$B$1002)/(Ledger!$B$3:$B$1002=$B$2),56)))</f>
        <v/>
      </c>
      <c r="D61" s="5">
        <f>IF($A61="","",INDEX(Ledger!$E:$E,AGGREGATE(15,6,ROW(Ledger!$B$3:$B$1002)/(Ledger!$B$3:$B$1002=$B$2),56)))</f>
        <v/>
      </c>
      <c r="E61" s="5">
        <f>IF($A61="","",INDEX(Ledger!$F:$F,AGGREGATE(15,6,ROW(Ledger!$B$3:$B$1002)/(Ledger!$B$3:$B$1002=$B$2),56)))</f>
        <v/>
      </c>
      <c r="F61" s="6">
        <f>IF($A61="","",INDEX(Ledger!$H:$H,AGGREGATE(15,6,ROW(Ledger!$B$3:$B$1002)/(Ledger!$B$3:$B$1002=$B$2),56)))</f>
        <v/>
      </c>
      <c r="G61" s="6">
        <f>IF($A61="","",INDEX(Ledger!$I:$I,AGGREGATE(15,6,ROW(Ledger!$B$3:$B$1002)/(Ledger!$B$3:$B$1002=$B$2),56)))</f>
        <v/>
      </c>
      <c r="H61" s="5">
        <f>IF($A61="","",INDEX(Ledger!$K:$K,AGGREGATE(15,6,ROW(Ledger!$B$3:$B$1002)/(Ledger!$B$3:$B$1002=$B$2),56)))</f>
        <v/>
      </c>
    </row>
    <row r="62">
      <c r="A62" s="3">
        <f>IFERROR(INDEX(Ledger!$A:$A,AGGREGATE(15,6,ROW(Ledger!$B$3:$B$1002)/(Ledger!$B$3:$B$1002=$B$2),57)),"")</f>
        <v/>
      </c>
      <c r="B62" s="5">
        <f>IF($A62="","",INDEX(Ledger!$C:$C,AGGREGATE(15,6,ROW(Ledger!$B$3:$B$1002)/(Ledger!$B$3:$B$1002=$B$2),57)))</f>
        <v/>
      </c>
      <c r="C62" s="5">
        <f>IF($A62="","",INDEX(Ledger!$D:$D,AGGREGATE(15,6,ROW(Ledger!$B$3:$B$1002)/(Ledger!$B$3:$B$1002=$B$2),57)))</f>
        <v/>
      </c>
      <c r="D62" s="5">
        <f>IF($A62="","",INDEX(Ledger!$E:$E,AGGREGATE(15,6,ROW(Ledger!$B$3:$B$1002)/(Ledger!$B$3:$B$1002=$B$2),57)))</f>
        <v/>
      </c>
      <c r="E62" s="5">
        <f>IF($A62="","",INDEX(Ledger!$F:$F,AGGREGATE(15,6,ROW(Ledger!$B$3:$B$1002)/(Ledger!$B$3:$B$1002=$B$2),57)))</f>
        <v/>
      </c>
      <c r="F62" s="6">
        <f>IF($A62="","",INDEX(Ledger!$H:$H,AGGREGATE(15,6,ROW(Ledger!$B$3:$B$1002)/(Ledger!$B$3:$B$1002=$B$2),57)))</f>
        <v/>
      </c>
      <c r="G62" s="6">
        <f>IF($A62="","",INDEX(Ledger!$I:$I,AGGREGATE(15,6,ROW(Ledger!$B$3:$B$1002)/(Ledger!$B$3:$B$1002=$B$2),57)))</f>
        <v/>
      </c>
      <c r="H62" s="5">
        <f>IF($A62="","",INDEX(Ledger!$K:$K,AGGREGATE(15,6,ROW(Ledger!$B$3:$B$1002)/(Ledger!$B$3:$B$1002=$B$2),57)))</f>
        <v/>
      </c>
    </row>
    <row r="63">
      <c r="A63" s="3">
        <f>IFERROR(INDEX(Ledger!$A:$A,AGGREGATE(15,6,ROW(Ledger!$B$3:$B$1002)/(Ledger!$B$3:$B$1002=$B$2),58)),"")</f>
        <v/>
      </c>
      <c r="B63" s="5">
        <f>IF($A63="","",INDEX(Ledger!$C:$C,AGGREGATE(15,6,ROW(Ledger!$B$3:$B$1002)/(Ledger!$B$3:$B$1002=$B$2),58)))</f>
        <v/>
      </c>
      <c r="C63" s="5">
        <f>IF($A63="","",INDEX(Ledger!$D:$D,AGGREGATE(15,6,ROW(Ledger!$B$3:$B$1002)/(Ledger!$B$3:$B$1002=$B$2),58)))</f>
        <v/>
      </c>
      <c r="D63" s="5">
        <f>IF($A63="","",INDEX(Ledger!$E:$E,AGGREGATE(15,6,ROW(Ledger!$B$3:$B$1002)/(Ledger!$B$3:$B$1002=$B$2),58)))</f>
        <v/>
      </c>
      <c r="E63" s="5">
        <f>IF($A63="","",INDEX(Ledger!$F:$F,AGGREGATE(15,6,ROW(Ledger!$B$3:$B$1002)/(Ledger!$B$3:$B$1002=$B$2),58)))</f>
        <v/>
      </c>
      <c r="F63" s="6">
        <f>IF($A63="","",INDEX(Ledger!$H:$H,AGGREGATE(15,6,ROW(Ledger!$B$3:$B$1002)/(Ledger!$B$3:$B$1002=$B$2),58)))</f>
        <v/>
      </c>
      <c r="G63" s="6">
        <f>IF($A63="","",INDEX(Ledger!$I:$I,AGGREGATE(15,6,ROW(Ledger!$B$3:$B$1002)/(Ledger!$B$3:$B$1002=$B$2),58)))</f>
        <v/>
      </c>
      <c r="H63" s="5">
        <f>IF($A63="","",INDEX(Ledger!$K:$K,AGGREGATE(15,6,ROW(Ledger!$B$3:$B$1002)/(Ledger!$B$3:$B$1002=$B$2),58)))</f>
        <v/>
      </c>
    </row>
    <row r="64">
      <c r="A64" s="3">
        <f>IFERROR(INDEX(Ledger!$A:$A,AGGREGATE(15,6,ROW(Ledger!$B$3:$B$1002)/(Ledger!$B$3:$B$1002=$B$2),59)),"")</f>
        <v/>
      </c>
      <c r="B64" s="5">
        <f>IF($A64="","",INDEX(Ledger!$C:$C,AGGREGATE(15,6,ROW(Ledger!$B$3:$B$1002)/(Ledger!$B$3:$B$1002=$B$2),59)))</f>
        <v/>
      </c>
      <c r="C64" s="5">
        <f>IF($A64="","",INDEX(Ledger!$D:$D,AGGREGATE(15,6,ROW(Ledger!$B$3:$B$1002)/(Ledger!$B$3:$B$1002=$B$2),59)))</f>
        <v/>
      </c>
      <c r="D64" s="5">
        <f>IF($A64="","",INDEX(Ledger!$E:$E,AGGREGATE(15,6,ROW(Ledger!$B$3:$B$1002)/(Ledger!$B$3:$B$1002=$B$2),59)))</f>
        <v/>
      </c>
      <c r="E64" s="5">
        <f>IF($A64="","",INDEX(Ledger!$F:$F,AGGREGATE(15,6,ROW(Ledger!$B$3:$B$1002)/(Ledger!$B$3:$B$1002=$B$2),59)))</f>
        <v/>
      </c>
      <c r="F64" s="6">
        <f>IF($A64="","",INDEX(Ledger!$H:$H,AGGREGATE(15,6,ROW(Ledger!$B$3:$B$1002)/(Ledger!$B$3:$B$1002=$B$2),59)))</f>
        <v/>
      </c>
      <c r="G64" s="6">
        <f>IF($A64="","",INDEX(Ledger!$I:$I,AGGREGATE(15,6,ROW(Ledger!$B$3:$B$1002)/(Ledger!$B$3:$B$1002=$B$2),59)))</f>
        <v/>
      </c>
      <c r="H64" s="5">
        <f>IF($A64="","",INDEX(Ledger!$K:$K,AGGREGATE(15,6,ROW(Ledger!$B$3:$B$1002)/(Ledger!$B$3:$B$1002=$B$2),59)))</f>
        <v/>
      </c>
    </row>
    <row r="65">
      <c r="A65" s="3">
        <f>IFERROR(INDEX(Ledger!$A:$A,AGGREGATE(15,6,ROW(Ledger!$B$3:$B$1002)/(Ledger!$B$3:$B$1002=$B$2),60)),"")</f>
        <v/>
      </c>
      <c r="B65" s="5">
        <f>IF($A65="","",INDEX(Ledger!$C:$C,AGGREGATE(15,6,ROW(Ledger!$B$3:$B$1002)/(Ledger!$B$3:$B$1002=$B$2),60)))</f>
        <v/>
      </c>
      <c r="C65" s="5">
        <f>IF($A65="","",INDEX(Ledger!$D:$D,AGGREGATE(15,6,ROW(Ledger!$B$3:$B$1002)/(Ledger!$B$3:$B$1002=$B$2),60)))</f>
        <v/>
      </c>
      <c r="D65" s="5">
        <f>IF($A65="","",INDEX(Ledger!$E:$E,AGGREGATE(15,6,ROW(Ledger!$B$3:$B$1002)/(Ledger!$B$3:$B$1002=$B$2),60)))</f>
        <v/>
      </c>
      <c r="E65" s="5">
        <f>IF($A65="","",INDEX(Ledger!$F:$F,AGGREGATE(15,6,ROW(Ledger!$B$3:$B$1002)/(Ledger!$B$3:$B$1002=$B$2),60)))</f>
        <v/>
      </c>
      <c r="F65" s="6">
        <f>IF($A65="","",INDEX(Ledger!$H:$H,AGGREGATE(15,6,ROW(Ledger!$B$3:$B$1002)/(Ledger!$B$3:$B$1002=$B$2),60)))</f>
        <v/>
      </c>
      <c r="G65" s="6">
        <f>IF($A65="","",INDEX(Ledger!$I:$I,AGGREGATE(15,6,ROW(Ledger!$B$3:$B$1002)/(Ledger!$B$3:$B$1002=$B$2),60)))</f>
        <v/>
      </c>
      <c r="H65" s="5">
        <f>IF($A65="","",INDEX(Ledger!$K:$K,AGGREGATE(15,6,ROW(Ledger!$B$3:$B$1002)/(Ledger!$B$3:$B$1002=$B$2),60)))</f>
        <v/>
      </c>
    </row>
    <row r="66">
      <c r="A66" s="3">
        <f>IFERROR(INDEX(Ledger!$A:$A,AGGREGATE(15,6,ROW(Ledger!$B$3:$B$1002)/(Ledger!$B$3:$B$1002=$B$2),61)),"")</f>
        <v/>
      </c>
      <c r="B66" s="5">
        <f>IF($A66="","",INDEX(Ledger!$C:$C,AGGREGATE(15,6,ROW(Ledger!$B$3:$B$1002)/(Ledger!$B$3:$B$1002=$B$2),61)))</f>
        <v/>
      </c>
      <c r="C66" s="5">
        <f>IF($A66="","",INDEX(Ledger!$D:$D,AGGREGATE(15,6,ROW(Ledger!$B$3:$B$1002)/(Ledger!$B$3:$B$1002=$B$2),61)))</f>
        <v/>
      </c>
      <c r="D66" s="5">
        <f>IF($A66="","",INDEX(Ledger!$E:$E,AGGREGATE(15,6,ROW(Ledger!$B$3:$B$1002)/(Ledger!$B$3:$B$1002=$B$2),61)))</f>
        <v/>
      </c>
      <c r="E66" s="5">
        <f>IF($A66="","",INDEX(Ledger!$F:$F,AGGREGATE(15,6,ROW(Ledger!$B$3:$B$1002)/(Ledger!$B$3:$B$1002=$B$2),61)))</f>
        <v/>
      </c>
      <c r="F66" s="6">
        <f>IF($A66="","",INDEX(Ledger!$H:$H,AGGREGATE(15,6,ROW(Ledger!$B$3:$B$1002)/(Ledger!$B$3:$B$1002=$B$2),61)))</f>
        <v/>
      </c>
      <c r="G66" s="6">
        <f>IF($A66="","",INDEX(Ledger!$I:$I,AGGREGATE(15,6,ROW(Ledger!$B$3:$B$1002)/(Ledger!$B$3:$B$1002=$B$2),61)))</f>
        <v/>
      </c>
      <c r="H66" s="5">
        <f>IF($A66="","",INDEX(Ledger!$K:$K,AGGREGATE(15,6,ROW(Ledger!$B$3:$B$1002)/(Ledger!$B$3:$B$1002=$B$2),61)))</f>
        <v/>
      </c>
    </row>
    <row r="67">
      <c r="A67" s="3">
        <f>IFERROR(INDEX(Ledger!$A:$A,AGGREGATE(15,6,ROW(Ledger!$B$3:$B$1002)/(Ledger!$B$3:$B$1002=$B$2),62)),"")</f>
        <v/>
      </c>
      <c r="B67" s="5">
        <f>IF($A67="","",INDEX(Ledger!$C:$C,AGGREGATE(15,6,ROW(Ledger!$B$3:$B$1002)/(Ledger!$B$3:$B$1002=$B$2),62)))</f>
        <v/>
      </c>
      <c r="C67" s="5">
        <f>IF($A67="","",INDEX(Ledger!$D:$D,AGGREGATE(15,6,ROW(Ledger!$B$3:$B$1002)/(Ledger!$B$3:$B$1002=$B$2),62)))</f>
        <v/>
      </c>
      <c r="D67" s="5">
        <f>IF($A67="","",INDEX(Ledger!$E:$E,AGGREGATE(15,6,ROW(Ledger!$B$3:$B$1002)/(Ledger!$B$3:$B$1002=$B$2),62)))</f>
        <v/>
      </c>
      <c r="E67" s="5">
        <f>IF($A67="","",INDEX(Ledger!$F:$F,AGGREGATE(15,6,ROW(Ledger!$B$3:$B$1002)/(Ledger!$B$3:$B$1002=$B$2),62)))</f>
        <v/>
      </c>
      <c r="F67" s="6">
        <f>IF($A67="","",INDEX(Ledger!$H:$H,AGGREGATE(15,6,ROW(Ledger!$B$3:$B$1002)/(Ledger!$B$3:$B$1002=$B$2),62)))</f>
        <v/>
      </c>
      <c r="G67" s="6">
        <f>IF($A67="","",INDEX(Ledger!$I:$I,AGGREGATE(15,6,ROW(Ledger!$B$3:$B$1002)/(Ledger!$B$3:$B$1002=$B$2),62)))</f>
        <v/>
      </c>
      <c r="H67" s="5">
        <f>IF($A67="","",INDEX(Ledger!$K:$K,AGGREGATE(15,6,ROW(Ledger!$B$3:$B$1002)/(Ledger!$B$3:$B$1002=$B$2),62)))</f>
        <v/>
      </c>
    </row>
    <row r="68">
      <c r="A68" s="3">
        <f>IFERROR(INDEX(Ledger!$A:$A,AGGREGATE(15,6,ROW(Ledger!$B$3:$B$1002)/(Ledger!$B$3:$B$1002=$B$2),63)),"")</f>
        <v/>
      </c>
      <c r="B68" s="5">
        <f>IF($A68="","",INDEX(Ledger!$C:$C,AGGREGATE(15,6,ROW(Ledger!$B$3:$B$1002)/(Ledger!$B$3:$B$1002=$B$2),63)))</f>
        <v/>
      </c>
      <c r="C68" s="5">
        <f>IF($A68="","",INDEX(Ledger!$D:$D,AGGREGATE(15,6,ROW(Ledger!$B$3:$B$1002)/(Ledger!$B$3:$B$1002=$B$2),63)))</f>
        <v/>
      </c>
      <c r="D68" s="5">
        <f>IF($A68="","",INDEX(Ledger!$E:$E,AGGREGATE(15,6,ROW(Ledger!$B$3:$B$1002)/(Ledger!$B$3:$B$1002=$B$2),63)))</f>
        <v/>
      </c>
      <c r="E68" s="5">
        <f>IF($A68="","",INDEX(Ledger!$F:$F,AGGREGATE(15,6,ROW(Ledger!$B$3:$B$1002)/(Ledger!$B$3:$B$1002=$B$2),63)))</f>
        <v/>
      </c>
      <c r="F68" s="6">
        <f>IF($A68="","",INDEX(Ledger!$H:$H,AGGREGATE(15,6,ROW(Ledger!$B$3:$B$1002)/(Ledger!$B$3:$B$1002=$B$2),63)))</f>
        <v/>
      </c>
      <c r="G68" s="6">
        <f>IF($A68="","",INDEX(Ledger!$I:$I,AGGREGATE(15,6,ROW(Ledger!$B$3:$B$1002)/(Ledger!$B$3:$B$1002=$B$2),63)))</f>
        <v/>
      </c>
      <c r="H68" s="5">
        <f>IF($A68="","",INDEX(Ledger!$K:$K,AGGREGATE(15,6,ROW(Ledger!$B$3:$B$1002)/(Ledger!$B$3:$B$1002=$B$2),63)))</f>
        <v/>
      </c>
    </row>
    <row r="69">
      <c r="A69" s="3">
        <f>IFERROR(INDEX(Ledger!$A:$A,AGGREGATE(15,6,ROW(Ledger!$B$3:$B$1002)/(Ledger!$B$3:$B$1002=$B$2),64)),"")</f>
        <v/>
      </c>
      <c r="B69" s="5">
        <f>IF($A69="","",INDEX(Ledger!$C:$C,AGGREGATE(15,6,ROW(Ledger!$B$3:$B$1002)/(Ledger!$B$3:$B$1002=$B$2),64)))</f>
        <v/>
      </c>
      <c r="C69" s="5">
        <f>IF($A69="","",INDEX(Ledger!$D:$D,AGGREGATE(15,6,ROW(Ledger!$B$3:$B$1002)/(Ledger!$B$3:$B$1002=$B$2),64)))</f>
        <v/>
      </c>
      <c r="D69" s="5">
        <f>IF($A69="","",INDEX(Ledger!$E:$E,AGGREGATE(15,6,ROW(Ledger!$B$3:$B$1002)/(Ledger!$B$3:$B$1002=$B$2),64)))</f>
        <v/>
      </c>
      <c r="E69" s="5">
        <f>IF($A69="","",INDEX(Ledger!$F:$F,AGGREGATE(15,6,ROW(Ledger!$B$3:$B$1002)/(Ledger!$B$3:$B$1002=$B$2),64)))</f>
        <v/>
      </c>
      <c r="F69" s="6">
        <f>IF($A69="","",INDEX(Ledger!$H:$H,AGGREGATE(15,6,ROW(Ledger!$B$3:$B$1002)/(Ledger!$B$3:$B$1002=$B$2),64)))</f>
        <v/>
      </c>
      <c r="G69" s="6">
        <f>IF($A69="","",INDEX(Ledger!$I:$I,AGGREGATE(15,6,ROW(Ledger!$B$3:$B$1002)/(Ledger!$B$3:$B$1002=$B$2),64)))</f>
        <v/>
      </c>
      <c r="H69" s="5">
        <f>IF($A69="","",INDEX(Ledger!$K:$K,AGGREGATE(15,6,ROW(Ledger!$B$3:$B$1002)/(Ledger!$B$3:$B$1002=$B$2),64)))</f>
        <v/>
      </c>
    </row>
    <row r="70">
      <c r="A70" s="3">
        <f>IFERROR(INDEX(Ledger!$A:$A,AGGREGATE(15,6,ROW(Ledger!$B$3:$B$1002)/(Ledger!$B$3:$B$1002=$B$2),65)),"")</f>
        <v/>
      </c>
      <c r="B70" s="5">
        <f>IF($A70="","",INDEX(Ledger!$C:$C,AGGREGATE(15,6,ROW(Ledger!$B$3:$B$1002)/(Ledger!$B$3:$B$1002=$B$2),65)))</f>
        <v/>
      </c>
      <c r="C70" s="5">
        <f>IF($A70="","",INDEX(Ledger!$D:$D,AGGREGATE(15,6,ROW(Ledger!$B$3:$B$1002)/(Ledger!$B$3:$B$1002=$B$2),65)))</f>
        <v/>
      </c>
      <c r="D70" s="5">
        <f>IF($A70="","",INDEX(Ledger!$E:$E,AGGREGATE(15,6,ROW(Ledger!$B$3:$B$1002)/(Ledger!$B$3:$B$1002=$B$2),65)))</f>
        <v/>
      </c>
      <c r="E70" s="5">
        <f>IF($A70="","",INDEX(Ledger!$F:$F,AGGREGATE(15,6,ROW(Ledger!$B$3:$B$1002)/(Ledger!$B$3:$B$1002=$B$2),65)))</f>
        <v/>
      </c>
      <c r="F70" s="6">
        <f>IF($A70="","",INDEX(Ledger!$H:$H,AGGREGATE(15,6,ROW(Ledger!$B$3:$B$1002)/(Ledger!$B$3:$B$1002=$B$2),65)))</f>
        <v/>
      </c>
      <c r="G70" s="6">
        <f>IF($A70="","",INDEX(Ledger!$I:$I,AGGREGATE(15,6,ROW(Ledger!$B$3:$B$1002)/(Ledger!$B$3:$B$1002=$B$2),65)))</f>
        <v/>
      </c>
      <c r="H70" s="5">
        <f>IF($A70="","",INDEX(Ledger!$K:$K,AGGREGATE(15,6,ROW(Ledger!$B$3:$B$1002)/(Ledger!$B$3:$B$1002=$B$2),65)))</f>
        <v/>
      </c>
    </row>
    <row r="71">
      <c r="A71" s="3">
        <f>IFERROR(INDEX(Ledger!$A:$A,AGGREGATE(15,6,ROW(Ledger!$B$3:$B$1002)/(Ledger!$B$3:$B$1002=$B$2),66)),"")</f>
        <v/>
      </c>
      <c r="B71" s="5">
        <f>IF($A71="","",INDEX(Ledger!$C:$C,AGGREGATE(15,6,ROW(Ledger!$B$3:$B$1002)/(Ledger!$B$3:$B$1002=$B$2),66)))</f>
        <v/>
      </c>
      <c r="C71" s="5">
        <f>IF($A71="","",INDEX(Ledger!$D:$D,AGGREGATE(15,6,ROW(Ledger!$B$3:$B$1002)/(Ledger!$B$3:$B$1002=$B$2),66)))</f>
        <v/>
      </c>
      <c r="D71" s="5">
        <f>IF($A71="","",INDEX(Ledger!$E:$E,AGGREGATE(15,6,ROW(Ledger!$B$3:$B$1002)/(Ledger!$B$3:$B$1002=$B$2),66)))</f>
        <v/>
      </c>
      <c r="E71" s="5">
        <f>IF($A71="","",INDEX(Ledger!$F:$F,AGGREGATE(15,6,ROW(Ledger!$B$3:$B$1002)/(Ledger!$B$3:$B$1002=$B$2),66)))</f>
        <v/>
      </c>
      <c r="F71" s="6">
        <f>IF($A71="","",INDEX(Ledger!$H:$H,AGGREGATE(15,6,ROW(Ledger!$B$3:$B$1002)/(Ledger!$B$3:$B$1002=$B$2),66)))</f>
        <v/>
      </c>
      <c r="G71" s="6">
        <f>IF($A71="","",INDEX(Ledger!$I:$I,AGGREGATE(15,6,ROW(Ledger!$B$3:$B$1002)/(Ledger!$B$3:$B$1002=$B$2),66)))</f>
        <v/>
      </c>
      <c r="H71" s="5">
        <f>IF($A71="","",INDEX(Ledger!$K:$K,AGGREGATE(15,6,ROW(Ledger!$B$3:$B$1002)/(Ledger!$B$3:$B$1002=$B$2),66)))</f>
        <v/>
      </c>
    </row>
    <row r="72">
      <c r="A72" s="3">
        <f>IFERROR(INDEX(Ledger!$A:$A,AGGREGATE(15,6,ROW(Ledger!$B$3:$B$1002)/(Ledger!$B$3:$B$1002=$B$2),67)),"")</f>
        <v/>
      </c>
      <c r="B72" s="5">
        <f>IF($A72="","",INDEX(Ledger!$C:$C,AGGREGATE(15,6,ROW(Ledger!$B$3:$B$1002)/(Ledger!$B$3:$B$1002=$B$2),67)))</f>
        <v/>
      </c>
      <c r="C72" s="5">
        <f>IF($A72="","",INDEX(Ledger!$D:$D,AGGREGATE(15,6,ROW(Ledger!$B$3:$B$1002)/(Ledger!$B$3:$B$1002=$B$2),67)))</f>
        <v/>
      </c>
      <c r="D72" s="5">
        <f>IF($A72="","",INDEX(Ledger!$E:$E,AGGREGATE(15,6,ROW(Ledger!$B$3:$B$1002)/(Ledger!$B$3:$B$1002=$B$2),67)))</f>
        <v/>
      </c>
      <c r="E72" s="5">
        <f>IF($A72="","",INDEX(Ledger!$F:$F,AGGREGATE(15,6,ROW(Ledger!$B$3:$B$1002)/(Ledger!$B$3:$B$1002=$B$2),67)))</f>
        <v/>
      </c>
      <c r="F72" s="6">
        <f>IF($A72="","",INDEX(Ledger!$H:$H,AGGREGATE(15,6,ROW(Ledger!$B$3:$B$1002)/(Ledger!$B$3:$B$1002=$B$2),67)))</f>
        <v/>
      </c>
      <c r="G72" s="6">
        <f>IF($A72="","",INDEX(Ledger!$I:$I,AGGREGATE(15,6,ROW(Ledger!$B$3:$B$1002)/(Ledger!$B$3:$B$1002=$B$2),67)))</f>
        <v/>
      </c>
      <c r="H72" s="5">
        <f>IF($A72="","",INDEX(Ledger!$K:$K,AGGREGATE(15,6,ROW(Ledger!$B$3:$B$1002)/(Ledger!$B$3:$B$1002=$B$2),67)))</f>
        <v/>
      </c>
    </row>
    <row r="73">
      <c r="A73" s="3">
        <f>IFERROR(INDEX(Ledger!$A:$A,AGGREGATE(15,6,ROW(Ledger!$B$3:$B$1002)/(Ledger!$B$3:$B$1002=$B$2),68)),"")</f>
        <v/>
      </c>
      <c r="B73" s="5">
        <f>IF($A73="","",INDEX(Ledger!$C:$C,AGGREGATE(15,6,ROW(Ledger!$B$3:$B$1002)/(Ledger!$B$3:$B$1002=$B$2),68)))</f>
        <v/>
      </c>
      <c r="C73" s="5">
        <f>IF($A73="","",INDEX(Ledger!$D:$D,AGGREGATE(15,6,ROW(Ledger!$B$3:$B$1002)/(Ledger!$B$3:$B$1002=$B$2),68)))</f>
        <v/>
      </c>
      <c r="D73" s="5">
        <f>IF($A73="","",INDEX(Ledger!$E:$E,AGGREGATE(15,6,ROW(Ledger!$B$3:$B$1002)/(Ledger!$B$3:$B$1002=$B$2),68)))</f>
        <v/>
      </c>
      <c r="E73" s="5">
        <f>IF($A73="","",INDEX(Ledger!$F:$F,AGGREGATE(15,6,ROW(Ledger!$B$3:$B$1002)/(Ledger!$B$3:$B$1002=$B$2),68)))</f>
        <v/>
      </c>
      <c r="F73" s="6">
        <f>IF($A73="","",INDEX(Ledger!$H:$H,AGGREGATE(15,6,ROW(Ledger!$B$3:$B$1002)/(Ledger!$B$3:$B$1002=$B$2),68)))</f>
        <v/>
      </c>
      <c r="G73" s="6">
        <f>IF($A73="","",INDEX(Ledger!$I:$I,AGGREGATE(15,6,ROW(Ledger!$B$3:$B$1002)/(Ledger!$B$3:$B$1002=$B$2),68)))</f>
        <v/>
      </c>
      <c r="H73" s="5">
        <f>IF($A73="","",INDEX(Ledger!$K:$K,AGGREGATE(15,6,ROW(Ledger!$B$3:$B$1002)/(Ledger!$B$3:$B$1002=$B$2),68)))</f>
        <v/>
      </c>
    </row>
    <row r="74">
      <c r="A74" s="3">
        <f>IFERROR(INDEX(Ledger!$A:$A,AGGREGATE(15,6,ROW(Ledger!$B$3:$B$1002)/(Ledger!$B$3:$B$1002=$B$2),69)),"")</f>
        <v/>
      </c>
      <c r="B74" s="5">
        <f>IF($A74="","",INDEX(Ledger!$C:$C,AGGREGATE(15,6,ROW(Ledger!$B$3:$B$1002)/(Ledger!$B$3:$B$1002=$B$2),69)))</f>
        <v/>
      </c>
      <c r="C74" s="5">
        <f>IF($A74="","",INDEX(Ledger!$D:$D,AGGREGATE(15,6,ROW(Ledger!$B$3:$B$1002)/(Ledger!$B$3:$B$1002=$B$2),69)))</f>
        <v/>
      </c>
      <c r="D74" s="5">
        <f>IF($A74="","",INDEX(Ledger!$E:$E,AGGREGATE(15,6,ROW(Ledger!$B$3:$B$1002)/(Ledger!$B$3:$B$1002=$B$2),69)))</f>
        <v/>
      </c>
      <c r="E74" s="5">
        <f>IF($A74="","",INDEX(Ledger!$F:$F,AGGREGATE(15,6,ROW(Ledger!$B$3:$B$1002)/(Ledger!$B$3:$B$1002=$B$2),69)))</f>
        <v/>
      </c>
      <c r="F74" s="6">
        <f>IF($A74="","",INDEX(Ledger!$H:$H,AGGREGATE(15,6,ROW(Ledger!$B$3:$B$1002)/(Ledger!$B$3:$B$1002=$B$2),69)))</f>
        <v/>
      </c>
      <c r="G74" s="6">
        <f>IF($A74="","",INDEX(Ledger!$I:$I,AGGREGATE(15,6,ROW(Ledger!$B$3:$B$1002)/(Ledger!$B$3:$B$1002=$B$2),69)))</f>
        <v/>
      </c>
      <c r="H74" s="5">
        <f>IF($A74="","",INDEX(Ledger!$K:$K,AGGREGATE(15,6,ROW(Ledger!$B$3:$B$1002)/(Ledger!$B$3:$B$1002=$B$2),69)))</f>
        <v/>
      </c>
    </row>
    <row r="75">
      <c r="A75" s="3">
        <f>IFERROR(INDEX(Ledger!$A:$A,AGGREGATE(15,6,ROW(Ledger!$B$3:$B$1002)/(Ledger!$B$3:$B$1002=$B$2),70)),"")</f>
        <v/>
      </c>
      <c r="B75" s="5">
        <f>IF($A75="","",INDEX(Ledger!$C:$C,AGGREGATE(15,6,ROW(Ledger!$B$3:$B$1002)/(Ledger!$B$3:$B$1002=$B$2),70)))</f>
        <v/>
      </c>
      <c r="C75" s="5">
        <f>IF($A75="","",INDEX(Ledger!$D:$D,AGGREGATE(15,6,ROW(Ledger!$B$3:$B$1002)/(Ledger!$B$3:$B$1002=$B$2),70)))</f>
        <v/>
      </c>
      <c r="D75" s="5">
        <f>IF($A75="","",INDEX(Ledger!$E:$E,AGGREGATE(15,6,ROW(Ledger!$B$3:$B$1002)/(Ledger!$B$3:$B$1002=$B$2),70)))</f>
        <v/>
      </c>
      <c r="E75" s="5">
        <f>IF($A75="","",INDEX(Ledger!$F:$F,AGGREGATE(15,6,ROW(Ledger!$B$3:$B$1002)/(Ledger!$B$3:$B$1002=$B$2),70)))</f>
        <v/>
      </c>
      <c r="F75" s="6">
        <f>IF($A75="","",INDEX(Ledger!$H:$H,AGGREGATE(15,6,ROW(Ledger!$B$3:$B$1002)/(Ledger!$B$3:$B$1002=$B$2),70)))</f>
        <v/>
      </c>
      <c r="G75" s="6">
        <f>IF($A75="","",INDEX(Ledger!$I:$I,AGGREGATE(15,6,ROW(Ledger!$B$3:$B$1002)/(Ledger!$B$3:$B$1002=$B$2),70)))</f>
        <v/>
      </c>
      <c r="H75" s="5">
        <f>IF($A75="","",INDEX(Ledger!$K:$K,AGGREGATE(15,6,ROW(Ledger!$B$3:$B$1002)/(Ledger!$B$3:$B$1002=$B$2),70)))</f>
        <v/>
      </c>
    </row>
    <row r="76">
      <c r="A76" s="3">
        <f>IFERROR(INDEX(Ledger!$A:$A,AGGREGATE(15,6,ROW(Ledger!$B$3:$B$1002)/(Ledger!$B$3:$B$1002=$B$2),71)),"")</f>
        <v/>
      </c>
      <c r="B76" s="5">
        <f>IF($A76="","",INDEX(Ledger!$C:$C,AGGREGATE(15,6,ROW(Ledger!$B$3:$B$1002)/(Ledger!$B$3:$B$1002=$B$2),71)))</f>
        <v/>
      </c>
      <c r="C76" s="5">
        <f>IF($A76="","",INDEX(Ledger!$D:$D,AGGREGATE(15,6,ROW(Ledger!$B$3:$B$1002)/(Ledger!$B$3:$B$1002=$B$2),71)))</f>
        <v/>
      </c>
      <c r="D76" s="5">
        <f>IF($A76="","",INDEX(Ledger!$E:$E,AGGREGATE(15,6,ROW(Ledger!$B$3:$B$1002)/(Ledger!$B$3:$B$1002=$B$2),71)))</f>
        <v/>
      </c>
      <c r="E76" s="5">
        <f>IF($A76="","",INDEX(Ledger!$F:$F,AGGREGATE(15,6,ROW(Ledger!$B$3:$B$1002)/(Ledger!$B$3:$B$1002=$B$2),71)))</f>
        <v/>
      </c>
      <c r="F76" s="6">
        <f>IF($A76="","",INDEX(Ledger!$H:$H,AGGREGATE(15,6,ROW(Ledger!$B$3:$B$1002)/(Ledger!$B$3:$B$1002=$B$2),71)))</f>
        <v/>
      </c>
      <c r="G76" s="6">
        <f>IF($A76="","",INDEX(Ledger!$I:$I,AGGREGATE(15,6,ROW(Ledger!$B$3:$B$1002)/(Ledger!$B$3:$B$1002=$B$2),71)))</f>
        <v/>
      </c>
      <c r="H76" s="5">
        <f>IF($A76="","",INDEX(Ledger!$K:$K,AGGREGATE(15,6,ROW(Ledger!$B$3:$B$1002)/(Ledger!$B$3:$B$1002=$B$2),71)))</f>
        <v/>
      </c>
    </row>
    <row r="77">
      <c r="A77" s="3">
        <f>IFERROR(INDEX(Ledger!$A:$A,AGGREGATE(15,6,ROW(Ledger!$B$3:$B$1002)/(Ledger!$B$3:$B$1002=$B$2),72)),"")</f>
        <v/>
      </c>
      <c r="B77" s="5">
        <f>IF($A77="","",INDEX(Ledger!$C:$C,AGGREGATE(15,6,ROW(Ledger!$B$3:$B$1002)/(Ledger!$B$3:$B$1002=$B$2),72)))</f>
        <v/>
      </c>
      <c r="C77" s="5">
        <f>IF($A77="","",INDEX(Ledger!$D:$D,AGGREGATE(15,6,ROW(Ledger!$B$3:$B$1002)/(Ledger!$B$3:$B$1002=$B$2),72)))</f>
        <v/>
      </c>
      <c r="D77" s="5">
        <f>IF($A77="","",INDEX(Ledger!$E:$E,AGGREGATE(15,6,ROW(Ledger!$B$3:$B$1002)/(Ledger!$B$3:$B$1002=$B$2),72)))</f>
        <v/>
      </c>
      <c r="E77" s="5">
        <f>IF($A77="","",INDEX(Ledger!$F:$F,AGGREGATE(15,6,ROW(Ledger!$B$3:$B$1002)/(Ledger!$B$3:$B$1002=$B$2),72)))</f>
        <v/>
      </c>
      <c r="F77" s="6">
        <f>IF($A77="","",INDEX(Ledger!$H:$H,AGGREGATE(15,6,ROW(Ledger!$B$3:$B$1002)/(Ledger!$B$3:$B$1002=$B$2),72)))</f>
        <v/>
      </c>
      <c r="G77" s="6">
        <f>IF($A77="","",INDEX(Ledger!$I:$I,AGGREGATE(15,6,ROW(Ledger!$B$3:$B$1002)/(Ledger!$B$3:$B$1002=$B$2),72)))</f>
        <v/>
      </c>
      <c r="H77" s="5">
        <f>IF($A77="","",INDEX(Ledger!$K:$K,AGGREGATE(15,6,ROW(Ledger!$B$3:$B$1002)/(Ledger!$B$3:$B$1002=$B$2),72)))</f>
        <v/>
      </c>
    </row>
    <row r="78">
      <c r="A78" s="3">
        <f>IFERROR(INDEX(Ledger!$A:$A,AGGREGATE(15,6,ROW(Ledger!$B$3:$B$1002)/(Ledger!$B$3:$B$1002=$B$2),73)),"")</f>
        <v/>
      </c>
      <c r="B78" s="5">
        <f>IF($A78="","",INDEX(Ledger!$C:$C,AGGREGATE(15,6,ROW(Ledger!$B$3:$B$1002)/(Ledger!$B$3:$B$1002=$B$2),73)))</f>
        <v/>
      </c>
      <c r="C78" s="5">
        <f>IF($A78="","",INDEX(Ledger!$D:$D,AGGREGATE(15,6,ROW(Ledger!$B$3:$B$1002)/(Ledger!$B$3:$B$1002=$B$2),73)))</f>
        <v/>
      </c>
      <c r="D78" s="5">
        <f>IF($A78="","",INDEX(Ledger!$E:$E,AGGREGATE(15,6,ROW(Ledger!$B$3:$B$1002)/(Ledger!$B$3:$B$1002=$B$2),73)))</f>
        <v/>
      </c>
      <c r="E78" s="5">
        <f>IF($A78="","",INDEX(Ledger!$F:$F,AGGREGATE(15,6,ROW(Ledger!$B$3:$B$1002)/(Ledger!$B$3:$B$1002=$B$2),73)))</f>
        <v/>
      </c>
      <c r="F78" s="6">
        <f>IF($A78="","",INDEX(Ledger!$H:$H,AGGREGATE(15,6,ROW(Ledger!$B$3:$B$1002)/(Ledger!$B$3:$B$1002=$B$2),73)))</f>
        <v/>
      </c>
      <c r="G78" s="6">
        <f>IF($A78="","",INDEX(Ledger!$I:$I,AGGREGATE(15,6,ROW(Ledger!$B$3:$B$1002)/(Ledger!$B$3:$B$1002=$B$2),73)))</f>
        <v/>
      </c>
      <c r="H78" s="5">
        <f>IF($A78="","",INDEX(Ledger!$K:$K,AGGREGATE(15,6,ROW(Ledger!$B$3:$B$1002)/(Ledger!$B$3:$B$1002=$B$2),73)))</f>
        <v/>
      </c>
    </row>
    <row r="79">
      <c r="A79" s="3">
        <f>IFERROR(INDEX(Ledger!$A:$A,AGGREGATE(15,6,ROW(Ledger!$B$3:$B$1002)/(Ledger!$B$3:$B$1002=$B$2),74)),"")</f>
        <v/>
      </c>
      <c r="B79" s="5">
        <f>IF($A79="","",INDEX(Ledger!$C:$C,AGGREGATE(15,6,ROW(Ledger!$B$3:$B$1002)/(Ledger!$B$3:$B$1002=$B$2),74)))</f>
        <v/>
      </c>
      <c r="C79" s="5">
        <f>IF($A79="","",INDEX(Ledger!$D:$D,AGGREGATE(15,6,ROW(Ledger!$B$3:$B$1002)/(Ledger!$B$3:$B$1002=$B$2),74)))</f>
        <v/>
      </c>
      <c r="D79" s="5">
        <f>IF($A79="","",INDEX(Ledger!$E:$E,AGGREGATE(15,6,ROW(Ledger!$B$3:$B$1002)/(Ledger!$B$3:$B$1002=$B$2),74)))</f>
        <v/>
      </c>
      <c r="E79" s="5">
        <f>IF($A79="","",INDEX(Ledger!$F:$F,AGGREGATE(15,6,ROW(Ledger!$B$3:$B$1002)/(Ledger!$B$3:$B$1002=$B$2),74)))</f>
        <v/>
      </c>
      <c r="F79" s="6">
        <f>IF($A79="","",INDEX(Ledger!$H:$H,AGGREGATE(15,6,ROW(Ledger!$B$3:$B$1002)/(Ledger!$B$3:$B$1002=$B$2),74)))</f>
        <v/>
      </c>
      <c r="G79" s="6">
        <f>IF($A79="","",INDEX(Ledger!$I:$I,AGGREGATE(15,6,ROW(Ledger!$B$3:$B$1002)/(Ledger!$B$3:$B$1002=$B$2),74)))</f>
        <v/>
      </c>
      <c r="H79" s="5">
        <f>IF($A79="","",INDEX(Ledger!$K:$K,AGGREGATE(15,6,ROW(Ledger!$B$3:$B$1002)/(Ledger!$B$3:$B$1002=$B$2),74)))</f>
        <v/>
      </c>
    </row>
    <row r="80">
      <c r="A80" s="3">
        <f>IFERROR(INDEX(Ledger!$A:$A,AGGREGATE(15,6,ROW(Ledger!$B$3:$B$1002)/(Ledger!$B$3:$B$1002=$B$2),75)),"")</f>
        <v/>
      </c>
      <c r="B80" s="5">
        <f>IF($A80="","",INDEX(Ledger!$C:$C,AGGREGATE(15,6,ROW(Ledger!$B$3:$B$1002)/(Ledger!$B$3:$B$1002=$B$2),75)))</f>
        <v/>
      </c>
      <c r="C80" s="5">
        <f>IF($A80="","",INDEX(Ledger!$D:$D,AGGREGATE(15,6,ROW(Ledger!$B$3:$B$1002)/(Ledger!$B$3:$B$1002=$B$2),75)))</f>
        <v/>
      </c>
      <c r="D80" s="5">
        <f>IF($A80="","",INDEX(Ledger!$E:$E,AGGREGATE(15,6,ROW(Ledger!$B$3:$B$1002)/(Ledger!$B$3:$B$1002=$B$2),75)))</f>
        <v/>
      </c>
      <c r="E80" s="5">
        <f>IF($A80="","",INDEX(Ledger!$F:$F,AGGREGATE(15,6,ROW(Ledger!$B$3:$B$1002)/(Ledger!$B$3:$B$1002=$B$2),75)))</f>
        <v/>
      </c>
      <c r="F80" s="6">
        <f>IF($A80="","",INDEX(Ledger!$H:$H,AGGREGATE(15,6,ROW(Ledger!$B$3:$B$1002)/(Ledger!$B$3:$B$1002=$B$2),75)))</f>
        <v/>
      </c>
      <c r="G80" s="6">
        <f>IF($A80="","",INDEX(Ledger!$I:$I,AGGREGATE(15,6,ROW(Ledger!$B$3:$B$1002)/(Ledger!$B$3:$B$1002=$B$2),75)))</f>
        <v/>
      </c>
      <c r="H80" s="5">
        <f>IF($A80="","",INDEX(Ledger!$K:$K,AGGREGATE(15,6,ROW(Ledger!$B$3:$B$1002)/(Ledger!$B$3:$B$1002=$B$2),75)))</f>
        <v/>
      </c>
    </row>
    <row r="81">
      <c r="A81" s="3">
        <f>IFERROR(INDEX(Ledger!$A:$A,AGGREGATE(15,6,ROW(Ledger!$B$3:$B$1002)/(Ledger!$B$3:$B$1002=$B$2),76)),"")</f>
        <v/>
      </c>
      <c r="B81" s="5">
        <f>IF($A81="","",INDEX(Ledger!$C:$C,AGGREGATE(15,6,ROW(Ledger!$B$3:$B$1002)/(Ledger!$B$3:$B$1002=$B$2),76)))</f>
        <v/>
      </c>
      <c r="C81" s="5">
        <f>IF($A81="","",INDEX(Ledger!$D:$D,AGGREGATE(15,6,ROW(Ledger!$B$3:$B$1002)/(Ledger!$B$3:$B$1002=$B$2),76)))</f>
        <v/>
      </c>
      <c r="D81" s="5">
        <f>IF($A81="","",INDEX(Ledger!$E:$E,AGGREGATE(15,6,ROW(Ledger!$B$3:$B$1002)/(Ledger!$B$3:$B$1002=$B$2),76)))</f>
        <v/>
      </c>
      <c r="E81" s="5">
        <f>IF($A81="","",INDEX(Ledger!$F:$F,AGGREGATE(15,6,ROW(Ledger!$B$3:$B$1002)/(Ledger!$B$3:$B$1002=$B$2),76)))</f>
        <v/>
      </c>
      <c r="F81" s="6">
        <f>IF($A81="","",INDEX(Ledger!$H:$H,AGGREGATE(15,6,ROW(Ledger!$B$3:$B$1002)/(Ledger!$B$3:$B$1002=$B$2),76)))</f>
        <v/>
      </c>
      <c r="G81" s="6">
        <f>IF($A81="","",INDEX(Ledger!$I:$I,AGGREGATE(15,6,ROW(Ledger!$B$3:$B$1002)/(Ledger!$B$3:$B$1002=$B$2),76)))</f>
        <v/>
      </c>
      <c r="H81" s="5">
        <f>IF($A81="","",INDEX(Ledger!$K:$K,AGGREGATE(15,6,ROW(Ledger!$B$3:$B$1002)/(Ledger!$B$3:$B$1002=$B$2),76)))</f>
        <v/>
      </c>
    </row>
    <row r="82">
      <c r="A82" s="3">
        <f>IFERROR(INDEX(Ledger!$A:$A,AGGREGATE(15,6,ROW(Ledger!$B$3:$B$1002)/(Ledger!$B$3:$B$1002=$B$2),77)),"")</f>
        <v/>
      </c>
      <c r="B82" s="5">
        <f>IF($A82="","",INDEX(Ledger!$C:$C,AGGREGATE(15,6,ROW(Ledger!$B$3:$B$1002)/(Ledger!$B$3:$B$1002=$B$2),77)))</f>
        <v/>
      </c>
      <c r="C82" s="5">
        <f>IF($A82="","",INDEX(Ledger!$D:$D,AGGREGATE(15,6,ROW(Ledger!$B$3:$B$1002)/(Ledger!$B$3:$B$1002=$B$2),77)))</f>
        <v/>
      </c>
      <c r="D82" s="5">
        <f>IF($A82="","",INDEX(Ledger!$E:$E,AGGREGATE(15,6,ROW(Ledger!$B$3:$B$1002)/(Ledger!$B$3:$B$1002=$B$2),77)))</f>
        <v/>
      </c>
      <c r="E82" s="5">
        <f>IF($A82="","",INDEX(Ledger!$F:$F,AGGREGATE(15,6,ROW(Ledger!$B$3:$B$1002)/(Ledger!$B$3:$B$1002=$B$2),77)))</f>
        <v/>
      </c>
      <c r="F82" s="6">
        <f>IF($A82="","",INDEX(Ledger!$H:$H,AGGREGATE(15,6,ROW(Ledger!$B$3:$B$1002)/(Ledger!$B$3:$B$1002=$B$2),77)))</f>
        <v/>
      </c>
      <c r="G82" s="6">
        <f>IF($A82="","",INDEX(Ledger!$I:$I,AGGREGATE(15,6,ROW(Ledger!$B$3:$B$1002)/(Ledger!$B$3:$B$1002=$B$2),77)))</f>
        <v/>
      </c>
      <c r="H82" s="5">
        <f>IF($A82="","",INDEX(Ledger!$K:$K,AGGREGATE(15,6,ROW(Ledger!$B$3:$B$1002)/(Ledger!$B$3:$B$1002=$B$2),77)))</f>
        <v/>
      </c>
    </row>
    <row r="83">
      <c r="A83" s="3">
        <f>IFERROR(INDEX(Ledger!$A:$A,AGGREGATE(15,6,ROW(Ledger!$B$3:$B$1002)/(Ledger!$B$3:$B$1002=$B$2),78)),"")</f>
        <v/>
      </c>
      <c r="B83" s="5">
        <f>IF($A83="","",INDEX(Ledger!$C:$C,AGGREGATE(15,6,ROW(Ledger!$B$3:$B$1002)/(Ledger!$B$3:$B$1002=$B$2),78)))</f>
        <v/>
      </c>
      <c r="C83" s="5">
        <f>IF($A83="","",INDEX(Ledger!$D:$D,AGGREGATE(15,6,ROW(Ledger!$B$3:$B$1002)/(Ledger!$B$3:$B$1002=$B$2),78)))</f>
        <v/>
      </c>
      <c r="D83" s="5">
        <f>IF($A83="","",INDEX(Ledger!$E:$E,AGGREGATE(15,6,ROW(Ledger!$B$3:$B$1002)/(Ledger!$B$3:$B$1002=$B$2),78)))</f>
        <v/>
      </c>
      <c r="E83" s="5">
        <f>IF($A83="","",INDEX(Ledger!$F:$F,AGGREGATE(15,6,ROW(Ledger!$B$3:$B$1002)/(Ledger!$B$3:$B$1002=$B$2),78)))</f>
        <v/>
      </c>
      <c r="F83" s="6">
        <f>IF($A83="","",INDEX(Ledger!$H:$H,AGGREGATE(15,6,ROW(Ledger!$B$3:$B$1002)/(Ledger!$B$3:$B$1002=$B$2),78)))</f>
        <v/>
      </c>
      <c r="G83" s="6">
        <f>IF($A83="","",INDEX(Ledger!$I:$I,AGGREGATE(15,6,ROW(Ledger!$B$3:$B$1002)/(Ledger!$B$3:$B$1002=$B$2),78)))</f>
        <v/>
      </c>
      <c r="H83" s="5">
        <f>IF($A83="","",INDEX(Ledger!$K:$K,AGGREGATE(15,6,ROW(Ledger!$B$3:$B$1002)/(Ledger!$B$3:$B$1002=$B$2),78)))</f>
        <v/>
      </c>
    </row>
    <row r="84">
      <c r="A84" s="3">
        <f>IFERROR(INDEX(Ledger!$A:$A,AGGREGATE(15,6,ROW(Ledger!$B$3:$B$1002)/(Ledger!$B$3:$B$1002=$B$2),79)),"")</f>
        <v/>
      </c>
      <c r="B84" s="5">
        <f>IF($A84="","",INDEX(Ledger!$C:$C,AGGREGATE(15,6,ROW(Ledger!$B$3:$B$1002)/(Ledger!$B$3:$B$1002=$B$2),79)))</f>
        <v/>
      </c>
      <c r="C84" s="5">
        <f>IF($A84="","",INDEX(Ledger!$D:$D,AGGREGATE(15,6,ROW(Ledger!$B$3:$B$1002)/(Ledger!$B$3:$B$1002=$B$2),79)))</f>
        <v/>
      </c>
      <c r="D84" s="5">
        <f>IF($A84="","",INDEX(Ledger!$E:$E,AGGREGATE(15,6,ROW(Ledger!$B$3:$B$1002)/(Ledger!$B$3:$B$1002=$B$2),79)))</f>
        <v/>
      </c>
      <c r="E84" s="5">
        <f>IF($A84="","",INDEX(Ledger!$F:$F,AGGREGATE(15,6,ROW(Ledger!$B$3:$B$1002)/(Ledger!$B$3:$B$1002=$B$2),79)))</f>
        <v/>
      </c>
      <c r="F84" s="6">
        <f>IF($A84="","",INDEX(Ledger!$H:$H,AGGREGATE(15,6,ROW(Ledger!$B$3:$B$1002)/(Ledger!$B$3:$B$1002=$B$2),79)))</f>
        <v/>
      </c>
      <c r="G84" s="6">
        <f>IF($A84="","",INDEX(Ledger!$I:$I,AGGREGATE(15,6,ROW(Ledger!$B$3:$B$1002)/(Ledger!$B$3:$B$1002=$B$2),79)))</f>
        <v/>
      </c>
      <c r="H84" s="5">
        <f>IF($A84="","",INDEX(Ledger!$K:$K,AGGREGATE(15,6,ROW(Ledger!$B$3:$B$1002)/(Ledger!$B$3:$B$1002=$B$2),79)))</f>
        <v/>
      </c>
    </row>
    <row r="85">
      <c r="A85" s="3">
        <f>IFERROR(INDEX(Ledger!$A:$A,AGGREGATE(15,6,ROW(Ledger!$B$3:$B$1002)/(Ledger!$B$3:$B$1002=$B$2),80)),"")</f>
        <v/>
      </c>
      <c r="B85" s="5">
        <f>IF($A85="","",INDEX(Ledger!$C:$C,AGGREGATE(15,6,ROW(Ledger!$B$3:$B$1002)/(Ledger!$B$3:$B$1002=$B$2),80)))</f>
        <v/>
      </c>
      <c r="C85" s="5">
        <f>IF($A85="","",INDEX(Ledger!$D:$D,AGGREGATE(15,6,ROW(Ledger!$B$3:$B$1002)/(Ledger!$B$3:$B$1002=$B$2),80)))</f>
        <v/>
      </c>
      <c r="D85" s="5">
        <f>IF($A85="","",INDEX(Ledger!$E:$E,AGGREGATE(15,6,ROW(Ledger!$B$3:$B$1002)/(Ledger!$B$3:$B$1002=$B$2),80)))</f>
        <v/>
      </c>
      <c r="E85" s="5">
        <f>IF($A85="","",INDEX(Ledger!$F:$F,AGGREGATE(15,6,ROW(Ledger!$B$3:$B$1002)/(Ledger!$B$3:$B$1002=$B$2),80)))</f>
        <v/>
      </c>
      <c r="F85" s="6">
        <f>IF($A85="","",INDEX(Ledger!$H:$H,AGGREGATE(15,6,ROW(Ledger!$B$3:$B$1002)/(Ledger!$B$3:$B$1002=$B$2),80)))</f>
        <v/>
      </c>
      <c r="G85" s="6">
        <f>IF($A85="","",INDEX(Ledger!$I:$I,AGGREGATE(15,6,ROW(Ledger!$B$3:$B$1002)/(Ledger!$B$3:$B$1002=$B$2),80)))</f>
        <v/>
      </c>
      <c r="H85" s="5">
        <f>IF($A85="","",INDEX(Ledger!$K:$K,AGGREGATE(15,6,ROW(Ledger!$B$3:$B$1002)/(Ledger!$B$3:$B$1002=$B$2),80)))</f>
        <v/>
      </c>
    </row>
    <row r="86">
      <c r="A86" s="3">
        <f>IFERROR(INDEX(Ledger!$A:$A,AGGREGATE(15,6,ROW(Ledger!$B$3:$B$1002)/(Ledger!$B$3:$B$1002=$B$2),81)),"")</f>
        <v/>
      </c>
      <c r="B86" s="5">
        <f>IF($A86="","",INDEX(Ledger!$C:$C,AGGREGATE(15,6,ROW(Ledger!$B$3:$B$1002)/(Ledger!$B$3:$B$1002=$B$2),81)))</f>
        <v/>
      </c>
      <c r="C86" s="5">
        <f>IF($A86="","",INDEX(Ledger!$D:$D,AGGREGATE(15,6,ROW(Ledger!$B$3:$B$1002)/(Ledger!$B$3:$B$1002=$B$2),81)))</f>
        <v/>
      </c>
      <c r="D86" s="5">
        <f>IF($A86="","",INDEX(Ledger!$E:$E,AGGREGATE(15,6,ROW(Ledger!$B$3:$B$1002)/(Ledger!$B$3:$B$1002=$B$2),81)))</f>
        <v/>
      </c>
      <c r="E86" s="5">
        <f>IF($A86="","",INDEX(Ledger!$F:$F,AGGREGATE(15,6,ROW(Ledger!$B$3:$B$1002)/(Ledger!$B$3:$B$1002=$B$2),81)))</f>
        <v/>
      </c>
      <c r="F86" s="6">
        <f>IF($A86="","",INDEX(Ledger!$H:$H,AGGREGATE(15,6,ROW(Ledger!$B$3:$B$1002)/(Ledger!$B$3:$B$1002=$B$2),81)))</f>
        <v/>
      </c>
      <c r="G86" s="6">
        <f>IF($A86="","",INDEX(Ledger!$I:$I,AGGREGATE(15,6,ROW(Ledger!$B$3:$B$1002)/(Ledger!$B$3:$B$1002=$B$2),81)))</f>
        <v/>
      </c>
      <c r="H86" s="5">
        <f>IF($A86="","",INDEX(Ledger!$K:$K,AGGREGATE(15,6,ROW(Ledger!$B$3:$B$1002)/(Ledger!$B$3:$B$1002=$B$2),81)))</f>
        <v/>
      </c>
    </row>
    <row r="87">
      <c r="A87" s="3">
        <f>IFERROR(INDEX(Ledger!$A:$A,AGGREGATE(15,6,ROW(Ledger!$B$3:$B$1002)/(Ledger!$B$3:$B$1002=$B$2),82)),"")</f>
        <v/>
      </c>
      <c r="B87" s="5">
        <f>IF($A87="","",INDEX(Ledger!$C:$C,AGGREGATE(15,6,ROW(Ledger!$B$3:$B$1002)/(Ledger!$B$3:$B$1002=$B$2),82)))</f>
        <v/>
      </c>
      <c r="C87" s="5">
        <f>IF($A87="","",INDEX(Ledger!$D:$D,AGGREGATE(15,6,ROW(Ledger!$B$3:$B$1002)/(Ledger!$B$3:$B$1002=$B$2),82)))</f>
        <v/>
      </c>
      <c r="D87" s="5">
        <f>IF($A87="","",INDEX(Ledger!$E:$E,AGGREGATE(15,6,ROW(Ledger!$B$3:$B$1002)/(Ledger!$B$3:$B$1002=$B$2),82)))</f>
        <v/>
      </c>
      <c r="E87" s="5">
        <f>IF($A87="","",INDEX(Ledger!$F:$F,AGGREGATE(15,6,ROW(Ledger!$B$3:$B$1002)/(Ledger!$B$3:$B$1002=$B$2),82)))</f>
        <v/>
      </c>
      <c r="F87" s="6">
        <f>IF($A87="","",INDEX(Ledger!$H:$H,AGGREGATE(15,6,ROW(Ledger!$B$3:$B$1002)/(Ledger!$B$3:$B$1002=$B$2),82)))</f>
        <v/>
      </c>
      <c r="G87" s="6">
        <f>IF($A87="","",INDEX(Ledger!$I:$I,AGGREGATE(15,6,ROW(Ledger!$B$3:$B$1002)/(Ledger!$B$3:$B$1002=$B$2),82)))</f>
        <v/>
      </c>
      <c r="H87" s="5">
        <f>IF($A87="","",INDEX(Ledger!$K:$K,AGGREGATE(15,6,ROW(Ledger!$B$3:$B$1002)/(Ledger!$B$3:$B$1002=$B$2),82)))</f>
        <v/>
      </c>
    </row>
    <row r="88">
      <c r="A88" s="3">
        <f>IFERROR(INDEX(Ledger!$A:$A,AGGREGATE(15,6,ROW(Ledger!$B$3:$B$1002)/(Ledger!$B$3:$B$1002=$B$2),83)),"")</f>
        <v/>
      </c>
      <c r="B88" s="5">
        <f>IF($A88="","",INDEX(Ledger!$C:$C,AGGREGATE(15,6,ROW(Ledger!$B$3:$B$1002)/(Ledger!$B$3:$B$1002=$B$2),83)))</f>
        <v/>
      </c>
      <c r="C88" s="5">
        <f>IF($A88="","",INDEX(Ledger!$D:$D,AGGREGATE(15,6,ROW(Ledger!$B$3:$B$1002)/(Ledger!$B$3:$B$1002=$B$2),83)))</f>
        <v/>
      </c>
      <c r="D88" s="5">
        <f>IF($A88="","",INDEX(Ledger!$E:$E,AGGREGATE(15,6,ROW(Ledger!$B$3:$B$1002)/(Ledger!$B$3:$B$1002=$B$2),83)))</f>
        <v/>
      </c>
      <c r="E88" s="5">
        <f>IF($A88="","",INDEX(Ledger!$F:$F,AGGREGATE(15,6,ROW(Ledger!$B$3:$B$1002)/(Ledger!$B$3:$B$1002=$B$2),83)))</f>
        <v/>
      </c>
      <c r="F88" s="6">
        <f>IF($A88="","",INDEX(Ledger!$H:$H,AGGREGATE(15,6,ROW(Ledger!$B$3:$B$1002)/(Ledger!$B$3:$B$1002=$B$2),83)))</f>
        <v/>
      </c>
      <c r="G88" s="6">
        <f>IF($A88="","",INDEX(Ledger!$I:$I,AGGREGATE(15,6,ROW(Ledger!$B$3:$B$1002)/(Ledger!$B$3:$B$1002=$B$2),83)))</f>
        <v/>
      </c>
      <c r="H88" s="5">
        <f>IF($A88="","",INDEX(Ledger!$K:$K,AGGREGATE(15,6,ROW(Ledger!$B$3:$B$1002)/(Ledger!$B$3:$B$1002=$B$2),83)))</f>
        <v/>
      </c>
    </row>
    <row r="89">
      <c r="A89" s="3">
        <f>IFERROR(INDEX(Ledger!$A:$A,AGGREGATE(15,6,ROW(Ledger!$B$3:$B$1002)/(Ledger!$B$3:$B$1002=$B$2),84)),"")</f>
        <v/>
      </c>
      <c r="B89" s="5">
        <f>IF($A89="","",INDEX(Ledger!$C:$C,AGGREGATE(15,6,ROW(Ledger!$B$3:$B$1002)/(Ledger!$B$3:$B$1002=$B$2),84)))</f>
        <v/>
      </c>
      <c r="C89" s="5">
        <f>IF($A89="","",INDEX(Ledger!$D:$D,AGGREGATE(15,6,ROW(Ledger!$B$3:$B$1002)/(Ledger!$B$3:$B$1002=$B$2),84)))</f>
        <v/>
      </c>
      <c r="D89" s="5">
        <f>IF($A89="","",INDEX(Ledger!$E:$E,AGGREGATE(15,6,ROW(Ledger!$B$3:$B$1002)/(Ledger!$B$3:$B$1002=$B$2),84)))</f>
        <v/>
      </c>
      <c r="E89" s="5">
        <f>IF($A89="","",INDEX(Ledger!$F:$F,AGGREGATE(15,6,ROW(Ledger!$B$3:$B$1002)/(Ledger!$B$3:$B$1002=$B$2),84)))</f>
        <v/>
      </c>
      <c r="F89" s="6">
        <f>IF($A89="","",INDEX(Ledger!$H:$H,AGGREGATE(15,6,ROW(Ledger!$B$3:$B$1002)/(Ledger!$B$3:$B$1002=$B$2),84)))</f>
        <v/>
      </c>
      <c r="G89" s="6">
        <f>IF($A89="","",INDEX(Ledger!$I:$I,AGGREGATE(15,6,ROW(Ledger!$B$3:$B$1002)/(Ledger!$B$3:$B$1002=$B$2),84)))</f>
        <v/>
      </c>
      <c r="H89" s="5">
        <f>IF($A89="","",INDEX(Ledger!$K:$K,AGGREGATE(15,6,ROW(Ledger!$B$3:$B$1002)/(Ledger!$B$3:$B$1002=$B$2),84)))</f>
        <v/>
      </c>
    </row>
    <row r="90">
      <c r="A90" s="3">
        <f>IFERROR(INDEX(Ledger!$A:$A,AGGREGATE(15,6,ROW(Ledger!$B$3:$B$1002)/(Ledger!$B$3:$B$1002=$B$2),85)),"")</f>
        <v/>
      </c>
      <c r="B90" s="5">
        <f>IF($A90="","",INDEX(Ledger!$C:$C,AGGREGATE(15,6,ROW(Ledger!$B$3:$B$1002)/(Ledger!$B$3:$B$1002=$B$2),85)))</f>
        <v/>
      </c>
      <c r="C90" s="5">
        <f>IF($A90="","",INDEX(Ledger!$D:$D,AGGREGATE(15,6,ROW(Ledger!$B$3:$B$1002)/(Ledger!$B$3:$B$1002=$B$2),85)))</f>
        <v/>
      </c>
      <c r="D90" s="5">
        <f>IF($A90="","",INDEX(Ledger!$E:$E,AGGREGATE(15,6,ROW(Ledger!$B$3:$B$1002)/(Ledger!$B$3:$B$1002=$B$2),85)))</f>
        <v/>
      </c>
      <c r="E90" s="5">
        <f>IF($A90="","",INDEX(Ledger!$F:$F,AGGREGATE(15,6,ROW(Ledger!$B$3:$B$1002)/(Ledger!$B$3:$B$1002=$B$2),85)))</f>
        <v/>
      </c>
      <c r="F90" s="6">
        <f>IF($A90="","",INDEX(Ledger!$H:$H,AGGREGATE(15,6,ROW(Ledger!$B$3:$B$1002)/(Ledger!$B$3:$B$1002=$B$2),85)))</f>
        <v/>
      </c>
      <c r="G90" s="6">
        <f>IF($A90="","",INDEX(Ledger!$I:$I,AGGREGATE(15,6,ROW(Ledger!$B$3:$B$1002)/(Ledger!$B$3:$B$1002=$B$2),85)))</f>
        <v/>
      </c>
      <c r="H90" s="5">
        <f>IF($A90="","",INDEX(Ledger!$K:$K,AGGREGATE(15,6,ROW(Ledger!$B$3:$B$1002)/(Ledger!$B$3:$B$1002=$B$2),85)))</f>
        <v/>
      </c>
    </row>
    <row r="91">
      <c r="A91" s="3">
        <f>IFERROR(INDEX(Ledger!$A:$A,AGGREGATE(15,6,ROW(Ledger!$B$3:$B$1002)/(Ledger!$B$3:$B$1002=$B$2),86)),"")</f>
        <v/>
      </c>
      <c r="B91" s="5">
        <f>IF($A91="","",INDEX(Ledger!$C:$C,AGGREGATE(15,6,ROW(Ledger!$B$3:$B$1002)/(Ledger!$B$3:$B$1002=$B$2),86)))</f>
        <v/>
      </c>
      <c r="C91" s="5">
        <f>IF($A91="","",INDEX(Ledger!$D:$D,AGGREGATE(15,6,ROW(Ledger!$B$3:$B$1002)/(Ledger!$B$3:$B$1002=$B$2),86)))</f>
        <v/>
      </c>
      <c r="D91" s="5">
        <f>IF($A91="","",INDEX(Ledger!$E:$E,AGGREGATE(15,6,ROW(Ledger!$B$3:$B$1002)/(Ledger!$B$3:$B$1002=$B$2),86)))</f>
        <v/>
      </c>
      <c r="E91" s="5">
        <f>IF($A91="","",INDEX(Ledger!$F:$F,AGGREGATE(15,6,ROW(Ledger!$B$3:$B$1002)/(Ledger!$B$3:$B$1002=$B$2),86)))</f>
        <v/>
      </c>
      <c r="F91" s="6">
        <f>IF($A91="","",INDEX(Ledger!$H:$H,AGGREGATE(15,6,ROW(Ledger!$B$3:$B$1002)/(Ledger!$B$3:$B$1002=$B$2),86)))</f>
        <v/>
      </c>
      <c r="G91" s="6">
        <f>IF($A91="","",INDEX(Ledger!$I:$I,AGGREGATE(15,6,ROW(Ledger!$B$3:$B$1002)/(Ledger!$B$3:$B$1002=$B$2),86)))</f>
        <v/>
      </c>
      <c r="H91" s="5">
        <f>IF($A91="","",INDEX(Ledger!$K:$K,AGGREGATE(15,6,ROW(Ledger!$B$3:$B$1002)/(Ledger!$B$3:$B$1002=$B$2),86)))</f>
        <v/>
      </c>
    </row>
    <row r="92">
      <c r="A92" s="3">
        <f>IFERROR(INDEX(Ledger!$A:$A,AGGREGATE(15,6,ROW(Ledger!$B$3:$B$1002)/(Ledger!$B$3:$B$1002=$B$2),87)),"")</f>
        <v/>
      </c>
      <c r="B92" s="5">
        <f>IF($A92="","",INDEX(Ledger!$C:$C,AGGREGATE(15,6,ROW(Ledger!$B$3:$B$1002)/(Ledger!$B$3:$B$1002=$B$2),87)))</f>
        <v/>
      </c>
      <c r="C92" s="5">
        <f>IF($A92="","",INDEX(Ledger!$D:$D,AGGREGATE(15,6,ROW(Ledger!$B$3:$B$1002)/(Ledger!$B$3:$B$1002=$B$2),87)))</f>
        <v/>
      </c>
      <c r="D92" s="5">
        <f>IF($A92="","",INDEX(Ledger!$E:$E,AGGREGATE(15,6,ROW(Ledger!$B$3:$B$1002)/(Ledger!$B$3:$B$1002=$B$2),87)))</f>
        <v/>
      </c>
      <c r="E92" s="5">
        <f>IF($A92="","",INDEX(Ledger!$F:$F,AGGREGATE(15,6,ROW(Ledger!$B$3:$B$1002)/(Ledger!$B$3:$B$1002=$B$2),87)))</f>
        <v/>
      </c>
      <c r="F92" s="6">
        <f>IF($A92="","",INDEX(Ledger!$H:$H,AGGREGATE(15,6,ROW(Ledger!$B$3:$B$1002)/(Ledger!$B$3:$B$1002=$B$2),87)))</f>
        <v/>
      </c>
      <c r="G92" s="6">
        <f>IF($A92="","",INDEX(Ledger!$I:$I,AGGREGATE(15,6,ROW(Ledger!$B$3:$B$1002)/(Ledger!$B$3:$B$1002=$B$2),87)))</f>
        <v/>
      </c>
      <c r="H92" s="5">
        <f>IF($A92="","",INDEX(Ledger!$K:$K,AGGREGATE(15,6,ROW(Ledger!$B$3:$B$1002)/(Ledger!$B$3:$B$1002=$B$2),87)))</f>
        <v/>
      </c>
    </row>
    <row r="93">
      <c r="A93" s="3">
        <f>IFERROR(INDEX(Ledger!$A:$A,AGGREGATE(15,6,ROW(Ledger!$B$3:$B$1002)/(Ledger!$B$3:$B$1002=$B$2),88)),"")</f>
        <v/>
      </c>
      <c r="B93" s="5">
        <f>IF($A93="","",INDEX(Ledger!$C:$C,AGGREGATE(15,6,ROW(Ledger!$B$3:$B$1002)/(Ledger!$B$3:$B$1002=$B$2),88)))</f>
        <v/>
      </c>
      <c r="C93" s="5">
        <f>IF($A93="","",INDEX(Ledger!$D:$D,AGGREGATE(15,6,ROW(Ledger!$B$3:$B$1002)/(Ledger!$B$3:$B$1002=$B$2),88)))</f>
        <v/>
      </c>
      <c r="D93" s="5">
        <f>IF($A93="","",INDEX(Ledger!$E:$E,AGGREGATE(15,6,ROW(Ledger!$B$3:$B$1002)/(Ledger!$B$3:$B$1002=$B$2),88)))</f>
        <v/>
      </c>
      <c r="E93" s="5">
        <f>IF($A93="","",INDEX(Ledger!$F:$F,AGGREGATE(15,6,ROW(Ledger!$B$3:$B$1002)/(Ledger!$B$3:$B$1002=$B$2),88)))</f>
        <v/>
      </c>
      <c r="F93" s="6">
        <f>IF($A93="","",INDEX(Ledger!$H:$H,AGGREGATE(15,6,ROW(Ledger!$B$3:$B$1002)/(Ledger!$B$3:$B$1002=$B$2),88)))</f>
        <v/>
      </c>
      <c r="G93" s="6">
        <f>IF($A93="","",INDEX(Ledger!$I:$I,AGGREGATE(15,6,ROW(Ledger!$B$3:$B$1002)/(Ledger!$B$3:$B$1002=$B$2),88)))</f>
        <v/>
      </c>
      <c r="H93" s="5">
        <f>IF($A93="","",INDEX(Ledger!$K:$K,AGGREGATE(15,6,ROW(Ledger!$B$3:$B$1002)/(Ledger!$B$3:$B$1002=$B$2),88)))</f>
        <v/>
      </c>
    </row>
    <row r="94">
      <c r="A94" s="3">
        <f>IFERROR(INDEX(Ledger!$A:$A,AGGREGATE(15,6,ROW(Ledger!$B$3:$B$1002)/(Ledger!$B$3:$B$1002=$B$2),89)),"")</f>
        <v/>
      </c>
      <c r="B94" s="5">
        <f>IF($A94="","",INDEX(Ledger!$C:$C,AGGREGATE(15,6,ROW(Ledger!$B$3:$B$1002)/(Ledger!$B$3:$B$1002=$B$2),89)))</f>
        <v/>
      </c>
      <c r="C94" s="5">
        <f>IF($A94="","",INDEX(Ledger!$D:$D,AGGREGATE(15,6,ROW(Ledger!$B$3:$B$1002)/(Ledger!$B$3:$B$1002=$B$2),89)))</f>
        <v/>
      </c>
      <c r="D94" s="5">
        <f>IF($A94="","",INDEX(Ledger!$E:$E,AGGREGATE(15,6,ROW(Ledger!$B$3:$B$1002)/(Ledger!$B$3:$B$1002=$B$2),89)))</f>
        <v/>
      </c>
      <c r="E94" s="5">
        <f>IF($A94="","",INDEX(Ledger!$F:$F,AGGREGATE(15,6,ROW(Ledger!$B$3:$B$1002)/(Ledger!$B$3:$B$1002=$B$2),89)))</f>
        <v/>
      </c>
      <c r="F94" s="6">
        <f>IF($A94="","",INDEX(Ledger!$H:$H,AGGREGATE(15,6,ROW(Ledger!$B$3:$B$1002)/(Ledger!$B$3:$B$1002=$B$2),89)))</f>
        <v/>
      </c>
      <c r="G94" s="6">
        <f>IF($A94="","",INDEX(Ledger!$I:$I,AGGREGATE(15,6,ROW(Ledger!$B$3:$B$1002)/(Ledger!$B$3:$B$1002=$B$2),89)))</f>
        <v/>
      </c>
      <c r="H94" s="5">
        <f>IF($A94="","",INDEX(Ledger!$K:$K,AGGREGATE(15,6,ROW(Ledger!$B$3:$B$1002)/(Ledger!$B$3:$B$1002=$B$2),89)))</f>
        <v/>
      </c>
    </row>
    <row r="95">
      <c r="A95" s="3">
        <f>IFERROR(INDEX(Ledger!$A:$A,AGGREGATE(15,6,ROW(Ledger!$B$3:$B$1002)/(Ledger!$B$3:$B$1002=$B$2),90)),"")</f>
        <v/>
      </c>
      <c r="B95" s="5">
        <f>IF($A95="","",INDEX(Ledger!$C:$C,AGGREGATE(15,6,ROW(Ledger!$B$3:$B$1002)/(Ledger!$B$3:$B$1002=$B$2),90)))</f>
        <v/>
      </c>
      <c r="C95" s="5">
        <f>IF($A95="","",INDEX(Ledger!$D:$D,AGGREGATE(15,6,ROW(Ledger!$B$3:$B$1002)/(Ledger!$B$3:$B$1002=$B$2),90)))</f>
        <v/>
      </c>
      <c r="D95" s="5">
        <f>IF($A95="","",INDEX(Ledger!$E:$E,AGGREGATE(15,6,ROW(Ledger!$B$3:$B$1002)/(Ledger!$B$3:$B$1002=$B$2),90)))</f>
        <v/>
      </c>
      <c r="E95" s="5">
        <f>IF($A95="","",INDEX(Ledger!$F:$F,AGGREGATE(15,6,ROW(Ledger!$B$3:$B$1002)/(Ledger!$B$3:$B$1002=$B$2),90)))</f>
        <v/>
      </c>
      <c r="F95" s="6">
        <f>IF($A95="","",INDEX(Ledger!$H:$H,AGGREGATE(15,6,ROW(Ledger!$B$3:$B$1002)/(Ledger!$B$3:$B$1002=$B$2),90)))</f>
        <v/>
      </c>
      <c r="G95" s="6">
        <f>IF($A95="","",INDEX(Ledger!$I:$I,AGGREGATE(15,6,ROW(Ledger!$B$3:$B$1002)/(Ledger!$B$3:$B$1002=$B$2),90)))</f>
        <v/>
      </c>
      <c r="H95" s="5">
        <f>IF($A95="","",INDEX(Ledger!$K:$K,AGGREGATE(15,6,ROW(Ledger!$B$3:$B$1002)/(Ledger!$B$3:$B$1002=$B$2),90)))</f>
        <v/>
      </c>
    </row>
    <row r="96">
      <c r="A96" s="3">
        <f>IFERROR(INDEX(Ledger!$A:$A,AGGREGATE(15,6,ROW(Ledger!$B$3:$B$1002)/(Ledger!$B$3:$B$1002=$B$2),91)),"")</f>
        <v/>
      </c>
      <c r="B96" s="5">
        <f>IF($A96="","",INDEX(Ledger!$C:$C,AGGREGATE(15,6,ROW(Ledger!$B$3:$B$1002)/(Ledger!$B$3:$B$1002=$B$2),91)))</f>
        <v/>
      </c>
      <c r="C96" s="5">
        <f>IF($A96="","",INDEX(Ledger!$D:$D,AGGREGATE(15,6,ROW(Ledger!$B$3:$B$1002)/(Ledger!$B$3:$B$1002=$B$2),91)))</f>
        <v/>
      </c>
      <c r="D96" s="5">
        <f>IF($A96="","",INDEX(Ledger!$E:$E,AGGREGATE(15,6,ROW(Ledger!$B$3:$B$1002)/(Ledger!$B$3:$B$1002=$B$2),91)))</f>
        <v/>
      </c>
      <c r="E96" s="5">
        <f>IF($A96="","",INDEX(Ledger!$F:$F,AGGREGATE(15,6,ROW(Ledger!$B$3:$B$1002)/(Ledger!$B$3:$B$1002=$B$2),91)))</f>
        <v/>
      </c>
      <c r="F96" s="6">
        <f>IF($A96="","",INDEX(Ledger!$H:$H,AGGREGATE(15,6,ROW(Ledger!$B$3:$B$1002)/(Ledger!$B$3:$B$1002=$B$2),91)))</f>
        <v/>
      </c>
      <c r="G96" s="6">
        <f>IF($A96="","",INDEX(Ledger!$I:$I,AGGREGATE(15,6,ROW(Ledger!$B$3:$B$1002)/(Ledger!$B$3:$B$1002=$B$2),91)))</f>
        <v/>
      </c>
      <c r="H96" s="5">
        <f>IF($A96="","",INDEX(Ledger!$K:$K,AGGREGATE(15,6,ROW(Ledger!$B$3:$B$1002)/(Ledger!$B$3:$B$1002=$B$2),91)))</f>
        <v/>
      </c>
    </row>
    <row r="97">
      <c r="A97" s="3">
        <f>IFERROR(INDEX(Ledger!$A:$A,AGGREGATE(15,6,ROW(Ledger!$B$3:$B$1002)/(Ledger!$B$3:$B$1002=$B$2),92)),"")</f>
        <v/>
      </c>
      <c r="B97" s="5">
        <f>IF($A97="","",INDEX(Ledger!$C:$C,AGGREGATE(15,6,ROW(Ledger!$B$3:$B$1002)/(Ledger!$B$3:$B$1002=$B$2),92)))</f>
        <v/>
      </c>
      <c r="C97" s="5">
        <f>IF($A97="","",INDEX(Ledger!$D:$D,AGGREGATE(15,6,ROW(Ledger!$B$3:$B$1002)/(Ledger!$B$3:$B$1002=$B$2),92)))</f>
        <v/>
      </c>
      <c r="D97" s="5">
        <f>IF($A97="","",INDEX(Ledger!$E:$E,AGGREGATE(15,6,ROW(Ledger!$B$3:$B$1002)/(Ledger!$B$3:$B$1002=$B$2),92)))</f>
        <v/>
      </c>
      <c r="E97" s="5">
        <f>IF($A97="","",INDEX(Ledger!$F:$F,AGGREGATE(15,6,ROW(Ledger!$B$3:$B$1002)/(Ledger!$B$3:$B$1002=$B$2),92)))</f>
        <v/>
      </c>
      <c r="F97" s="6">
        <f>IF($A97="","",INDEX(Ledger!$H:$H,AGGREGATE(15,6,ROW(Ledger!$B$3:$B$1002)/(Ledger!$B$3:$B$1002=$B$2),92)))</f>
        <v/>
      </c>
      <c r="G97" s="6">
        <f>IF($A97="","",INDEX(Ledger!$I:$I,AGGREGATE(15,6,ROW(Ledger!$B$3:$B$1002)/(Ledger!$B$3:$B$1002=$B$2),92)))</f>
        <v/>
      </c>
      <c r="H97" s="5">
        <f>IF($A97="","",INDEX(Ledger!$K:$K,AGGREGATE(15,6,ROW(Ledger!$B$3:$B$1002)/(Ledger!$B$3:$B$1002=$B$2),92)))</f>
        <v/>
      </c>
    </row>
    <row r="98">
      <c r="A98" s="3">
        <f>IFERROR(INDEX(Ledger!$A:$A,AGGREGATE(15,6,ROW(Ledger!$B$3:$B$1002)/(Ledger!$B$3:$B$1002=$B$2),93)),"")</f>
        <v/>
      </c>
      <c r="B98" s="5">
        <f>IF($A98="","",INDEX(Ledger!$C:$C,AGGREGATE(15,6,ROW(Ledger!$B$3:$B$1002)/(Ledger!$B$3:$B$1002=$B$2),93)))</f>
        <v/>
      </c>
      <c r="C98" s="5">
        <f>IF($A98="","",INDEX(Ledger!$D:$D,AGGREGATE(15,6,ROW(Ledger!$B$3:$B$1002)/(Ledger!$B$3:$B$1002=$B$2),93)))</f>
        <v/>
      </c>
      <c r="D98" s="5">
        <f>IF($A98="","",INDEX(Ledger!$E:$E,AGGREGATE(15,6,ROW(Ledger!$B$3:$B$1002)/(Ledger!$B$3:$B$1002=$B$2),93)))</f>
        <v/>
      </c>
      <c r="E98" s="5">
        <f>IF($A98="","",INDEX(Ledger!$F:$F,AGGREGATE(15,6,ROW(Ledger!$B$3:$B$1002)/(Ledger!$B$3:$B$1002=$B$2),93)))</f>
        <v/>
      </c>
      <c r="F98" s="6">
        <f>IF($A98="","",INDEX(Ledger!$H:$H,AGGREGATE(15,6,ROW(Ledger!$B$3:$B$1002)/(Ledger!$B$3:$B$1002=$B$2),93)))</f>
        <v/>
      </c>
      <c r="G98" s="6">
        <f>IF($A98="","",INDEX(Ledger!$I:$I,AGGREGATE(15,6,ROW(Ledger!$B$3:$B$1002)/(Ledger!$B$3:$B$1002=$B$2),93)))</f>
        <v/>
      </c>
      <c r="H98" s="5">
        <f>IF($A98="","",INDEX(Ledger!$K:$K,AGGREGATE(15,6,ROW(Ledger!$B$3:$B$1002)/(Ledger!$B$3:$B$1002=$B$2),93)))</f>
        <v/>
      </c>
    </row>
    <row r="99">
      <c r="A99" s="3">
        <f>IFERROR(INDEX(Ledger!$A:$A,AGGREGATE(15,6,ROW(Ledger!$B$3:$B$1002)/(Ledger!$B$3:$B$1002=$B$2),94)),"")</f>
        <v/>
      </c>
      <c r="B99" s="5">
        <f>IF($A99="","",INDEX(Ledger!$C:$C,AGGREGATE(15,6,ROW(Ledger!$B$3:$B$1002)/(Ledger!$B$3:$B$1002=$B$2),94)))</f>
        <v/>
      </c>
      <c r="C99" s="5">
        <f>IF($A99="","",INDEX(Ledger!$D:$D,AGGREGATE(15,6,ROW(Ledger!$B$3:$B$1002)/(Ledger!$B$3:$B$1002=$B$2),94)))</f>
        <v/>
      </c>
      <c r="D99" s="5">
        <f>IF($A99="","",INDEX(Ledger!$E:$E,AGGREGATE(15,6,ROW(Ledger!$B$3:$B$1002)/(Ledger!$B$3:$B$1002=$B$2),94)))</f>
        <v/>
      </c>
      <c r="E99" s="5">
        <f>IF($A99="","",INDEX(Ledger!$F:$F,AGGREGATE(15,6,ROW(Ledger!$B$3:$B$1002)/(Ledger!$B$3:$B$1002=$B$2),94)))</f>
        <v/>
      </c>
      <c r="F99" s="6">
        <f>IF($A99="","",INDEX(Ledger!$H:$H,AGGREGATE(15,6,ROW(Ledger!$B$3:$B$1002)/(Ledger!$B$3:$B$1002=$B$2),94)))</f>
        <v/>
      </c>
      <c r="G99" s="6">
        <f>IF($A99="","",INDEX(Ledger!$I:$I,AGGREGATE(15,6,ROW(Ledger!$B$3:$B$1002)/(Ledger!$B$3:$B$1002=$B$2),94)))</f>
        <v/>
      </c>
      <c r="H99" s="5">
        <f>IF($A99="","",INDEX(Ledger!$K:$K,AGGREGATE(15,6,ROW(Ledger!$B$3:$B$1002)/(Ledger!$B$3:$B$1002=$B$2),94)))</f>
        <v/>
      </c>
    </row>
    <row r="100">
      <c r="A100" s="3">
        <f>IFERROR(INDEX(Ledger!$A:$A,AGGREGATE(15,6,ROW(Ledger!$B$3:$B$1002)/(Ledger!$B$3:$B$1002=$B$2),95)),"")</f>
        <v/>
      </c>
      <c r="B100" s="5">
        <f>IF($A100="","",INDEX(Ledger!$C:$C,AGGREGATE(15,6,ROW(Ledger!$B$3:$B$1002)/(Ledger!$B$3:$B$1002=$B$2),95)))</f>
        <v/>
      </c>
      <c r="C100" s="5">
        <f>IF($A100="","",INDEX(Ledger!$D:$D,AGGREGATE(15,6,ROW(Ledger!$B$3:$B$1002)/(Ledger!$B$3:$B$1002=$B$2),95)))</f>
        <v/>
      </c>
      <c r="D100" s="5">
        <f>IF($A100="","",INDEX(Ledger!$E:$E,AGGREGATE(15,6,ROW(Ledger!$B$3:$B$1002)/(Ledger!$B$3:$B$1002=$B$2),95)))</f>
        <v/>
      </c>
      <c r="E100" s="5">
        <f>IF($A100="","",INDEX(Ledger!$F:$F,AGGREGATE(15,6,ROW(Ledger!$B$3:$B$1002)/(Ledger!$B$3:$B$1002=$B$2),95)))</f>
        <v/>
      </c>
      <c r="F100" s="6">
        <f>IF($A100="","",INDEX(Ledger!$H:$H,AGGREGATE(15,6,ROW(Ledger!$B$3:$B$1002)/(Ledger!$B$3:$B$1002=$B$2),95)))</f>
        <v/>
      </c>
      <c r="G100" s="6">
        <f>IF($A100="","",INDEX(Ledger!$I:$I,AGGREGATE(15,6,ROW(Ledger!$B$3:$B$1002)/(Ledger!$B$3:$B$1002=$B$2),95)))</f>
        <v/>
      </c>
      <c r="H100" s="5">
        <f>IF($A100="","",INDEX(Ledger!$K:$K,AGGREGATE(15,6,ROW(Ledger!$B$3:$B$1002)/(Ledger!$B$3:$B$1002=$B$2),95)))</f>
        <v/>
      </c>
    </row>
    <row r="101">
      <c r="A101" s="3">
        <f>IFERROR(INDEX(Ledger!$A:$A,AGGREGATE(15,6,ROW(Ledger!$B$3:$B$1002)/(Ledger!$B$3:$B$1002=$B$2),96)),"")</f>
        <v/>
      </c>
      <c r="B101" s="5">
        <f>IF($A101="","",INDEX(Ledger!$C:$C,AGGREGATE(15,6,ROW(Ledger!$B$3:$B$1002)/(Ledger!$B$3:$B$1002=$B$2),96)))</f>
        <v/>
      </c>
      <c r="C101" s="5">
        <f>IF($A101="","",INDEX(Ledger!$D:$D,AGGREGATE(15,6,ROW(Ledger!$B$3:$B$1002)/(Ledger!$B$3:$B$1002=$B$2),96)))</f>
        <v/>
      </c>
      <c r="D101" s="5">
        <f>IF($A101="","",INDEX(Ledger!$E:$E,AGGREGATE(15,6,ROW(Ledger!$B$3:$B$1002)/(Ledger!$B$3:$B$1002=$B$2),96)))</f>
        <v/>
      </c>
      <c r="E101" s="5">
        <f>IF($A101="","",INDEX(Ledger!$F:$F,AGGREGATE(15,6,ROW(Ledger!$B$3:$B$1002)/(Ledger!$B$3:$B$1002=$B$2),96)))</f>
        <v/>
      </c>
      <c r="F101" s="6">
        <f>IF($A101="","",INDEX(Ledger!$H:$H,AGGREGATE(15,6,ROW(Ledger!$B$3:$B$1002)/(Ledger!$B$3:$B$1002=$B$2),96)))</f>
        <v/>
      </c>
      <c r="G101" s="6">
        <f>IF($A101="","",INDEX(Ledger!$I:$I,AGGREGATE(15,6,ROW(Ledger!$B$3:$B$1002)/(Ledger!$B$3:$B$1002=$B$2),96)))</f>
        <v/>
      </c>
      <c r="H101" s="5">
        <f>IF($A101="","",INDEX(Ledger!$K:$K,AGGREGATE(15,6,ROW(Ledger!$B$3:$B$1002)/(Ledger!$B$3:$B$1002=$B$2),96)))</f>
        <v/>
      </c>
    </row>
    <row r="102">
      <c r="A102" s="3">
        <f>IFERROR(INDEX(Ledger!$A:$A,AGGREGATE(15,6,ROW(Ledger!$B$3:$B$1002)/(Ledger!$B$3:$B$1002=$B$2),97)),"")</f>
        <v/>
      </c>
      <c r="B102" s="5">
        <f>IF($A102="","",INDEX(Ledger!$C:$C,AGGREGATE(15,6,ROW(Ledger!$B$3:$B$1002)/(Ledger!$B$3:$B$1002=$B$2),97)))</f>
        <v/>
      </c>
      <c r="C102" s="5">
        <f>IF($A102="","",INDEX(Ledger!$D:$D,AGGREGATE(15,6,ROW(Ledger!$B$3:$B$1002)/(Ledger!$B$3:$B$1002=$B$2),97)))</f>
        <v/>
      </c>
      <c r="D102" s="5">
        <f>IF($A102="","",INDEX(Ledger!$E:$E,AGGREGATE(15,6,ROW(Ledger!$B$3:$B$1002)/(Ledger!$B$3:$B$1002=$B$2),97)))</f>
        <v/>
      </c>
      <c r="E102" s="5">
        <f>IF($A102="","",INDEX(Ledger!$F:$F,AGGREGATE(15,6,ROW(Ledger!$B$3:$B$1002)/(Ledger!$B$3:$B$1002=$B$2),97)))</f>
        <v/>
      </c>
      <c r="F102" s="6">
        <f>IF($A102="","",INDEX(Ledger!$H:$H,AGGREGATE(15,6,ROW(Ledger!$B$3:$B$1002)/(Ledger!$B$3:$B$1002=$B$2),97)))</f>
        <v/>
      </c>
      <c r="G102" s="6">
        <f>IF($A102="","",INDEX(Ledger!$I:$I,AGGREGATE(15,6,ROW(Ledger!$B$3:$B$1002)/(Ledger!$B$3:$B$1002=$B$2),97)))</f>
        <v/>
      </c>
      <c r="H102" s="5">
        <f>IF($A102="","",INDEX(Ledger!$K:$K,AGGREGATE(15,6,ROW(Ledger!$B$3:$B$1002)/(Ledger!$B$3:$B$1002=$B$2),97)))</f>
        <v/>
      </c>
    </row>
    <row r="103">
      <c r="A103" s="3">
        <f>IFERROR(INDEX(Ledger!$A:$A,AGGREGATE(15,6,ROW(Ledger!$B$3:$B$1002)/(Ledger!$B$3:$B$1002=$B$2),98)),"")</f>
        <v/>
      </c>
      <c r="B103" s="5">
        <f>IF($A103="","",INDEX(Ledger!$C:$C,AGGREGATE(15,6,ROW(Ledger!$B$3:$B$1002)/(Ledger!$B$3:$B$1002=$B$2),98)))</f>
        <v/>
      </c>
      <c r="C103" s="5">
        <f>IF($A103="","",INDEX(Ledger!$D:$D,AGGREGATE(15,6,ROW(Ledger!$B$3:$B$1002)/(Ledger!$B$3:$B$1002=$B$2),98)))</f>
        <v/>
      </c>
      <c r="D103" s="5">
        <f>IF($A103="","",INDEX(Ledger!$E:$E,AGGREGATE(15,6,ROW(Ledger!$B$3:$B$1002)/(Ledger!$B$3:$B$1002=$B$2),98)))</f>
        <v/>
      </c>
      <c r="E103" s="5">
        <f>IF($A103="","",INDEX(Ledger!$F:$F,AGGREGATE(15,6,ROW(Ledger!$B$3:$B$1002)/(Ledger!$B$3:$B$1002=$B$2),98)))</f>
        <v/>
      </c>
      <c r="F103" s="6">
        <f>IF($A103="","",INDEX(Ledger!$H:$H,AGGREGATE(15,6,ROW(Ledger!$B$3:$B$1002)/(Ledger!$B$3:$B$1002=$B$2),98)))</f>
        <v/>
      </c>
      <c r="G103" s="6">
        <f>IF($A103="","",INDEX(Ledger!$I:$I,AGGREGATE(15,6,ROW(Ledger!$B$3:$B$1002)/(Ledger!$B$3:$B$1002=$B$2),98)))</f>
        <v/>
      </c>
      <c r="H103" s="5">
        <f>IF($A103="","",INDEX(Ledger!$K:$K,AGGREGATE(15,6,ROW(Ledger!$B$3:$B$1002)/(Ledger!$B$3:$B$1002=$B$2),98)))</f>
        <v/>
      </c>
    </row>
    <row r="104">
      <c r="A104" s="3">
        <f>IFERROR(INDEX(Ledger!$A:$A,AGGREGATE(15,6,ROW(Ledger!$B$3:$B$1002)/(Ledger!$B$3:$B$1002=$B$2),99)),"")</f>
        <v/>
      </c>
      <c r="B104" s="5">
        <f>IF($A104="","",INDEX(Ledger!$C:$C,AGGREGATE(15,6,ROW(Ledger!$B$3:$B$1002)/(Ledger!$B$3:$B$1002=$B$2),99)))</f>
        <v/>
      </c>
      <c r="C104" s="5">
        <f>IF($A104="","",INDEX(Ledger!$D:$D,AGGREGATE(15,6,ROW(Ledger!$B$3:$B$1002)/(Ledger!$B$3:$B$1002=$B$2),99)))</f>
        <v/>
      </c>
      <c r="D104" s="5">
        <f>IF($A104="","",INDEX(Ledger!$E:$E,AGGREGATE(15,6,ROW(Ledger!$B$3:$B$1002)/(Ledger!$B$3:$B$1002=$B$2),99)))</f>
        <v/>
      </c>
      <c r="E104" s="5">
        <f>IF($A104="","",INDEX(Ledger!$F:$F,AGGREGATE(15,6,ROW(Ledger!$B$3:$B$1002)/(Ledger!$B$3:$B$1002=$B$2),99)))</f>
        <v/>
      </c>
      <c r="F104" s="6">
        <f>IF($A104="","",INDEX(Ledger!$H:$H,AGGREGATE(15,6,ROW(Ledger!$B$3:$B$1002)/(Ledger!$B$3:$B$1002=$B$2),99)))</f>
        <v/>
      </c>
      <c r="G104" s="6">
        <f>IF($A104="","",INDEX(Ledger!$I:$I,AGGREGATE(15,6,ROW(Ledger!$B$3:$B$1002)/(Ledger!$B$3:$B$1002=$B$2),99)))</f>
        <v/>
      </c>
      <c r="H104" s="5">
        <f>IF($A104="","",INDEX(Ledger!$K:$K,AGGREGATE(15,6,ROW(Ledger!$B$3:$B$1002)/(Ledger!$B$3:$B$1002=$B$2),99)))</f>
        <v/>
      </c>
    </row>
    <row r="105">
      <c r="A105" s="3">
        <f>IFERROR(INDEX(Ledger!$A:$A,AGGREGATE(15,6,ROW(Ledger!$B$3:$B$1002)/(Ledger!$B$3:$B$1002=$B$2),100)),"")</f>
        <v/>
      </c>
      <c r="B105" s="5">
        <f>IF($A105="","",INDEX(Ledger!$C:$C,AGGREGATE(15,6,ROW(Ledger!$B$3:$B$1002)/(Ledger!$B$3:$B$1002=$B$2),100)))</f>
        <v/>
      </c>
      <c r="C105" s="5">
        <f>IF($A105="","",INDEX(Ledger!$D:$D,AGGREGATE(15,6,ROW(Ledger!$B$3:$B$1002)/(Ledger!$B$3:$B$1002=$B$2),100)))</f>
        <v/>
      </c>
      <c r="D105" s="5">
        <f>IF($A105="","",INDEX(Ledger!$E:$E,AGGREGATE(15,6,ROW(Ledger!$B$3:$B$1002)/(Ledger!$B$3:$B$1002=$B$2),100)))</f>
        <v/>
      </c>
      <c r="E105" s="5">
        <f>IF($A105="","",INDEX(Ledger!$F:$F,AGGREGATE(15,6,ROW(Ledger!$B$3:$B$1002)/(Ledger!$B$3:$B$1002=$B$2),100)))</f>
        <v/>
      </c>
      <c r="F105" s="6">
        <f>IF($A105="","",INDEX(Ledger!$H:$H,AGGREGATE(15,6,ROW(Ledger!$B$3:$B$1002)/(Ledger!$B$3:$B$1002=$B$2),100)))</f>
        <v/>
      </c>
      <c r="G105" s="6">
        <f>IF($A105="","",INDEX(Ledger!$I:$I,AGGREGATE(15,6,ROW(Ledger!$B$3:$B$1002)/(Ledger!$B$3:$B$1002=$B$2),100)))</f>
        <v/>
      </c>
      <c r="H105" s="5">
        <f>IF($A105="","",INDEX(Ledger!$K:$K,AGGREGATE(15,6,ROW(Ledger!$B$3:$B$1002)/(Ledger!$B$3:$B$1002=$B$2),100)))</f>
        <v/>
      </c>
    </row>
  </sheetData>
  <mergeCells count="3">
    <mergeCell ref="B4:H4"/>
    <mergeCell ref="B2:D2"/>
    <mergeCell ref="A1:H1"/>
  </mergeCells>
  <dataValidations count="1">
    <dataValidation sqref="B2" showDropDown="0" showInputMessage="0" showErrorMessage="0" allowBlank="1" type="list">
      <formula1>=Customers!$A$3:$A$200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B2A4E"/>
    <outlinePr summaryBelow="1" summaryRight="1"/>
    <pageSetUpPr fitToPage="1"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9" t="inlineStr">
        <is>
          <t>DIPSEVA कसे वापरावे — 5 मिनिट मार्गदर्शक</t>
        </is>
      </c>
    </row>
    <row r="2" ht="10" customHeight="1">
      <c r="A2" s="33" t="inlineStr"/>
    </row>
    <row r="3" ht="26" customHeight="1">
      <c r="A3" s="33" t="inlineStr">
        <is>
          <t>1) Items मध्ये वस्तू + भाडे + Opening Stock लिहा.</t>
        </is>
      </c>
    </row>
    <row r="4" ht="26" customHeight="1">
      <c r="A4" s="33" t="inlineStr">
        <is>
          <t>2) Customers मध्ये ग्राहक + फोन + Opening Due लिहा.</t>
        </is>
      </c>
    </row>
    <row r="5" ht="26" customHeight="1">
      <c r="A5" s="33" t="inlineStr">
        <is>
          <t>3) रोजची नोंद फक्त Ledger मध्ये: Date|Customer|Type|Item|Qty|Paid.</t>
        </is>
      </c>
    </row>
    <row r="6" ht="26" customHeight="1">
      <c r="A6" s="33" t="inlineStr">
        <is>
          <t xml:space="preserve">   Issue=sामान दिले (Bill auto), Return=परत (फक्त Qty), Payment=पैसे (फक्त Paid).</t>
        </is>
      </c>
    </row>
    <row r="7" ht="26" customHeight="1">
      <c r="A7" s="33" t="inlineStr">
        <is>
          <t>4) Yogesh: Issue 850+Paid 600, Issue 900+Paid 0 =&gt; Baki 1150. Payment 500 =&gt; 650.</t>
        </is>
      </c>
    </row>
    <row r="8" ht="26" customHeight="1">
      <c r="A8" s="33" t="inlineStr">
        <is>
          <t>5) Dashboard/Khata/Stock auto. Statement मध्ये ग्राहक निवडा + WhatsApp copy.</t>
        </is>
      </c>
    </row>
    <row r="9" ht="26" customHeight="1">
      <c r="A9" s="33" t="inlineStr">
        <is>
          <t>6) App मधूनच entry करा. Sheet फक्त backup. निळ्या cell मध्ये हाताने लिहू नका.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2026-09-24T09:53:50Z</dcterms:created>
  <dcterms:modified xmlns:dcterms="http://purl.org/dc/terms/" xmlns:xsi="http://www.w3.org/2001/XMLSchema-instance" xsi:type="dcterms:W3CDTF">2026-09-24T12:13:09Z</dcterms:modified>
</cp:coreProperties>
</file>